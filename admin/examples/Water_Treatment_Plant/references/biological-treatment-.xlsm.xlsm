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ink/ink1.xml" ContentType="application/inkml+xml"/>
  <Override PartName="/xl/ink/ink2.xml" ContentType="application/inkml+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3.xml" ContentType="application/vnd.openxmlformats-officedocument.drawing+xml"/>
  <Override PartName="/xl/ctrlProps/ctrlProp20.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fileSharing readOnlyRecommended="1"/>
  <workbookPr codeName="ThisWorkbook"/>
  <mc:AlternateContent xmlns:mc="http://schemas.openxmlformats.org/markup-compatibility/2006">
    <mc:Choice Requires="x15">
      <x15ac:absPath xmlns:x15ac="http://schemas.microsoft.com/office/spreadsheetml/2010/11/ac" url="https://d.docs.live.net/96a1321c8f1f5da2/Documents/Programming/osoem/admin/examples/import/2/references/"/>
    </mc:Choice>
  </mc:AlternateContent>
  <xr:revisionPtr revIDLastSave="291" documentId="13_ncr:1_{F3CA587C-8E21-4B61-99B9-99A51FD38453}" xr6:coauthVersionLast="47" xr6:coauthVersionMax="47" xr10:uidLastSave="{8735B869-5430-4812-805A-B369899B5628}"/>
  <bookViews>
    <workbookView xWindow="-120" yWindow="-120" windowWidth="29040" windowHeight="15720" tabRatio="884" activeTab="3" xr2:uid="{00000000-000D-0000-FFFF-FFFF00000000}"/>
  </bookViews>
  <sheets>
    <sheet name="Title Page" sheetId="28" r:id="rId1"/>
    <sheet name="Index" sheetId="24" r:id="rId2"/>
    <sheet name="INPUT" sheetId="4" r:id="rId3"/>
    <sheet name="OUTPUT" sheetId="5" r:id="rId4"/>
    <sheet name="Critical Design Assumptions" sheetId="6" r:id="rId5"/>
    <sheet name="O&amp;M Assumptions" sheetId="8" r:id="rId6"/>
    <sheet name="Indirect Assumptions" sheetId="7" r:id="rId7"/>
    <sheet name="Bioreactor Constraints" sheetId="9" r:id="rId8"/>
    <sheet name="Chemicals" sheetId="20" r:id="rId9"/>
    <sheet name="Biomass Control" sheetId="10" r:id="rId10"/>
    <sheet name="Post-Treatment" sheetId="19" r:id="rId11"/>
    <sheet name="Pumps Pipe Structure" sheetId="11" r:id="rId12"/>
    <sheet name="Instrumentation and Control" sheetId="12" r:id="rId13"/>
    <sheet name="Residuals Management" sheetId="13" r:id="rId14"/>
    <sheet name="O&amp;M" sheetId="14" r:id="rId15"/>
    <sheet name="HVAC" sheetId="21" r:id="rId16"/>
    <sheet name="Indirect" sheetId="15" r:id="rId17"/>
    <sheet name="Standard Inputs" sheetId="3" r:id="rId18"/>
    <sheet name="AutoSize" sheetId="17" r:id="rId19"/>
    <sheet name="Cost Equations" sheetId="18" r:id="rId20"/>
    <sheet name="Cost Coefficients" sheetId="27" r:id="rId21"/>
    <sheet name="Cost Data" sheetId="25" r:id="rId22"/>
    <sheet name="Engineering Data" sheetId="26" r:id="rId23"/>
    <sheet name="Lookup Tables" sheetId="16" r:id="rId24"/>
  </sheets>
  <functionGroups builtInGroupCount="19"/>
  <definedNames>
    <definedName name="acetic_dose_sample">Chemicals!$C$34</definedName>
    <definedName name="acetic_purchase">Chemicals!$C$82</definedName>
    <definedName name="acetic_store">Chemicals!$C$16</definedName>
    <definedName name="acetic_use">'O&amp;M'!$C$14</definedName>
    <definedName name="add">'Critical Design Assumptions'!$A$319</definedName>
    <definedName name="add_2nd_building">'Critical Design Assumptions'!$C$217</definedName>
    <definedName name="add_blow_head">'O&amp;M Assumptions'!$C$13</definedName>
    <definedName name="add_ports">'Critical Design Assumptions'!$C$181</definedName>
    <definedName name="add_res_pipe_length">'Critical Design Assumptions'!$C$247</definedName>
    <definedName name="add_turb">'Critical Design Assumptions'!$C$174</definedName>
    <definedName name="addon_cost">OUTPUT!$C$519</definedName>
    <definedName name="aer_tank_diam">'Pumps Pipe Structure'!$C$87</definedName>
    <definedName name="aer_tank_fp">'Pumps Pipe Structure'!$C$126</definedName>
    <definedName name="aer_tank_pipe_diam">'Pumps Pipe Structure'!$C$76</definedName>
    <definedName name="aer_tank_pipe_flow">'Pumps Pipe Structure'!$C$75</definedName>
    <definedName name="aer_tank_valve_size">'Instrumentation and Control'!$C$15</definedName>
    <definedName name="aeration_blower_mtl">'O&amp;M'!$C$9</definedName>
    <definedName name="aeration_tank_vol">'Post-Treatment'!$C$13</definedName>
    <definedName name="aeration_tank_vol_required">'Post-Treatment'!$C$10</definedName>
    <definedName name="aeration_tanks">'Post-Treatment'!$C$12</definedName>
    <definedName name="aeration_valve_size">'Instrumentation and Control'!$C$20</definedName>
    <definedName name="aeration_water_height">'Post-Treatment'!$C$14</definedName>
    <definedName name="af_units">INPUT!$H$31</definedName>
    <definedName name="air_changes_build1">HVAC!$C$12</definedName>
    <definedName name="air_changes_build2">HVAC!$C$13</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ir_flow_tot">'Post-Treatment'!$C$15</definedName>
    <definedName name="air_scour_I">INPUT!$G$120</definedName>
    <definedName name="air_scour_time">'Critical Design Assumptions'!$C$117</definedName>
    <definedName name="air_scour_vol">'Critical Design Assumptions'!$C$116</definedName>
    <definedName name="air_valve_size">'Instrumentation and Control'!$C$18</definedName>
    <definedName name="alarm_back">'Critical Design Assumptions'!$C$165</definedName>
    <definedName name="alarm_chem">'Critical Design Assumptions'!$C$166</definedName>
    <definedName name="alarm_cost_cl">'Cost Data'!$B$7:$F$7</definedName>
    <definedName name="alarm_res">'Critical Design Assumptions'!$C$251</definedName>
    <definedName name="analog_inputs">'Instrumentation and Control'!$C$87</definedName>
    <definedName name="analog_outputs">'Instrumentation and Control'!$C$88</definedName>
    <definedName name="Annualized_Capital_Cost">OUTPUT!$C$619</definedName>
    <definedName name="Annualized_Cost">OUTPUT!$C$621</definedName>
    <definedName name="anthracite">'Post-Treatment'!$C$129</definedName>
    <definedName name="anthracite_density">'Critical Design Assumptions'!$C$84</definedName>
    <definedName name="anthracite_each">'Post-Treatment'!$C$125</definedName>
    <definedName name="anthracite_fraction">'Critical Design Assumptions'!$C$80</definedName>
    <definedName name="architectural_table_cl">'Engineering Data'!$A$6:$C$12</definedName>
    <definedName name="average_flow">'Bioreactor Constraints'!$C$7</definedName>
    <definedName name="average_flow_I">INPUT!$G$31</definedName>
    <definedName name="average_flow_rate">'Bioreactor Constraints'!$C$9</definedName>
    <definedName name="AXOutput">OUTPUT!$A$19:$M$569</definedName>
    <definedName name="back_chv_no_back">'Critical Design Assumptions'!$C$149</definedName>
    <definedName name="back_chv_pump">'Critical Design Assumptions'!$C$150</definedName>
    <definedName name="back_interval">'Biomass Control'!$C$7</definedName>
    <definedName name="back_interval_I">INPUT!$G$118</definedName>
    <definedName name="back_meter_size">'Instrumentation and Control'!$C$65</definedName>
    <definedName name="back_MOV_add">'Critical Design Assumptions'!$E$297</definedName>
    <definedName name="back_MOV_brine">'Critical Design Assumptions'!$E$296</definedName>
    <definedName name="back_MOV_eductor">'Critical Design Assumptions'!$E$298</definedName>
    <definedName name="back_MOV_pump">'Critical Design Assumptions'!$E$294</definedName>
    <definedName name="back_MOV_tank">'Critical Design Assumptions'!$E$295</definedName>
    <definedName name="back_MOV_vessel">'Critical Design Assumptions'!$E$293</definedName>
    <definedName name="back_pipe_diam">'Pumps Pipe Structure'!$C$68</definedName>
    <definedName name="back_pipe_flow">'Pumps Pipe Structure'!$C$67</definedName>
    <definedName name="back_pipe_length">'Pumps Pipe Structure'!$C$52</definedName>
    <definedName name="back_pipe_mult">'Critical Design Assumptions'!$C$140</definedName>
    <definedName name="back_pump_cost_cl">'Cost Data'!$B$12:$F$25</definedName>
    <definedName name="back_pump_energy">'O&amp;M'!$C$75</definedName>
    <definedName name="back_pump_head">'O&amp;M Assumptions'!$C$8</definedName>
    <definedName name="back_pump_hp">'O&amp;M'!$C$73</definedName>
    <definedName name="back_pump_mtl">'O&amp;M'!$C$7</definedName>
    <definedName name="back_pump_op_hours">'O&amp;M'!$C$74</definedName>
    <definedName name="back_pump_rating">'Pumps Pipe Structure'!$C$17</definedName>
    <definedName name="back_tank_fp">'Pumps Pipe Structure'!$C$127</definedName>
    <definedName name="back_tank_vol">'Biomass Control'!$C$20</definedName>
    <definedName name="back_tanks">'Biomass Control'!$C$19</definedName>
    <definedName name="back_valve_size">'Instrumentation and Control'!$C$16</definedName>
    <definedName name="backfill_cost_cl">'Cost Data'!$B$30:$F$30</definedName>
    <definedName name="backfill_vol">'Bioreactor Constraints'!$C$73</definedName>
    <definedName name="backwash_pump_valid">'Lookup Tables'!$A$29:$A$31</definedName>
    <definedName name="backwash_pumps">'Pumps Pipe Structure'!$C$16</definedName>
    <definedName name="backwash_storage_valid">'Lookup Tables'!$A$33:$A$35</definedName>
    <definedName name="backwash_time">'Critical Design Assumptions'!$C$110</definedName>
    <definedName name="backwash_yr">'O&amp;M'!$C$33</definedName>
    <definedName name="basin_area">'Bioreactor Constraints'!$C$75</definedName>
    <definedName name="basin_conc_vol">'Bioreactor Constraints'!$C$71</definedName>
    <definedName name="basin_depth">'Bioreactor Constraints'!$C$66</definedName>
    <definedName name="basin_fp">'Pumps Pipe Structure'!$C$122</definedName>
    <definedName name="basin_freeboard">'Critical Design Assumptions'!$C$47</definedName>
    <definedName name="basin_length">INPUT!$G$77</definedName>
    <definedName name="basin_op_depth">INPUT!$G$78</definedName>
    <definedName name="basin_vol">'Bioreactor Constraints'!$C$67</definedName>
    <definedName name="basin_width">INPUT!$G$76</definedName>
    <definedName name="bearing_area">Indirect!$C$55</definedName>
    <definedName name="bed_depth">INPUT!$G$58</definedName>
    <definedName name="bed_depth_filt">'Critical Design Assumptions'!$C$70</definedName>
    <definedName name="bed_depth_filt_large">'Critical Design Assumptions'!$C$71</definedName>
    <definedName name="bed_depth_filt_small">'Critical Design Assumptions'!$C$69</definedName>
    <definedName name="bed_expansion">'Critical Design Assumptions'!$C$39</definedName>
    <definedName name="bed_expansion_fluidized">'Critical Design Assumptions'!$C$40</definedName>
    <definedName name="bedding_cost_cl">'Cost Data'!$B$35:$F$35</definedName>
    <definedName name="bedding_depth">'Indirect Assumptions'!$C$35</definedName>
    <definedName name="bedding_pct">'Indirect Assumptions'!$C$36</definedName>
    <definedName name="bedding_vol">Indirect!$C$69</definedName>
    <definedName name="belt_press_cost_cl">'Cost Data'!$B$40:$F$45</definedName>
    <definedName name="belt_press_dimension">'Lookup Tables'!$C$16:$E$20</definedName>
    <definedName name="belt_press_eq">'Cost Equations'!$C$384</definedName>
    <definedName name="belt_press_fp">'Pumps Pipe Structure'!$C$153</definedName>
    <definedName name="belt_press_removal">'Critical Design Assumptions'!$C$269</definedName>
    <definedName name="belt_press_size">'Residuals Management'!$C$125</definedName>
    <definedName name="bio_air_valve_size">'Instrumentation and Control'!$C$19</definedName>
    <definedName name="bio_blower_energy">'O&amp;M'!$C$80</definedName>
    <definedName name="bio_blower_head">'O&amp;M'!$C$77</definedName>
    <definedName name="bio_blower_hp">'O&amp;M'!$C$78</definedName>
    <definedName name="biomass_air_scour">'Critical Design Assumptions'!$C$34</definedName>
    <definedName name="biomass_I">INPUT!$G$39</definedName>
    <definedName name="biomass_sample">'Biomass Control'!$C$4</definedName>
    <definedName name="bldg_hi_cost_cl">'Cost Data'!$B$1136:$F$1160</definedName>
    <definedName name="bldg_hi_eq_1">'Cost Equations'!$C$394</definedName>
    <definedName name="bldg_hi_eq_2">'Cost Equations'!$C$408</definedName>
    <definedName name="bldg_lo_cost_cl">'Cost Data'!$B$1165:$F$1189</definedName>
    <definedName name="bldg_lo_eq_1">'Cost Equations'!$C$392</definedName>
    <definedName name="bldg_lo_eq_2">'Cost Equations'!$C$406</definedName>
    <definedName name="bldg_maint_cost">'O&amp;M'!$C$61</definedName>
    <definedName name="bldg_mid_cost_cl">'Cost Data'!$B$1194:$F$1218</definedName>
    <definedName name="bldg_mid_eq_1">'Cost Equations'!$C$393</definedName>
    <definedName name="bldg_mid_eq_2">'Cost Equations'!$C$407</definedName>
    <definedName name="bldg_shed_cost_cl">'Cost Data'!$B$1223:$F$1224</definedName>
    <definedName name="block_vol">Indirect!$C$60</definedName>
    <definedName name="blow_dim_table_cl">'Engineering Data'!$A$17:$H$22</definedName>
    <definedName name="blower_effcy">'O&amp;M Assumptions'!$C$14</definedName>
    <definedName name="blower_energy">'O&amp;M'!$C$85</definedName>
    <definedName name="blower_fp">'Pumps Pipe Structure'!$C$139</definedName>
    <definedName name="blower_head">'O&amp;M'!$C$82</definedName>
    <definedName name="blower_hp">'O&amp;M'!$C$83</definedName>
    <definedName name="blower_mtl">'O&amp;M'!$C$8</definedName>
    <definedName name="booster_pump_efficiency">'O&amp;M Assumptions'!$C$10</definedName>
    <definedName name="booster_pump_head">'O&amp;M Assumptions'!$C$6</definedName>
    <definedName name="booster_pump_maintenance">'O&amp;M Assumptions'!$C$12</definedName>
    <definedName name="booster_pumps">'Pumps Pipe Structure'!$C$10</definedName>
    <definedName name="bore_cost_cl">'Cost Data'!$B$50:$F$50</definedName>
    <definedName name="bore_depth">Indirect!$C$35</definedName>
    <definedName name="bore_depth_max">'Indirect Assumptions'!$C$50</definedName>
    <definedName name="bore_depth_min">'Indirect Assumptions'!$C$49</definedName>
    <definedName name="bore_depth_p">'Indirect Assumptions'!$C$48</definedName>
    <definedName name="bore_draw_cost_cl">'Cost Data'!$B$55:$F$55</definedName>
    <definedName name="bore_mob_cost_cl">'Cost Data'!$B$60:$F$60</definedName>
    <definedName name="bore_need">'Indirect Assumptions'!$C$52</definedName>
    <definedName name="bore_report_cost_cl">'Cost Data'!$B$65:$F$65</definedName>
    <definedName name="bore_rig_cost_cl">'Cost Data'!$B$70:$F$70</definedName>
    <definedName name="bp_flow_rate">'Bioreactor Constraints'!$C$10</definedName>
    <definedName name="bp_pct">'Critical Design Assumptions'!$C$8</definedName>
    <definedName name="bp_pipe_diam">'Pumps Pipe Structure'!$C$84</definedName>
    <definedName name="bp_pipe_flow">'Pumps Pipe Structure'!$C$83</definedName>
    <definedName name="bp_pipe_length">'Pumps Pipe Structure'!$C$59</definedName>
    <definedName name="bp_pipe_mult">'Critical Design Assumptions'!$C$139</definedName>
    <definedName name="br_ins_pct">'Indirect Assumptions'!$C$97</definedName>
    <definedName name="bt_diam">'Pumps Pipe Structure'!$C$88</definedName>
    <definedName name="build_UL">OUTPUT!$Y$508</definedName>
    <definedName name="build1_cfm">HVAC!$C$18</definedName>
    <definedName name="build1_cool">HVAC!$C$127</definedName>
    <definedName name="build1_cool_options">HVAC!$A$105:$L$106</definedName>
    <definedName name="build1_cool_zones">HVAC!$C$63</definedName>
    <definedName name="build1_cooling_loss_hr">HVAC!$C$58</definedName>
    <definedName name="build1_cooling_loss_yr">HVAC!$C$57</definedName>
    <definedName name="build1_cooling_req">HVAC!$C$60</definedName>
    <definedName name="build1_cooling_tons">HVAC!$C$62</definedName>
    <definedName name="build1_cooling_yr">HVAC!$C$61</definedName>
    <definedName name="build1_elec_cool">Indirect!$C$23</definedName>
    <definedName name="build1_elec_cool_power">Indirect!$C$24</definedName>
    <definedName name="build1_elec_heat">Indirect!$C$17</definedName>
    <definedName name="build1_elec_heat_power">Indirect!$C$18</definedName>
    <definedName name="build1_fp">'Pumps Pipe Structure'!$C$159</definedName>
    <definedName name="build1_heat">HVAC!$C$126</definedName>
    <definedName name="build1_heat_loss_yr">HVAC!$C$31</definedName>
    <definedName name="build1_heat_mbh">HVAC!$C$32</definedName>
    <definedName name="build1_heat_options">HVAC!$A$86:$L$91</definedName>
    <definedName name="build1_heat_zones">HVAC!$C$33</definedName>
    <definedName name="build1_need_cool">HVAC!$C$23</definedName>
    <definedName name="build1_need_heat">HVAC!$C$22</definedName>
    <definedName name="build1_row">HVAC!$C$125</definedName>
    <definedName name="build1_side">HVAC!$C$7</definedName>
    <definedName name="build1_zones">HVAC!$C$78</definedName>
    <definedName name="build2_cfm">HVAC!$C$19</definedName>
    <definedName name="build2_cool">HVAC!$C$141</definedName>
    <definedName name="build2_cool_options">HVAC!$A$110:$L$111</definedName>
    <definedName name="build2_cool_zones">HVAC!$C$74</definedName>
    <definedName name="build2_cooling_loss_hr">HVAC!$C$69</definedName>
    <definedName name="build2_cooling_loss_yr">HVAC!$C$68</definedName>
    <definedName name="build2_cooling_req">HVAC!$C$71</definedName>
    <definedName name="build2_cooling_tons">HVAC!$C$73</definedName>
    <definedName name="build2_cooling_yr">HVAC!$C$72</definedName>
    <definedName name="build2_elec_cool">Indirect!$C$25</definedName>
    <definedName name="build2_elec_cool_power">Indirect!$C$26</definedName>
    <definedName name="build2_elec_heat">Indirect!$C$19</definedName>
    <definedName name="build2_elec_heat_power">Indirect!$C$20</definedName>
    <definedName name="build2_fp">'Pumps Pipe Structure'!$C$160</definedName>
    <definedName name="build2_heat">HVAC!$C$140</definedName>
    <definedName name="build2_heat_loss_yr">HVAC!$C$38</definedName>
    <definedName name="build2_heat_mbh">HVAC!$C$39</definedName>
    <definedName name="build2_heat_options">HVAC!$A$95:$L$100</definedName>
    <definedName name="build2_heat_zones">HVAC!$C$40</definedName>
    <definedName name="build2_need_cool">HVAC!$C$25</definedName>
    <definedName name="build2_need_heat">HVAC!$C$24</definedName>
    <definedName name="build2_row">HVAC!$C$139</definedName>
    <definedName name="build2_side">HVAC!$C$8</definedName>
    <definedName name="build2_zones">HVAC!$C$79</definedName>
    <definedName name="building_cost">OUTPUT!$C$511</definedName>
    <definedName name="Building_height">HVAC!$C$6</definedName>
    <definedName name="building_matl_rate_cl">'Cost Data'!$D$1317</definedName>
    <definedName name="buried_res_pipe_length">'Residuals Management'!$C$135</definedName>
    <definedName name="bypass_valve_size">'Instrumentation and Control'!$C$17</definedName>
    <definedName name="ceiling_clearance">'Critical Design Assumptions'!$C$216</definedName>
    <definedName name="CH3NOOH_dens">'Critical Design Assumptions'!$C$102</definedName>
    <definedName name="CH3NOOH_strength">'Critical Design Assumptions'!$C$103</definedName>
    <definedName name="chem_break_table_cl">'Engineering Data'!$A$27:$B$71</definedName>
    <definedName name="chem_chv_pump">'Critical Design Assumptions'!$C$151</definedName>
    <definedName name="chem_cost_cl">'Cost Data'!$B$75:$F$134</definedName>
    <definedName name="chem_pipe_mult">'Critical Design Assumptions'!$C$142</definedName>
    <definedName name="chem_storage">'Critical Design Assumptions'!$C$122</definedName>
    <definedName name="ci_bfv_cost_cl">'Cost Data'!$B$139:$F$153</definedName>
    <definedName name="ci_bfv_eq">'Cost Equations'!$C$199</definedName>
    <definedName name="ci_bfv_eq_proc">'Cost Equations'!$C$202</definedName>
    <definedName name="ci_chv_cost_cl">'Cost Data'!$B$158:$F$166</definedName>
    <definedName name="ci_chv_eq">'Cost Equations'!$C$238</definedName>
    <definedName name="ci_chv_eq_bp">'Cost Equations'!$C$247</definedName>
    <definedName name="ci_chv_eq_in">'Cost Equations'!$C$244</definedName>
    <definedName name="ci_chv_eq_polymer">'Cost Equations'!$C$259</definedName>
    <definedName name="ci_chv_eq_res">'Cost Equations'!$C$241</definedName>
    <definedName name="ci_man_eq_aeration">'Cost Equations'!$C$228</definedName>
    <definedName name="ci_man_eq_air">'Cost Equations'!$C$222</definedName>
    <definedName name="ci_man_eq_back">'Cost Equations'!$C$205</definedName>
    <definedName name="ci_man_eq_bio_air">'Cost Equations'!$C$225</definedName>
    <definedName name="ci_man_eq_bp">'Cost Equations'!$C$216</definedName>
    <definedName name="ci_man_eq_polymer">'Cost Equations'!$C$234</definedName>
    <definedName name="ci_man_eq_res">'Cost Equations'!$C$219</definedName>
    <definedName name="ci_mov_cost_cl">'Cost Data'!$B$171:$F$184</definedName>
    <definedName name="ci_mov_eq_aeration">'Cost Equations'!$C$189</definedName>
    <definedName name="ci_mov_eq_air">'Cost Equations'!$C$183</definedName>
    <definedName name="ci_mov_eq_back">'Cost Equations'!$C$166</definedName>
    <definedName name="ci_mov_eq_bio_air">'Cost Equations'!$C$186</definedName>
    <definedName name="ci_mov_eq_bp">'Cost Equations'!$C$177</definedName>
    <definedName name="ci_mov_eq_polymer">'Cost Equations'!$C$195</definedName>
    <definedName name="ci_mov_eq_res">'Cost Equations'!$C$180</definedName>
    <definedName name="ci_mov_eq_tank">'Cost Equations'!$C$163</definedName>
    <definedName name="cimp_mix_eq_coag">'Cost Equations'!$C$341</definedName>
    <definedName name="cimp_mix_eq_e_donor">'Cost Equations'!$C$302</definedName>
    <definedName name="cimp_mix_eq_H2O2">'Cost Equations'!$C$326</definedName>
    <definedName name="cimp_mix_eq_H3PO4">'Cost Equations'!$C$318</definedName>
    <definedName name="cimp_mix_eq_NH4Cl">'Cost Equations'!$C$310</definedName>
    <definedName name="cimp_mix_eq_polymer">'Cost Equations'!$C$349</definedName>
    <definedName name="city_index">OUTPUT!$C$543</definedName>
    <definedName name="Clerical_LOE">'O&amp;M'!$C$53</definedName>
    <definedName name="Clerical_percent">'O&amp;M Assumptions'!$C$18</definedName>
    <definedName name="clo4_analysis_cost_cl">'Cost Data'!$D$1320</definedName>
    <definedName name="ClO4_analyzer">'Critical Design Assumptions'!$C$176</definedName>
    <definedName name="ClO4_in">INPUT!$G$40</definedName>
    <definedName name="clo4analyzer_cost_cl">'Cost Data'!$B$189:$F$189</definedName>
    <definedName name="cm_cost">Indirect!$C$95</definedName>
    <definedName name="cm_pump_rating_coag">'Residuals Management'!$C$75</definedName>
    <definedName name="cm_pump_rating_coag_filt">'Post-Treatment'!$C$151</definedName>
    <definedName name="cm_pump_rating_e_donor">'Pumps Pipe Structure'!$C$21</definedName>
    <definedName name="cm_pump_rating_H2O2">'Pumps Pipe Structure'!$C$46</definedName>
    <definedName name="cm_pump_rating_H3PO4">'Pumps Pipe Structure'!$C$29</definedName>
    <definedName name="cm_pump_rating_NH4Cl">'Pumps Pipe Structure'!$C$25</definedName>
    <definedName name="cm_pump_rating_polymer">'Residuals Management'!$C$88</definedName>
    <definedName name="cm_pumps_coag">'Residuals Management'!$C$74</definedName>
    <definedName name="cm_pumps_coag_filt">'Post-Treatment'!$C$150</definedName>
    <definedName name="cm_pumps_e_donor">'Pumps Pipe Structure'!$C$20</definedName>
    <definedName name="cm_pumps_H2O2">'Pumps Pipe Structure'!$C$45</definedName>
    <definedName name="cm_pumps_H3PO4">'Pumps Pipe Structure'!$C$28</definedName>
    <definedName name="cm_pumps_NH4Cl">'Pumps Pipe Structure'!$C$24</definedName>
    <definedName name="cm_pumps_polymer">'Residuals Management'!$C$87</definedName>
    <definedName name="cmix_hp_max">Chemicals!$C$24</definedName>
    <definedName name="cmix_hp_per">'Critical Design Assumptions'!$C$125</definedName>
    <definedName name="cmount_mix_eq_coag">'Cost Equations'!$C$340</definedName>
    <definedName name="cmount_mix_eq_e_donor">'Cost Equations'!$C$301</definedName>
    <definedName name="cmount_mix_eq_H2O2">'Cost Equations'!$C$325</definedName>
    <definedName name="cmount_mix_eq_H3PO4">'Cost Equations'!$C$317</definedName>
    <definedName name="cmount_mix_eq_NH4Cl">'Cost Equations'!$C$309</definedName>
    <definedName name="cmount_mix_eq_polymer">'Cost Equations'!$C$348</definedName>
    <definedName name="coag_chv_pump">'Critical Design Assumptions'!$C$154</definedName>
    <definedName name="coag_cmix_per_tank">'Post-Treatment'!$C$158</definedName>
    <definedName name="coag_cmix_size">'Post-Treatment'!$C$160</definedName>
    <definedName name="coag_cmixers">'Post-Treatment'!$C$159</definedName>
    <definedName name="coag_coating_gal">'Post-Treatment'!$C$176</definedName>
    <definedName name="coag_cont_fp">'Post-Treatment'!$C$170</definedName>
    <definedName name="coag_cont_volume">'Post-Treatment'!$C$169</definedName>
    <definedName name="coag_curb_concrete">'Post-Treatment'!$C$175</definedName>
    <definedName name="coag_curb_height">'Post-Treatment'!$C$171</definedName>
    <definedName name="coag_curb_len_long">'Post-Treatment'!$C$173</definedName>
    <definedName name="coag_curb_len_short">'Post-Treatment'!$C$174</definedName>
    <definedName name="coag_curb_thick">'Post-Treatment'!$C$172</definedName>
    <definedName name="coag_day">'Post-Treatment'!$C$134</definedName>
    <definedName name="coag_day_design_flow">'Post-Treatment'!$C$135</definedName>
    <definedName name="coag_day_fp">'Pumps Pipe Structure'!$C$149</definedName>
    <definedName name="coag_day_gal">'Residuals Management'!$C$71</definedName>
    <definedName name="coag_day_gal_filt">'Post-Treatment'!$C$136</definedName>
    <definedName name="coag_day_gal_filt_design_flow">'Post-Treatment'!$C$137</definedName>
    <definedName name="coag_day_lbs">'Residuals Management'!$C$70</definedName>
    <definedName name="coag_day_tank_vol">'Post-Treatment'!$C$163</definedName>
    <definedName name="coag_day_tank_vol_needed">'Post-Treatment'!$C$161</definedName>
    <definedName name="coag_day_tanks">'Post-Treatment'!$C$162</definedName>
    <definedName name="coag_density">'Critical Design Assumptions'!$C$222</definedName>
    <definedName name="coag_density_filt">'Critical Design Assumptions'!$C$87</definedName>
    <definedName name="coag_dmix_per_tank">'Post-Treatment'!$C$164</definedName>
    <definedName name="coag_dmix_size">'Post-Treatment'!$C$166</definedName>
    <definedName name="coag_dmixers">'Post-Treatment'!$C$165</definedName>
    <definedName name="coag_dose">'Critical Design Assumptions'!$C$221</definedName>
    <definedName name="coag_dose_filt">'Critical Design Assumptions'!$C$86</definedName>
    <definedName name="coag_dt_coating_gal">'Post-Treatment'!$C$186</definedName>
    <definedName name="coag_dt_cont_fp">'Post-Treatment'!$C$180</definedName>
    <definedName name="coag_dt_cont_volume">'Post-Treatment'!$C$179</definedName>
    <definedName name="coag_dt_curb_concrete">'Post-Treatment'!$C$185</definedName>
    <definedName name="coag_dt_curb_height">'Post-Treatment'!$C$181</definedName>
    <definedName name="coag_dt_curb_len_long">'Post-Treatment'!$C$183</definedName>
    <definedName name="coag_dt_curb_len_short">'Post-Treatment'!$C$184</definedName>
    <definedName name="coag_dt_curb_thick">'Post-Treatment'!$C$182</definedName>
    <definedName name="coag_dt_diam">'Pumps Pipe Structure'!$C$100</definedName>
    <definedName name="coag_fp">'Pumps Pipe Structure'!$C$148</definedName>
    <definedName name="coag_imp_mix_eq">'Cost Equations'!$C$353</definedName>
    <definedName name="coag_mix_diam">'Pumps Pipe Structure'!$C$102</definedName>
    <definedName name="coag_mix_fp">'Pumps Pipe Structure'!$C$128</definedName>
    <definedName name="coag_mix_tank">'Post-Treatment'!$C$143</definedName>
    <definedName name="coag_mix_tank_size">'Post-Treatment'!$C$144</definedName>
    <definedName name="coag_mix_time">'Critical Design Assumptions'!$C$89</definedName>
    <definedName name="coag_mount_mix_eq">'Cost Equations'!$C$352</definedName>
    <definedName name="coag_pct">'Critical Design Assumptions'!$C$223</definedName>
    <definedName name="coag_pct_filt">'Critical Design Assumptions'!$C$88</definedName>
    <definedName name="coag_pipe_diam">'Pumps Pipe Structure'!$C$80</definedName>
    <definedName name="coag_pipe_flow">'Pumps Pipe Structure'!$C$79</definedName>
    <definedName name="coag_pipe_length">'Pumps Pipe Structure'!$C$57</definedName>
    <definedName name="coag_purchase">'Post-Treatment'!$C$192</definedName>
    <definedName name="coag_rate">'Residuals Management'!$C$73</definedName>
    <definedName name="coag_rate_filt">'Post-Treatment'!$C$149</definedName>
    <definedName name="coag_res">'Critical Design Assumptions'!$C$220</definedName>
    <definedName name="coag_spf">'Critical Design Assumptions'!$C$224</definedName>
    <definedName name="coag_st_diam">'Pumps Pipe Structure'!$C$99</definedName>
    <definedName name="coag_storage_gal">'Post-Treatment'!$C$154</definedName>
    <definedName name="coag_storage_gal_filt">'Post-Treatment'!$C$138</definedName>
    <definedName name="coag_storage_lbs">'Residuals Management'!$C$72</definedName>
    <definedName name="coag_storage_lbs_bulk">'Post-Treatment'!$C$155</definedName>
    <definedName name="coag_tank_vol">'Post-Treatment'!$C$157</definedName>
    <definedName name="coag_tanks">'Post-Treatment'!$C$156</definedName>
    <definedName name="coag_TSSrem">'Critical Design Assumptions'!$C$234</definedName>
    <definedName name="coag_valve_size">'Instrumentation and Control'!$C$22</definedName>
    <definedName name="coag_yr">'Residuals Management'!$C$178</definedName>
    <definedName name="coag_yr_filt">'Post-Treatment'!$C$139</definedName>
    <definedName name="Coeff_Kp">'Indirect Assumptions'!$C$33</definedName>
    <definedName name="comm_diam">INPUT!$G$61</definedName>
    <definedName name="comm_height_length">INPUT!$G$60</definedName>
    <definedName name="comm_load_rate">'Bioreactor Constraints'!$C$42</definedName>
    <definedName name="comm_load_rate_filt">'Post-Treatment'!$C$89</definedName>
    <definedName name="comm_SA">'Bioreactor Constraints'!$C$41</definedName>
    <definedName name="comm_SA_filt">'Post-Treatment'!$C$88</definedName>
    <definedName name="comm_vol">'Bioreactor Constraints'!$C$43</definedName>
    <definedName name="comm_vol_filt">'Post-Treatment'!$C$90</definedName>
    <definedName name="comm_vol_gal">'Bioreactor Constraints'!$C$44</definedName>
    <definedName name="comm_vol_gal_filt">'Post-Treatment'!$C$91</definedName>
    <definedName name="comp_bed_depth">AutoSize!$C$73</definedName>
    <definedName name="comp_bed_depth_a">AutoSize!$E$159</definedName>
    <definedName name="comp_bed_depth_a_filt">AutoSize!$E$335</definedName>
    <definedName name="comp_bed_depth_filt">AutoSize!$C$249</definedName>
    <definedName name="comp_horiz_bed_depth">AutoSize!$E$70</definedName>
    <definedName name="comp_horiz_bed_depth_filt">AutoSize!$C$246</definedName>
    <definedName name="comp_horiz_diam">AutoSize!$E$66</definedName>
    <definedName name="comp_horiz_diam_filt">AutoSize!$C$242</definedName>
    <definedName name="comp_horiz_expanded_bd">AutoSize!$C$65</definedName>
    <definedName name="comp_horiz_expanded_bd_filt">AutoSize!$C$241</definedName>
    <definedName name="comp_horiz_length">AutoSize!$E$68</definedName>
    <definedName name="comp_horiz_length_filt">AutoSize!$C$244</definedName>
    <definedName name="comp_horiz_max_media">AutoSize!$C$41</definedName>
    <definedName name="comp_horiz_max_media_filt">AutoSize!$C$217</definedName>
    <definedName name="comp_horiz_min_number">AutoSize!$C$46</definedName>
    <definedName name="comp_horiz_min_number_filt">AutoSize!$C$222</definedName>
    <definedName name="comp_horiz_void_area">AutoSize!$C$64</definedName>
    <definedName name="comp_horiz_void_area_filt">AutoSize!$C$240</definedName>
    <definedName name="comp_horiz_void_required">AutoSize!$C$40</definedName>
    <definedName name="comp_horiz_void_required_filt">AutoSize!$C$216</definedName>
    <definedName name="comp_in_nlines">AutoSize!$C$50</definedName>
    <definedName name="comp_in_nlines_a">AutoSize!$C$151</definedName>
    <definedName name="comp_in_nlines_a_filt">AutoSize!$C$327</definedName>
    <definedName name="comp_in_nlines_filt">AutoSize!$C$226</definedName>
    <definedName name="comp_length_width_a">AutoSize!$E$156</definedName>
    <definedName name="comp_length_width_a_filt">AutoSize!$E$332</definedName>
    <definedName name="comp_level_valid">'Lookup Tables'!$A$37:$A$40</definedName>
    <definedName name="comp_max_bed_depth_a">AutoSize!$C$166</definedName>
    <definedName name="comp_max_bed_depth_a_filt">AutoSize!$C$342</definedName>
    <definedName name="comp_max_horiz_bed_depth">AutoSize!$C$124</definedName>
    <definedName name="comp_max_horiz_bed_depth_filt">AutoSize!$C$300</definedName>
    <definedName name="comp_max_horiz_diam">AutoSize!$C$108</definedName>
    <definedName name="comp_max_horiz_diam_filt">AutoSize!$C$284</definedName>
    <definedName name="comp_max_horiz_length">AutoSize!$C$116</definedName>
    <definedName name="comp_max_horiz_length_filt">AutoSize!$C$292</definedName>
    <definedName name="comp_max_horiz_sa">AutoSize!$C$34</definedName>
    <definedName name="comp_max_horiz_sa_filt">AutoSize!$C$210</definedName>
    <definedName name="comp_max_length_a">AutoSize!$C$174</definedName>
    <definedName name="comp_max_length_a_filt">AutoSize!$C$350</definedName>
    <definedName name="comp_max_sa_a">AutoSize!$C$170</definedName>
    <definedName name="comp_max_sa_a_filt">AutoSize!$C$346</definedName>
    <definedName name="comp_max_sa_vessel">AutoSize!$C$78</definedName>
    <definedName name="comp_max_sa_vessel_filt">AutoSize!$C$254</definedName>
    <definedName name="comp_max_vert_bed_depth">AutoSize!$C$102</definedName>
    <definedName name="comp_max_vert_bed_depth_filt">AutoSize!$C$278</definedName>
    <definedName name="comp_max_vert_diam">AutoSize!$C$94</definedName>
    <definedName name="comp_max_vert_diam_filt">AutoSize!$C$270</definedName>
    <definedName name="comp_max_vert_height">AutoSize!$C$84</definedName>
    <definedName name="comp_max_vert_height_filt">AutoSize!$C$260</definedName>
    <definedName name="comp_max_vol">AutoSize!$C$31</definedName>
    <definedName name="comp_max_vol_filt">AutoSize!$C$207</definedName>
    <definedName name="comp_max_vol_length">AutoSize!$C$33</definedName>
    <definedName name="comp_max_vol_length_filt">AutoSize!$C$209</definedName>
    <definedName name="comp_max_width_a">AutoSize!$C$178</definedName>
    <definedName name="comp_max_width_a_filt">AutoSize!$C$354</definedName>
    <definedName name="comp_min_bed_depth_a">AutoSize!$C$165</definedName>
    <definedName name="comp_min_bed_depth_a_filt">AutoSize!$C$341</definedName>
    <definedName name="comp_min_horiz_bed_depth">AutoSize!$C$121</definedName>
    <definedName name="comp_min_horiz_bed_depth_filt">AutoSize!$C$297</definedName>
    <definedName name="comp_min_horiz_diam">AutoSize!$C$105</definedName>
    <definedName name="comp_min_horiz_diam_filt">AutoSize!$C$281</definedName>
    <definedName name="comp_min_horiz_length">AutoSize!$C$113</definedName>
    <definedName name="comp_min_horiz_length_filt">AutoSize!$C$289</definedName>
    <definedName name="comp_min_length_a">AutoSize!$C$173</definedName>
    <definedName name="comp_min_length_a_filt">AutoSize!$C$349</definedName>
    <definedName name="comp_min_sa_a">AutoSize!$C$169</definedName>
    <definedName name="comp_min_sa_a_filt">AutoSize!$C$345</definedName>
    <definedName name="comp_min_sa_vessel">AutoSize!$C$77</definedName>
    <definedName name="comp_min_sa_vessel_filt">AutoSize!$C$253</definedName>
    <definedName name="comp_min_vert_bed_depth">AutoSize!$C$99</definedName>
    <definedName name="comp_min_vert_bed_depth_filt">AutoSize!$C$275</definedName>
    <definedName name="comp_min_vert_diam">AutoSize!$C$90</definedName>
    <definedName name="comp_min_vert_diam_filt">AutoSize!$C$266</definedName>
    <definedName name="comp_min_vert_height">AutoSize!$C$81</definedName>
    <definedName name="comp_min_vert_height_filt">AutoSize!$C$257</definedName>
    <definedName name="comp_min_width_a">AutoSize!$C$177</definedName>
    <definedName name="comp_min_width_a_filt">AutoSize!$C$353</definedName>
    <definedName name="comp_nlines_extra_search">AutoSize!$C$49</definedName>
    <definedName name="comp_nlines_extra_search_a">AutoSize!$C$150</definedName>
    <definedName name="comp_nlines_extra_search_a_filt">AutoSize!$C$326</definedName>
    <definedName name="comp_nlines_extra_search_filt">AutoSize!$C$225</definedName>
    <definedName name="comp_out_success">AutoSize!$C$127</definedName>
    <definedName name="comp_out_success_a">AutoSize!$C$181</definedName>
    <definedName name="comp_out_success_a_filt">AutoSize!$C$357</definedName>
    <definedName name="comp_out_success_filt">AutoSize!$C$303</definedName>
    <definedName name="comp_pv_max_sizes">'Cost Equations'!$P$7:$P$10</definedName>
    <definedName name="comp_round_sa">AutoSize!$C$14</definedName>
    <definedName name="comp_round_sa_a">AutoSize!$C$134</definedName>
    <definedName name="comp_round_sa_a_filt">AutoSize!$C$310</definedName>
    <definedName name="comp_round_sa_filt">AutoSize!$C$190</definedName>
    <definedName name="comp_sa_max">AutoSize!$C$16</definedName>
    <definedName name="comp_sa_max_a">AutoSize!$C$140</definedName>
    <definedName name="comp_sa_max_a_filt">AutoSize!$C$316</definedName>
    <definedName name="comp_sa_max_filt">AutoSize!$C$192</definedName>
    <definedName name="comp_sa_min">AutoSize!$C$15</definedName>
    <definedName name="comp_sa_min_a">AutoSize!$C$139</definedName>
    <definedName name="comp_sa_min_a_filt">AutoSize!$C$315</definedName>
    <definedName name="comp_sa_min_filt">AutoSize!$C$191</definedName>
    <definedName name="comp_sa_required_horiz">AutoSize!$C$36</definedName>
    <definedName name="comp_sa_required_horiz_filt">AutoSize!$C$212</definedName>
    <definedName name="comp_sa_required_vert">AutoSize!$C$23</definedName>
    <definedName name="comp_sa_required_vert_a">AutoSize!$C$142</definedName>
    <definedName name="comp_sa_required_vert_a_filt">AutoSize!$C$318</definedName>
    <definedName name="comp_sa_required_vert_filt">AutoSize!$C$199</definedName>
    <definedName name="comp_tank_geom">AutoSize!$C$54</definedName>
    <definedName name="comp_tank_geom_filt">AutoSize!$C$230</definedName>
    <definedName name="comp_target_bed_depth_horiz">AutoSize!$C$35</definedName>
    <definedName name="comp_target_bed_depth_horiz_filt">AutoSize!$C$211</definedName>
    <definedName name="comp_target_bed_depth_vert">AutoSize!$C$22</definedName>
    <definedName name="comp_target_bed_depth_vert_a">AutoSize!$C$141</definedName>
    <definedName name="comp_target_bed_depth_vert_a_filt">AutoSize!$C$317</definedName>
    <definedName name="comp_target_bed_depth_vert_filt">AutoSize!$C$198</definedName>
    <definedName name="comp_vert_bed_depth">AutoSize!$E$60</definedName>
    <definedName name="comp_vert_bed_depth_filt">AutoSize!$E$236</definedName>
    <definedName name="comp_vert_diam">AutoSize!$E$57</definedName>
    <definedName name="comp_vert_diam_filt">AutoSize!$E$233</definedName>
    <definedName name="comp_vert_height">AutoSize!$E$61</definedName>
    <definedName name="comp_vert_height_filt">AutoSize!$E$237</definedName>
    <definedName name="comp_vert_max_media">AutoSize!$C$20</definedName>
    <definedName name="comp_vert_max_media_a">AutoSize!$C$138</definedName>
    <definedName name="comp_vert_max_media_a_filt">AutoSize!$C$314</definedName>
    <definedName name="comp_vert_max_media_filt">AutoSize!$C$196</definedName>
    <definedName name="comp_vert_max_sa">AutoSize!$C$21</definedName>
    <definedName name="comp_vert_max_sa_filt">AutoSize!$C$197</definedName>
    <definedName name="comp_vert_min_number">AutoSize!$C$28</definedName>
    <definedName name="comp_vert_min_number_a">AutoSize!$C$147</definedName>
    <definedName name="comp_vert_min_number_a_filt">AutoSize!$C$323</definedName>
    <definedName name="comp_vert_min_number_filt">AutoSize!$C$204</definedName>
    <definedName name="comp_vol_required">AutoSize!$C$17</definedName>
    <definedName name="comp_vol_required_a">AutoSize!$C$135</definedName>
    <definedName name="comp_vol_required_a_filt">AutoSize!$C$311</definedName>
    <definedName name="comp_vol_required_filt">AutoSize!$C$193</definedName>
    <definedName name="comp_vol_required_stg1">AutoSize!$C$13</definedName>
    <definedName name="comp_vol_required_stg1_filt">AutoSize!$C$189</definedName>
    <definedName name="complexity">'Indirect Assumptions'!$C$76</definedName>
    <definedName name="component_level">'Instrumentation and Control'!$C$5</definedName>
    <definedName name="component_level_I">INPUT!$G$135</definedName>
    <definedName name="conc_basin_cost_cl">'Cost Data'!$B$194:$F$194</definedName>
    <definedName name="conc_coating_cost_cl">'Cost Data'!$B$199:$F$199</definedName>
    <definedName name="conc_pad_cost_cl">'Cost Data'!$B$204:$F$204</definedName>
    <definedName name="conc_thick">'Critical Design Assumptions'!$C$57</definedName>
    <definedName name="concrete">'Pumps Pipe Structure'!$C$162</definedName>
    <definedName name="construction_mgt_table_cl">'Engineering Data'!$A$76:$C$81</definedName>
    <definedName name="cont_int_eq">'Cost Equations'!$C$16</definedName>
    <definedName name="cont_top_cost_cl">'Cost Data'!$B$209:$F$221</definedName>
    <definedName name="contact_mat_per_vessel">'Bioreactor Constraints'!$C$37</definedName>
    <definedName name="contact_mat_per_vessel_filt">'Post-Treatment'!$C$84</definedName>
    <definedName name="contact_material">'Bioreactor Constraints'!$C$36</definedName>
    <definedName name="contact_material_filt">'Post-Treatment'!$C$83</definedName>
    <definedName name="contam">'Bioreactor Constraints'!$C$11</definedName>
    <definedName name="contingency_table_cl">'Engineering Data'!$A$86:$C$91</definedName>
    <definedName name="convert_concrete_cy_to_lbs_cl">'Engineering Data'!$C$94</definedName>
    <definedName name="convert_concrete_to_cement_cl">'Engineering Data'!$C$97</definedName>
    <definedName name="cool_DD">'O&amp;M Assumptions'!$C$57</definedName>
    <definedName name="cool_viload">'O&amp;M Assumptions'!$C$59</definedName>
    <definedName name="cooling">'O&amp;M'!$C$107</definedName>
    <definedName name="cooling_hp">'O&amp;M'!$C$108</definedName>
    <definedName name="cooling_matl_rate_cl">'Cost Data'!$D$1323</definedName>
    <definedName name="cooling_table">'Indirect Assumptions'!$A$121:$E$123</definedName>
    <definedName name="cooling_table_shed">'Indirect Assumptions'!$A$125:$E$127</definedName>
    <definedName name="COP">'O&amp;M Assumptions'!$C$61</definedName>
    <definedName name="cost_buildup_error">OUTPUT!$C$650</definedName>
    <definedName name="cpvc_pipe_cost_cl">'Cost Data'!$B$226:$F$241</definedName>
    <definedName name="cpvc_pipe_eq_back">'Cost Equations'!$C$100</definedName>
    <definedName name="cpvc_pipe_eq_bp">'Cost Equations'!$C$131</definedName>
    <definedName name="cpvc_pipe_eq_coag">'Cost Equations'!$C$152</definedName>
    <definedName name="cpvc_pipe_eq_e_donor">'Cost Equations'!$C$105</definedName>
    <definedName name="cpvc_pipe_eq_H2O2">'Cost Equations'!$C$147</definedName>
    <definedName name="cpvc_pipe_eq_H3PO4">'Cost Equations'!$C$115</definedName>
    <definedName name="cpvc_pipe_eq_in_out">'Cost Equations'!$C$137</definedName>
    <definedName name="cpvc_pipe_eq_NH4Cl">'Cost Equations'!$C$110</definedName>
    <definedName name="cpvc_pipe_eq_polymer">'Cost Equations'!$C$155</definedName>
    <definedName name="cpvc_pipe_eq_proc">'Cost Equations'!$C$121</definedName>
    <definedName name="cpvc_pipe_eq_rec">'Cost Equations'!$C$126</definedName>
    <definedName name="cpvc_pipe_eq_res">'Cost Equations'!$C$142</definedName>
    <definedName name="cs_pv_cost_cl">'Cost Data'!$B$246:$F$251</definedName>
    <definedName name="cs_pv_eq">'Cost Equations'!$C$8</definedName>
    <definedName name="cs_pv_eq_filt">'Cost Equations'!$C$36</definedName>
    <definedName name="csp_pv_cost_cl">'Cost Data'!$B$256:$F$261</definedName>
    <definedName name="csp_pv_eq">'Cost Equations'!$C$9</definedName>
    <definedName name="csp_pv_eq_filt">'Cost Equations'!$C$37</definedName>
    <definedName name="cstore_days">'Critical Design Assumptions'!$C$225</definedName>
    <definedName name="cul_indir">OUTPUT!$C$635</definedName>
    <definedName name="cul_indir_add_table">OUTPUT!$B$626:$C$627,OUTPUT!$B$629:$C$633,OUTPUT!$B$635:$C$636,OUTPUT!$B$641:$C$641,OUTPUT!$B$516:$C$518</definedName>
    <definedName name="cul_indir_mult_table">OUTPUT!$B$628:$C$628,OUTPUT!$B$634:$C$634,OUTPUT!$B$637:$C$640</definedName>
    <definedName name="cul_om_table">OUTPUT!$B$555:$H$607</definedName>
    <definedName name="current_year_cl">'Cost Data'!$C$265</definedName>
    <definedName name="curve">'Critical Design Assumptions'!$C$5</definedName>
    <definedName name="CXOutput">OUTPUT!$A$19:$M$605</definedName>
    <definedName name="day_tank_needed">'Critical Design Assumptions'!$C$123</definedName>
    <definedName name="deep_bore_need">'Indirect Assumptions'!$C$51</definedName>
    <definedName name="design_air_flow">'Pumps Pipe Structure'!$C$34</definedName>
    <definedName name="design_air_flow_aeration">'Pumps Pipe Structure'!$C$42</definedName>
    <definedName name="design_air_flow_bio">'Pumps Pipe Structure'!$C$38</definedName>
    <definedName name="design_flow">'Bioreactor Constraints'!$C$6</definedName>
    <definedName name="design_flow_I">INPUT!$G$30</definedName>
    <definedName name="design_flow_rate">'Bioreactor Constraints'!$C$8</definedName>
    <definedName name="design_type">'Bioreactor Constraints'!$C$12</definedName>
    <definedName name="df_units">INPUT!$H$30</definedName>
    <definedName name="di_pipe_cost_cl">'Cost Data'!$B$270:$F$284</definedName>
    <definedName name="di_pipe_eq_in_out">'Cost Equations'!$C$136</definedName>
    <definedName name="di_pipe_eq_proc">'Cost Equations'!$C$120</definedName>
    <definedName name="diameter">'Bioreactor Constraints'!$C$49</definedName>
    <definedName name="diameter_filt">'Post-Treatment'!$C$96</definedName>
    <definedName name="diesel_cost_cl">'Cost Data'!$D$1326</definedName>
    <definedName name="diesel_eff">'O&amp;M Assumptions'!$C$65</definedName>
    <definedName name="diesel_heat_content">'O&amp;M Assumptions'!$C$69</definedName>
    <definedName name="diesel_non_eff">'O&amp;M Assumptions'!$C$64</definedName>
    <definedName name="diffuser_cost_cl">'Cost Data'!$B$289:$F$295</definedName>
    <definedName name="diffuser_eq">'Cost Equations'!$C$51</definedName>
    <definedName name="diffuser_size">'Post-Treatment'!$C$18</definedName>
    <definedName name="dike_volume">'Residuals Management'!$C$167</definedName>
    <definedName name="dike_xsection">'Critical Design Assumptions'!$C$283</definedName>
    <definedName name="diluted_rate">'Post-Treatment'!$C$40</definedName>
    <definedName name="dimp_mix_eq_coag">'Cost Equations'!$C$345</definedName>
    <definedName name="dimp_mix_eq_e_donor">'Cost Equations'!$C$306</definedName>
    <definedName name="dimp_mix_eq_H2O2">'Cost Equations'!$C$330</definedName>
    <definedName name="dimp_mix_eq_H3PO4">'Cost Equations'!$C$322</definedName>
    <definedName name="dimp_mix_eq_NH4Cl">'Cost Equations'!$C$314</definedName>
    <definedName name="direct_cost">OUTPUT!$C$512</definedName>
    <definedName name="direct_for_UL">OUTPUT!$W$508</definedName>
    <definedName name="Discount_rate">OUTPUT!$C$612</definedName>
    <definedName name="discrete_inputs">'Instrumentation and Control'!$C$85</definedName>
    <definedName name="discrete_outputs">'Instrumentation and Control'!$C$86</definedName>
    <definedName name="distance_above">'Bioreactor Constraints'!$C$27</definedName>
    <definedName name="distance_above_filt">'Post-Treatment'!$C$74</definedName>
    <definedName name="dmount_mix_eq_coag">'Cost Equations'!$C$344</definedName>
    <definedName name="dmount_mix_eq_e_donor">'Cost Equations'!$C$305</definedName>
    <definedName name="dmount_mix_eq_H2O2">'Cost Equations'!$C$329</definedName>
    <definedName name="dmount_mix_eq_H3PO4">'Cost Equations'!$C$321</definedName>
    <definedName name="dmount_mix_eq_NH4Cl">'Cost Equations'!$C$313</definedName>
    <definedName name="DO_analyzer">'Critical Design Assumptions'!$C$178</definedName>
    <definedName name="doanalyzer_cost_cl">'Cost Data'!$B$300:$F$300</definedName>
    <definedName name="dose_calc">Chemicals!$C$33</definedName>
    <definedName name="dredging_freq">'Critical Design Assumptions'!$C$281</definedName>
    <definedName name="e_donor_cmix_per_tank">Chemicals!$C$25</definedName>
    <definedName name="e_donor_cmix_size">Chemicals!$C$27</definedName>
    <definedName name="e_donor_cmixers">Chemicals!$C$26</definedName>
    <definedName name="e_donor_day">Chemicals!$C$13</definedName>
    <definedName name="e_donor_day_100pct">Chemicals!$C$12</definedName>
    <definedName name="e_donor_day_fp">'Pumps Pipe Structure'!$C$144</definedName>
    <definedName name="e_donor_day_tank_vol">Chemicals!$C$23</definedName>
    <definedName name="e_donor_day_tank_vol_needed">Chemicals!$C$21</definedName>
    <definedName name="e_donor_day_tanks">Chemicals!$C$22</definedName>
    <definedName name="e_donor_day_vol">Chemicals!$C$14</definedName>
    <definedName name="e_donor_dmix_per_tank">Chemicals!$C$28</definedName>
    <definedName name="e_donor_dmix_size">Chemicals!$C$30</definedName>
    <definedName name="e_donor_dmixers">Chemicals!$C$29</definedName>
    <definedName name="e_donor_dose">Chemicals!$C$11</definedName>
    <definedName name="e_donor_dose_I">INPUT!$G$38</definedName>
    <definedName name="e_donor_dt_coating_gal">Chemicals!$C$120</definedName>
    <definedName name="e_donor_dt_cont_fp">Chemicals!$C$114</definedName>
    <definedName name="e_donor_dt_cont_volume">Chemicals!$C$113</definedName>
    <definedName name="e_donor_dt_curb_concrete">Chemicals!$C$119</definedName>
    <definedName name="e_donor_dt_curb_height">Chemicals!$C$115</definedName>
    <definedName name="e_donor_dt_curb_len_long">Chemicals!$C$117</definedName>
    <definedName name="e_donor_dt_curb_len_short">Chemicals!$C$118</definedName>
    <definedName name="e_donor_dt_curb_thick">Chemicals!$C$116</definedName>
    <definedName name="e_donor_dt_diam">'Pumps Pipe Structure'!$C$93</definedName>
    <definedName name="e_donor_fp">'Pumps Pipe Structure'!$C$140</definedName>
    <definedName name="e_donor_pipe_diam">'Pumps Pipe Structure'!$C$70</definedName>
    <definedName name="e_donor_pipe_flow">'Pumps Pipe Structure'!$C$69</definedName>
    <definedName name="e_donor_pipe_length">'Pumps Pipe Structure'!$C$53</definedName>
    <definedName name="e_donor_st_coating_gal">Chemicals!$C$110</definedName>
    <definedName name="e_donor_st_cont_fp">Chemicals!$C$104</definedName>
    <definedName name="e_donor_st_cont_volume">Chemicals!$C$103</definedName>
    <definedName name="e_donor_st_curb_concrete">Chemicals!$C$109</definedName>
    <definedName name="e_donor_st_curb_height">Chemicals!$C$105</definedName>
    <definedName name="e_donor_st_curb_len_long">Chemicals!$C$107</definedName>
    <definedName name="e_donor_st_curb_len_short">Chemicals!$C$108</definedName>
    <definedName name="e_donor_st_curb_thick">Chemicals!$C$106</definedName>
    <definedName name="e_donor_st_diam">'Pumps Pipe Structure'!$C$89</definedName>
    <definedName name="e_donor_store">Chemicals!$C$15</definedName>
    <definedName name="e_donor_tank_vol">Chemicals!$C$20</definedName>
    <definedName name="e_donor_tanks">Chemicals!$C$19</definedName>
    <definedName name="e_donor_type">Chemicals!$C$10</definedName>
    <definedName name="e_donor_type_I">INPUT!$G$37</definedName>
    <definedName name="e_donor_valve_size">'Instrumentation and Control'!$C$12</definedName>
    <definedName name="EBCT">'Bioreactor Constraints'!$C$13</definedName>
    <definedName name="ebct_filt">'Critical Design Assumptions'!$C$68</definedName>
    <definedName name="ebct_I">INPUT!$G$53</definedName>
    <definedName name="EBCT_tank">'Bioreactor Constraints'!$C$25</definedName>
    <definedName name="EBCT_tank_filt">'Post-Treatment'!$C$71</definedName>
    <definedName name="eductor_size_table_cl">'Engineering Data'!$A$102:$B$108</definedName>
    <definedName name="EER">'O&amp;M Assumptions'!$C$66</definedName>
    <definedName name="effluent_TSS">'Critical Design Assumptions'!$C$253</definedName>
    <definedName name="elec_encl">'Critical Design Assumptions'!$C$182</definedName>
    <definedName name="elec_encl_cost_cl">'Cost Data'!$B$305:$F$305</definedName>
    <definedName name="elect_pct">'Indirect Assumptions'!$C$67</definedName>
    <definedName name="eloss_blowers">HVAC!$C$49</definedName>
    <definedName name="eloss_bw_pumps">HVAC!$C$47</definedName>
    <definedName name="eloss_pumps">HVAC!$C$43</definedName>
    <definedName name="eloss_recycle_pumps">HVAC!$C$45</definedName>
    <definedName name="eloss_scour_blowers">HVAC!$C$51</definedName>
    <definedName name="energy_cost_cl">'Cost Data'!$D$1329</definedName>
    <definedName name="eng_pct_large">'Indirect Assumptions'!$C$81</definedName>
    <definedName name="eng_pct_medium">'Indirect Assumptions'!$C$80</definedName>
    <definedName name="eng_pct_small">'Indirect Assumptions'!$C$79</definedName>
    <definedName name="ep_backfill_vol">'Residuals Management'!$C$166</definedName>
    <definedName name="ep_cell_side">'Residuals Management'!$C$164</definedName>
    <definedName name="ep_cells">'Residuals Management'!$C$163</definedName>
    <definedName name="ep_depth">'Residuals Management'!$C$162</definedName>
    <definedName name="ep_dike_construct_cl">'Cost Data'!$D$309</definedName>
    <definedName name="ep_excavation_vol">'Residuals Management'!$C$165</definedName>
    <definedName name="ep_fp">'Pumps Pipe Structure'!$C$164</definedName>
    <definedName name="ep_freeboard">'Critical Design Assumptions'!$C$279</definedName>
    <definedName name="ep_liner_cost_cl">'Cost Data'!$B$314:$F$314</definedName>
    <definedName name="ep_overexcavate">'Critical Design Assumptions'!$C$280</definedName>
    <definedName name="ep_safety_factor">'Critical Design Assumptions'!$C$276</definedName>
    <definedName name="ep_solids">'Residuals Management'!$C$29</definedName>
    <definedName name="ep_solids_density">'Critical Design Assumptions'!$C$282</definedName>
    <definedName name="ep_solids_depth">'Residuals Management'!$C$160</definedName>
    <definedName name="ep_total_sa">'Residuals Management'!$C$159</definedName>
    <definedName name="ep_water_depth">'Residuals Management'!$C$161</definedName>
    <definedName name="eq_table_cl">'Cost Coefficients'!$A$6:$P$66</definedName>
    <definedName name="ethanol_dens">'Critical Design Assumptions'!$C$104</definedName>
    <definedName name="ethanol_dose_sample">Chemicals!$C$35</definedName>
    <definedName name="ethanol_purchase">Chemicals!$C$88</definedName>
    <definedName name="ethanol_store">Chemicals!$C$17</definedName>
    <definedName name="ethanol_use">'O&amp;M'!$C$15</definedName>
    <definedName name="evap_ratio">'Critical Design Assumptions'!$C$273</definedName>
    <definedName name="ex_TSS_total">'Residuals Management'!$C$189</definedName>
    <definedName name="excavate_cost_cl">'Cost Data'!$B$319:$F$319</definedName>
    <definedName name="excavation_vol">'Bioreactor Constraints'!$C$72</definedName>
    <definedName name="facil_length">'Pumps Pipe Structure'!$C$163</definedName>
    <definedName name="fan_days_build1_large">'O&amp;M Assumptions'!$C$51</definedName>
    <definedName name="fan_days_build1_medium">'O&amp;M Assumptions'!$C$49</definedName>
    <definedName name="fan_days_build1_small">'O&amp;M Assumptions'!$C$47</definedName>
    <definedName name="fan_days_build2_large">'O&amp;M Assumptions'!$C$52</definedName>
    <definedName name="fan_days_build2_medium">'O&amp;M Assumptions'!$C$50</definedName>
    <definedName name="fan_days_build2_small">'O&amp;M Assumptions'!$C$48</definedName>
    <definedName name="Fan_pressure_drop">'O&amp;M Assumptions'!$C$46</definedName>
    <definedName name="fg_aeration_eq">'Cost Equations'!$C$48</definedName>
    <definedName name="fg_bwt_cost_cl">'Cost Data'!$B$324:$F$355</definedName>
    <definedName name="fg_bwt_eq">'Cost Equations'!$C$44</definedName>
    <definedName name="fg_coag_day_eq">'Cost Equations'!$C$89</definedName>
    <definedName name="fg_coag_eq">'Cost Equations'!$C$96</definedName>
    <definedName name="fg_coag_st_eq">'Cost Equations'!$C$86</definedName>
    <definedName name="fg_cst_cost_cl">'Cost Data'!$B$360:$F$389</definedName>
    <definedName name="fg_e_donor_day_eq">'Cost Equations'!$C$68</definedName>
    <definedName name="fg_e_donor_st_eq">'Cost Equations'!$C$54</definedName>
    <definedName name="fg_H3PO4_day_eq">'Cost Equations'!$C$76</definedName>
    <definedName name="fg_H3PO4_st_eq">'Cost Equations'!$C$62</definedName>
    <definedName name="fg_ht_eq">'Cost Equations'!$C$82</definedName>
    <definedName name="fg_NH4Cl_day_eq">'Cost Equations'!$C$72</definedName>
    <definedName name="fg_NH4Cl_st_eq">'Cost Equations'!$C$58</definedName>
    <definedName name="fg_polymer_st_eq">'Cost Equations'!$C$92</definedName>
    <definedName name="fg_pv_cost_cl">'Cost Data'!$B$394:$F$399</definedName>
    <definedName name="fg_pv_eq">'Cost Equations'!$C$10</definedName>
    <definedName name="fg_pv_eq_filt">'Cost Equations'!$C$38</definedName>
    <definedName name="filt_backfill_vol">'Post-Treatment'!$C$119</definedName>
    <definedName name="filt_basin_area">'Post-Treatment'!$C$121</definedName>
    <definedName name="filt_basin_conc_vol">'Post-Treatment'!$C$117</definedName>
    <definedName name="filt_basin_depth">'Post-Treatment'!$C$113</definedName>
    <definedName name="filt_basin_length">INPUT!$G$96</definedName>
    <definedName name="filt_basin_op_depth">INPUT!$G$97</definedName>
    <definedName name="filt_basin_width">INPUT!$G$95</definedName>
    <definedName name="filt_bed_depth">INPUT!$G$106</definedName>
    <definedName name="filt_bed_expansion">'Critical Design Assumptions'!$C$78</definedName>
    <definedName name="filt_bed_volume">'Post-Treatment'!$C$111</definedName>
    <definedName name="filt_comm_diam">INPUT!$G$109</definedName>
    <definedName name="filt_comm_height_length">INPUT!$G$108</definedName>
    <definedName name="filt_excavation_vol">'Post-Treatment'!$C$118</definedName>
    <definedName name="filt_freeboard">'Critical Design Assumptions'!$C$79</definedName>
    <definedName name="filt_GAC">'Post-Treatment'!$C$131</definedName>
    <definedName name="filt_GAC_each">'Post-Treatment'!$C$127</definedName>
    <definedName name="filt_gac_eq">'Cost Equations'!$C$40</definedName>
    <definedName name="filt_int_eq">'Cost Equations'!$C$29</definedName>
    <definedName name="filt_NRD_basins_large">'Critical Design Assumptions'!$C$77</definedName>
    <definedName name="filt_NRD_basins_medium">'Critical Design Assumptions'!$C$76</definedName>
    <definedName name="filt_NRD_small">'Critical Design Assumptions'!$C$75</definedName>
    <definedName name="filt_NRD_small_1">'Critical Design Assumptions'!$C$74</definedName>
    <definedName name="filt_railing">'Post-Treatment'!$C$120</definedName>
    <definedName name="filt_tank_geom_I">INPUT!$G$107</definedName>
    <definedName name="filt_volume">'Post-Treatment'!$C$114</definedName>
    <definedName name="filter_anthracite_loss">'O&amp;M'!$C$21</definedName>
    <definedName name="filter_back_interval">'Biomass Control'!$C$12</definedName>
    <definedName name="filter_back_interval_I">INPUT!$G$119</definedName>
    <definedName name="filter_backwash_time">'Critical Design Assumptions'!$C$112</definedName>
    <definedName name="filter_backwash_yr">'O&amp;M'!$C$34</definedName>
    <definedName name="filter_fp">'Pumps Pipe Structure'!$C$151</definedName>
    <definedName name="filter_garnet_loss">'O&amp;M'!$C$22</definedName>
    <definedName name="filter_h2oflush_backwash_rate">'Critical Design Assumptions'!$C$111</definedName>
    <definedName name="filter_labor">'O&amp;M'!$C$47</definedName>
    <definedName name="filter_materials">'O&amp;M'!$C$10</definedName>
    <definedName name="filter_media_loss">'O&amp;M'!$C$23</definedName>
    <definedName name="filter_media_loss_rate">'Critical Design Assumptions'!$C$114</definedName>
    <definedName name="filter_res_flow">'Residuals Management'!$C$21</definedName>
    <definedName name="filter_res_flow_actual">'Residuals Management'!$C$20</definedName>
    <definedName name="filter_res_flow_annual">'Residuals Management'!$C$22</definedName>
    <definedName name="filter_res_stagger_time">'Residuals Management'!$C$19</definedName>
    <definedName name="filter_res_vol">'Residuals Management'!$C$18</definedName>
    <definedName name="filter_sand_loss">'O&amp;M'!$C$20</definedName>
    <definedName name="filter_type">'Post-Treatment'!$C$6</definedName>
    <definedName name="filter_type_I">INPUT!$G$89</definedName>
    <definedName name="filter_vessel_fp">'Pumps Pipe Structure'!$C$156</definedName>
    <definedName name="filter_water_flush">'Biomass Control'!$C$13</definedName>
    <definedName name="filter_waterflush_vol">'Biomass Control'!$C$14</definedName>
    <definedName name="final_num_tanks">'Bioreactor Constraints'!$C$33</definedName>
    <definedName name="final_num_tanks_filt">'Post-Treatment'!$C$80</definedName>
    <definedName name="finance_pct">'Indirect Assumptions'!$C$93</definedName>
    <definedName name="finance_pct_small">'Indirect Assumptions'!$C$94</definedName>
    <definedName name="fire_buffer">'Critical Design Assumptions'!$C$210</definedName>
    <definedName name="flow_per_vessel">'Bioreactor Constraints'!$C$29</definedName>
    <definedName name="flow_per_vessel_filt">'Post-Treatment'!$C$76</definedName>
    <definedName name="fluid_media_loss_rate">'Critical Design Assumptions'!$C$115</definedName>
    <definedName name="fm_lkp_back">'Instrumentation and Control'!$C$83</definedName>
    <definedName name="fm_lkp_io">'Instrumentation and Control'!$C$81</definedName>
    <definedName name="fm_lkp_proc">'Instrumentation and Control'!$C$82</definedName>
    <definedName name="fm_lkp_res">'Instrumentation and Control'!$C$84</definedName>
    <definedName name="fm_proc">'Critical Design Assumptions'!$C$159</definedName>
    <definedName name="fp_required">'Pumps Pipe Structure'!$C$158</definedName>
    <definedName name="free_board">'Critical Design Assumptions'!$C$24</definedName>
    <definedName name="freeboard_fluidized">'Critical Design Assumptions'!$C$42</definedName>
    <definedName name="freeboard_fluidized_small">'Critical Design Assumptions'!$C$41</definedName>
    <definedName name="freeboard_horiz_void">'Bioreactor Constraints'!$C$54</definedName>
    <definedName name="freeboard_horiz_void_filt">'Post-Treatment'!$C$101</definedName>
    <definedName name="frost">'Indirect Assumptions'!$C$30</definedName>
    <definedName name="gac_cost_cl">'Cost Data'!$B$404:$F$406</definedName>
    <definedName name="GAC_density">'Critical Design Assumptions'!$C$18</definedName>
    <definedName name="gac_eq">'Cost Equations'!$C$22</definedName>
    <definedName name="GAC_fraction">'Critical Design Assumptions'!$C$83</definedName>
    <definedName name="gac_slurry_cost_cl">'Cost Data'!$B$411:$F$423</definedName>
    <definedName name="garnet">'Post-Treatment'!$C$130</definedName>
    <definedName name="garnet_density">'Critical Design Assumptions'!$C$85</definedName>
    <definedName name="garnet_each">'Post-Treatment'!$C$126</definedName>
    <definedName name="garnet_fraction">'Critical Design Assumptions'!$C$82</definedName>
    <definedName name="gas_cost_cl">'Cost Data'!$D$1332</definedName>
    <definedName name="gas_eff">'O&amp;M Assumptions'!$C$63</definedName>
    <definedName name="gas_non_eff">'O&amp;M Assumptions'!$C$62</definedName>
    <definedName name="General_Oper_Labor">'O&amp;M'!$C$44</definedName>
    <definedName name="geotech_cost">Indirect!$C$47</definedName>
    <definedName name="H202_pipe_diam">'Pumps Pipe Structure'!$C$78</definedName>
    <definedName name="H202_pipe_flow">'Pumps Pipe Structure'!$C$77</definedName>
    <definedName name="H202_pipe_length">'Pumps Pipe Structure'!$C$56</definedName>
    <definedName name="H2O2_cmix_per_tank">'Post-Treatment'!$C$31</definedName>
    <definedName name="H2O2_cmix_size">'Post-Treatment'!$C$33</definedName>
    <definedName name="H2O2_cmixers">'Post-Treatment'!$C$32</definedName>
    <definedName name="H2O2_day">'Post-Treatment'!$C$21</definedName>
    <definedName name="H2O2_day_tank_vol">'Post-Treatment'!$C$30</definedName>
    <definedName name="H2O2_day_tank_vol_needed">'Post-Treatment'!$C$28</definedName>
    <definedName name="H2O2_day_tanks">'Post-Treatment'!$C$29</definedName>
    <definedName name="H2O2_days">'Critical Design Assumptions'!$C$121</definedName>
    <definedName name="H2O2_dilute_conc">'Critical Design Assumptions'!$C$66</definedName>
    <definedName name="H2O2_dmix_per_tank">'Post-Treatment'!$C$34</definedName>
    <definedName name="H2O2_dmix_size">'Post-Treatment'!$C$36</definedName>
    <definedName name="H2O2_dmixers">'Post-Treatment'!$C$35</definedName>
    <definedName name="H2O2_donor_day_fp">'Pumps Pipe Structure'!$C$147</definedName>
    <definedName name="H2O2_donor_fp">'Pumps Pipe Structure'!$C$143</definedName>
    <definedName name="H2O2_dose">'Critical Design Assumptions'!$C$63</definedName>
    <definedName name="H2O2_dt_coating_gal">'Post-Treatment'!$C$66</definedName>
    <definedName name="H2O2_dt_cont_fp">'Post-Treatment'!$C$60</definedName>
    <definedName name="H2O2_dt_cont_volume">'Post-Treatment'!$C$59</definedName>
    <definedName name="H2O2_dt_curb_concrete">'Post-Treatment'!$C$65</definedName>
    <definedName name="H2O2_dt_curb_height">'Post-Treatment'!$C$61</definedName>
    <definedName name="H2O2_dt_curb_len_long">'Post-Treatment'!$C$63</definedName>
    <definedName name="H2O2_dt_curb_len_short">'Post-Treatment'!$C$64</definedName>
    <definedName name="H2O2_dt_curb_thick">'Post-Treatment'!$C$62</definedName>
    <definedName name="H2O2_dt_diam">'Pumps Pipe Structure'!$C$96</definedName>
    <definedName name="H2O2_grade">'Critical Design Assumptions'!$C$64</definedName>
    <definedName name="H2O2_mixers">'Post-Treatment'!$C$27</definedName>
    <definedName name="H2O2_purchase">'Post-Treatment'!$C$46</definedName>
    <definedName name="H2O2_sg">'Critical Design Assumptions'!$C$65</definedName>
    <definedName name="H2O2_st_coating_gal">'Post-Treatment'!$C$56</definedName>
    <definedName name="H2O2_st_cont_fp">'Post-Treatment'!$C$50</definedName>
    <definedName name="H2O2_st_cont_volume">'Post-Treatment'!$C$49</definedName>
    <definedName name="H2O2_st_curb_concrete">'Post-Treatment'!$C$55</definedName>
    <definedName name="H2O2_st_curb_height">'Post-Treatment'!$C$51</definedName>
    <definedName name="H2O2_st_curb_len_long">'Post-Treatment'!$C$53</definedName>
    <definedName name="H2O2_st_curb_len_short">'Post-Treatment'!$C$54</definedName>
    <definedName name="H2O2_st_curb_thick">'Post-Treatment'!$C$52</definedName>
    <definedName name="H2O2_st_diam">'Pumps Pipe Structure'!$C$92</definedName>
    <definedName name="H2O2_store_gal">'Post-Treatment'!$C$23</definedName>
    <definedName name="H2O2_store_lbs">'Post-Treatment'!$C$24</definedName>
    <definedName name="H2O2_tank_vol">'Post-Treatment'!$C$26</definedName>
    <definedName name="H2O2_tanks">'Post-Treatment'!$C$25</definedName>
    <definedName name="H2O2_use">'O&amp;M'!$C$18</definedName>
    <definedName name="H2O2_valve_size">'Instrumentation and Control'!$C$21</definedName>
    <definedName name="h2oflush_backwash_rate">'Critical Design Assumptions'!$C$109</definedName>
    <definedName name="H3PO4_cmix_per_tank">Chemicals!$C$71</definedName>
    <definedName name="H3PO4_cmix_size">Chemicals!$C$73</definedName>
    <definedName name="H3PO4_cmixers">Chemicals!$C$72</definedName>
    <definedName name="H3PO4_day">Chemicals!$C$62</definedName>
    <definedName name="H3PO4_day_tank_vol">Chemicals!$C$70</definedName>
    <definedName name="H3PO4_day_tank_vol_needed">Chemicals!$C$68</definedName>
    <definedName name="H3PO4_day_tanks">Chemicals!$C$69</definedName>
    <definedName name="H3PO4_dens">Chemicals!$C$59</definedName>
    <definedName name="H3PO4_dmix_per_tank">Chemicals!$C$74</definedName>
    <definedName name="H3PO4_dmix_size">Chemicals!$C$76</definedName>
    <definedName name="H3PO4_dmixers">Chemicals!$C$75</definedName>
    <definedName name="H3PO4_donor_day_fp">'Pumps Pipe Structure'!$C$146</definedName>
    <definedName name="H3PO4_donor_fp">'Pumps Pipe Structure'!$C$142</definedName>
    <definedName name="H3PO4_dose_I">INPUT!$G$50</definedName>
    <definedName name="H3PO4_dt_coating_gal">Chemicals!$C$160</definedName>
    <definedName name="H3PO4_dt_cont_fp">Chemicals!$C$154</definedName>
    <definedName name="H3PO4_dt_cont_volume">Chemicals!$C$153</definedName>
    <definedName name="H3PO4_dt_curb_concrete">Chemicals!$C$159</definedName>
    <definedName name="H3PO4_dt_curb_height">Chemicals!$C$155</definedName>
    <definedName name="H3PO4_dt_curb_len_long">Chemicals!$C$157</definedName>
    <definedName name="H3PO4_dt_curb_len_short">Chemicals!$C$158</definedName>
    <definedName name="H3PO4_dt_curb_thick">Chemicals!$C$156</definedName>
    <definedName name="H3PO4_dt_diam">'Pumps Pipe Structure'!$C$95</definedName>
    <definedName name="H3PO4_pct">'Critical Design Assumptions'!$C$106</definedName>
    <definedName name="H3PO4_pipe_diam">'Pumps Pipe Structure'!$C$74</definedName>
    <definedName name="H3PO4_pipe_flow">'Pumps Pipe Structure'!$C$73</definedName>
    <definedName name="H3PO4_pipe_length">'Pumps Pipe Structure'!$C$55</definedName>
    <definedName name="H3PO4_purchase">Chemicals!$C$100</definedName>
    <definedName name="H3PO4_st_coating_gal">Chemicals!$C$150</definedName>
    <definedName name="H3PO4_st_cont_fp">Chemicals!$C$144</definedName>
    <definedName name="H3PO4_st_cont_volume">Chemicals!$C$143</definedName>
    <definedName name="H3PO4_st_curb_concrete">Chemicals!$C$149</definedName>
    <definedName name="H3PO4_st_curb_height">Chemicals!$C$145</definedName>
    <definedName name="H3PO4_st_curb_len_long">Chemicals!$C$147</definedName>
    <definedName name="H3PO4_st_curb_len_short">Chemicals!$C$148</definedName>
    <definedName name="H3PO4_st_curb_thick">Chemicals!$C$146</definedName>
    <definedName name="H3PO4_st_diam">'Pumps Pipe Structure'!$C$91</definedName>
    <definedName name="H3PO4_store">Chemicals!$C$64</definedName>
    <definedName name="H3PO4_store_lbs">Chemicals!$C$65</definedName>
    <definedName name="H3PO4_strength">Chemicals!$C$60</definedName>
    <definedName name="H3PO4_tank_vol">Chemicals!$C$67</definedName>
    <definedName name="H3PO4_tanks">Chemicals!$C$66</definedName>
    <definedName name="H3PO4_use">'O&amp;M'!$C$17</definedName>
    <definedName name="H3PO4_valve_size">'Instrumentation and Control'!$C$14</definedName>
    <definedName name="H3PO4_vol">Chemicals!$C$63</definedName>
    <definedName name="haz_disposal_cost_cl">'Cost Data'!$D$1335</definedName>
    <definedName name="haz_miles">'Critical Design Assumptions'!$C$262</definedName>
    <definedName name="haz_trans_min_cost_cl">'Cost Data'!$D$1338</definedName>
    <definedName name="haz_transportation_cost_cl">'Cost Data'!$D$1341</definedName>
    <definedName name="hbackfill_vol">'Residuals Management'!$C$54</definedName>
    <definedName name="hbasin_depth">'Residuals Management'!$C$50</definedName>
    <definedName name="hbasin_fp">'Pumps Pipe Structure'!$C$138</definedName>
    <definedName name="hbasin_length">'Residuals Management'!$C$49</definedName>
    <definedName name="hbasin_op_depth">'Residuals Management'!$C$47</definedName>
    <definedName name="hbasin_redun">'Residuals Management'!$C$43</definedName>
    <definedName name="hbasin_vol">'Residuals Management'!$C$51</definedName>
    <definedName name="hbasin_width">'Residuals Management'!$C$48</definedName>
    <definedName name="hbasins">'Residuals Management'!$C$44</definedName>
    <definedName name="hbasins_default">'Critical Design Assumptions'!$C$238</definedName>
    <definedName name="hconc_vol">'Residuals Management'!$C$52</definedName>
    <definedName name="hdpe_aeration_eq">'Cost Equations'!$C$49</definedName>
    <definedName name="hdpe_bwt_cost_cl">'Cost Data'!$B$428:$F$445</definedName>
    <definedName name="hdpe_bwt_eq">'Cost Equations'!$C$45</definedName>
    <definedName name="hdpe_coag_eq">'Cost Equations'!$C$97</definedName>
    <definedName name="hdpe_ht_eq">'Cost Equations'!$C$83</definedName>
    <definedName name="head_tank">'Critical Design Assumptions'!$C$175</definedName>
    <definedName name="headloss_cost_cl">'Cost Data'!$B$450:$F$450</definedName>
    <definedName name="heat_DD">'O&amp;M Assumptions'!$C$56</definedName>
    <definedName name="heat_viload">'O&amp;M Assumptions'!$C$58</definedName>
    <definedName name="heating">'O&amp;M'!$C$99</definedName>
    <definedName name="heating_diesel">'O&amp;M'!$C$103</definedName>
    <definedName name="heating_diesel_non">'O&amp;M'!$C$102</definedName>
    <definedName name="heating_gas">'O&amp;M'!$C$101</definedName>
    <definedName name="heating_gas_non">'O&amp;M'!$C$100</definedName>
    <definedName name="heating_hp">'O&amp;M'!$C$104</definedName>
    <definedName name="heating_matl_rate_cl">'Cost Data'!$D$1344</definedName>
    <definedName name="heating_table">'Indirect Assumptions'!$A$109:$E$111</definedName>
    <definedName name="heating_table_shed">'Indirect Assumptions'!$A$113:$E$115</definedName>
    <definedName name="height">'Bioreactor Constraints'!$C$48</definedName>
    <definedName name="height_filt">'Post-Treatment'!$C$95</definedName>
    <definedName name="hexcavation_vol">'Residuals Management'!$C$53</definedName>
    <definedName name="hh_size">OUTPUT!$C$614</definedName>
    <definedName name="himp_mix_eq">'Cost Equations'!$C$334</definedName>
    <definedName name="hmix_hp_max">'Residuals Management'!$C$64</definedName>
    <definedName name="hmix_hp_per">'Critical Design Assumptions'!$C$241</definedName>
    <definedName name="hmix_per_tank">'Residuals Management'!$C$65</definedName>
    <definedName name="hmix_size">'Residuals Management'!$C$67</definedName>
    <definedName name="hmixers">'Residuals Management'!$C$66</definedName>
    <definedName name="hmount_mix_eq">'Cost Equations'!$C$333</definedName>
    <definedName name="holding_freeboard">'Critical Design Assumptions'!$C$240</definedName>
    <definedName name="holding_ratio">'Critical Design Assumptions'!$C$239</definedName>
    <definedName name="hole_per_day">'Indirect Assumptions'!$C$56</definedName>
    <definedName name="hole_per_job">'Indirect Assumptions'!$C$55</definedName>
    <definedName name="hole_per_sf">'Indirect Assumptions'!$C$54</definedName>
    <definedName name="horiz_underdrain">'Critical Design Assumptions'!$C$25</definedName>
    <definedName name="horiz_void">'Bioreactor Constraints'!$C$56</definedName>
    <definedName name="horiz_void_filt">'Post-Treatment'!$C$103</definedName>
    <definedName name="horiz_vol_available">'Bioreactor Constraints'!$C$60</definedName>
    <definedName name="horiz_vol_available_filt">'Post-Treatment'!$C$107</definedName>
    <definedName name="households">OUTPUT!$C$618</definedName>
    <definedName name="hp_EER">'O&amp;M Assumptions'!$C$67</definedName>
    <definedName name="hp_max_cool_cl">'Engineering Data'!$C$110</definedName>
    <definedName name="hp_max_heat_cl">'Engineering Data'!$C$113</definedName>
    <definedName name="hp_ok_1">HVAC!$C$81</definedName>
    <definedName name="hp_ok_2">HVAC!$C$82</definedName>
    <definedName name="hrailing">'Residuals Management'!$C$55</definedName>
    <definedName name="hrt_aeration">'Critical Design Assumptions'!$C$61</definedName>
    <definedName name="ht_diam">'Pumps Pipe Structure'!$C$97</definedName>
    <definedName name="ht_solids">'Residuals Management'!$C$32</definedName>
    <definedName name="ht_solids_density">'Critical Design Assumptions'!$C$232</definedName>
    <definedName name="htank_clean_pct">'Critical Design Assumptions'!$C$235</definedName>
    <definedName name="htank_fp">'Pumps Pipe Structure'!$C$137</definedName>
    <definedName name="htank_TSSrem">'Critical Design Assumptions'!$C$233</definedName>
    <definedName name="htank_vol">'Residuals Management'!$C$40</definedName>
    <definedName name="htanks">'Residuals Management'!$C$39</definedName>
    <definedName name="hvac_ac_cost_cl">'Cost Data'!$B$1229:$F$1232</definedName>
    <definedName name="hvac_ac_eq_1">'Cost Equations'!$C$402</definedName>
    <definedName name="hvac_ac_eq_2">'Cost Equations'!$C$416</definedName>
    <definedName name="hvac_elec_cost_cl">'Cost Data'!$B$1237:$F$1246</definedName>
    <definedName name="hvac_elec_eq_1">'Cost Equations'!$C$396</definedName>
    <definedName name="hvac_elec_eq_2">'Cost Equations'!$C$410</definedName>
    <definedName name="hvac_gas_cost_cl">'Cost Data'!$B$1251:$F$1257</definedName>
    <definedName name="hvac_gas_eq_1">'Cost Equations'!$C$398</definedName>
    <definedName name="hvac_gas_eq_2">'Cost Equations'!$C$412</definedName>
    <definedName name="hvac_gas_non_cost_cl">'Cost Data'!$B$1262:$F$1268</definedName>
    <definedName name="hvac_gas_non_eq_1">'Cost Equations'!$C$397</definedName>
    <definedName name="hvac_gas_non_eq_2">'Cost Equations'!$C$411</definedName>
    <definedName name="hvac_hp_cost_cl">'Cost Data'!$B$1273:$F$1292</definedName>
    <definedName name="hvac_hp_eq_1">'Cost Equations'!$C$403</definedName>
    <definedName name="hvac_hp_eq_1_l">'Cost Equations'!$C$404</definedName>
    <definedName name="hvac_hp_eq_1_s">'Cost Equations'!$C$403</definedName>
    <definedName name="hvac_hp_eq_2">'Cost Equations'!$C$417</definedName>
    <definedName name="hvac_hp_eq_2_l">'Cost Equations'!$C$418</definedName>
    <definedName name="hvac_hp_eq_2_s">'Cost Equations'!$C$417</definedName>
    <definedName name="hvac_oil_mid_cost_cl">'Cost Data'!$B$1297:$F$1303</definedName>
    <definedName name="hvac_oil_mid_eq_1">'Cost Equations'!$C$400</definedName>
    <definedName name="hvac_oil_mid_eq_2">'Cost Equations'!$C$414</definedName>
    <definedName name="hvac_oil_std_cost_cl">'Cost Data'!$B$1308:$F$1314</definedName>
    <definedName name="hvac_oil_std_eq_1">'Cost Equations'!$C$399</definedName>
    <definedName name="hvac_oil_std_eq_2">'Cost Equations'!$C$413</definedName>
    <definedName name="hvol_ft">'Residuals Management'!$C$46</definedName>
    <definedName name="i_c_pct">'Indirect Assumptions'!$C$70</definedName>
    <definedName name="imp_mix_cost_cl">'Cost Data'!$B$455:$F$464</definedName>
    <definedName name="in_meter_size">'Instrumentation and Control'!$C$63</definedName>
    <definedName name="in_mix_cost_cl">'Cost Data'!$B$469:$F$487</definedName>
    <definedName name="in_mix_eq">'Cost Equations'!$C$337</definedName>
    <definedName name="in_out_pipe_diam">'Pumps Pipe Structure'!$C$62</definedName>
    <definedName name="in_out_pipe_flow">'Pumps Pipe Structure'!$C$61</definedName>
    <definedName name="in_out_pipe_length">'Pumps Pipe Structure'!$C$49</definedName>
    <definedName name="in_out_pipe_mult">'Critical Design Assumptions'!$C$137</definedName>
    <definedName name="in_pipe_diam">'Pumps Pipe Structure'!$C$62</definedName>
    <definedName name="in_valve_size">'Instrumentation and Control'!$C$9</definedName>
    <definedName name="include_arch">'Indirect Assumptions'!$C$19</definedName>
    <definedName name="include_arch_small">'Indirect Assumptions'!$C$20</definedName>
    <definedName name="include_bond">'Indirect Assumptions'!$C$98</definedName>
    <definedName name="include_buildings">Indirect!$C$5</definedName>
    <definedName name="include_buildings_I">INPUT!$G$137</definedName>
    <definedName name="include_cm">'Indirect Assumptions'!$C$99</definedName>
    <definedName name="include_cm_pre">'Indirect Assumptions'!$C$100</definedName>
    <definedName name="include_cmix">'Critical Design Assumptions'!$C$124</definedName>
    <definedName name="include_coag_filt">'Post-Treatment'!$C$7</definedName>
    <definedName name="include_coag_filt_I">INPUT!$G$90</definedName>
    <definedName name="include_conting_high">'Indirect Assumptions'!$C$75</definedName>
    <definedName name="include_conting_low">'Indirect Assumptions'!$C$73</definedName>
    <definedName name="include_conting_medium">'Indirect Assumptions'!$C$74</definedName>
    <definedName name="include_geo_high">'Indirect Assumptions'!$C$44</definedName>
    <definedName name="include_geo_low">'Indirect Assumptions'!$C$42</definedName>
    <definedName name="include_geo_medium">'Indirect Assumptions'!$C$43</definedName>
    <definedName name="include_HVAC">HVAC!$C$9</definedName>
    <definedName name="include_HVAC_I">INPUT!$G$138</definedName>
    <definedName name="include_land">Indirect!$C$6</definedName>
    <definedName name="include_land_I">INPUT!$G$139</definedName>
    <definedName name="include_NEPA">'Indirect Assumptions'!$C$7</definedName>
    <definedName name="include_pad">'Indirect Assumptions'!$C$103</definedName>
    <definedName name="include_permits">'Indirect Assumptions'!$C$6</definedName>
    <definedName name="include_pilot">'Indirect Assumptions'!$C$10</definedName>
    <definedName name="include_post">'Post-Treatment'!$C$5</definedName>
    <definedName name="include_post_h2o2">'Post-Treatment'!$C$4</definedName>
    <definedName name="include_post_h2o2_I">INPUT!$G$87</definedName>
    <definedName name="include_post_I">INPUT!$G$88</definedName>
    <definedName name="include_sec_cont">'Critical Design Assumptions'!$C$129</definedName>
    <definedName name="include_sitework">'Indirect Assumptions'!$C$26</definedName>
    <definedName name="include_standby">'Indirect Assumptions'!$C$59</definedName>
    <definedName name="include_standby_small">'Indirect Assumptions'!$C$60</definedName>
    <definedName name="include_yardpipe">'Indirect Assumptions'!$C$29</definedName>
    <definedName name="indirect_cost">OUTPUT!$C$539</definedName>
    <definedName name="indirect_cost_add">OUTPUT!$C$643</definedName>
    <definedName name="indirect_cost_mult">OUTPUT!$C$642</definedName>
    <definedName name="influent_TSS">'Critical Design Assumptions'!$C$252</definedName>
    <definedName name="inp_autosize_filt_gravity">'Standard Inputs'!$AF$86:$AH$86</definedName>
    <definedName name="inp_autosize_filt_pressure">'Standard Inputs'!$AJ$86:$AM$86</definedName>
    <definedName name="inp_autosize_gravity">'Standard Inputs'!$X$86:$Z$86</definedName>
    <definedName name="inp_autosize_pressure">'Standard Inputs'!$S$86:$V$86</definedName>
    <definedName name="inp_sel">'Standard Inputs'!$A$83:$BC$83</definedName>
    <definedName name="inp_used">'Standard Inputs'!$D$82:$BC$82</definedName>
    <definedName name="inp_used_filt_gravity">'Standard Inputs'!$AF$82:$AH$82</definedName>
    <definedName name="inp_used_filt_pressure">'Standard Inputs'!$AJ$82:$AM$82</definedName>
    <definedName name="inp_used_gravity">'Standard Inputs'!$X$82:$Z$82</definedName>
    <definedName name="inp_used_minimal">'Standard Inputs'!$D$82:$G$82</definedName>
    <definedName name="inp_used_nonvessel1">'Standard Inputs'!$D$83:$Q$83</definedName>
    <definedName name="inp_used_nonvessel2">'Standard Inputs'!$AA$83:$AD$83</definedName>
    <definedName name="inp_used_nonvessel3">'Standard Inputs'!$AN$83:$BC$83</definedName>
    <definedName name="inp_used_pressure">'Standard Inputs'!$S$82:$V$82</definedName>
    <definedName name="inp_usersel">'Standard Inputs'!$A$82</definedName>
    <definedName name="input_checks">OUTPUT!$C$648</definedName>
    <definedName name="input_complete">INPUT!$C$19</definedName>
    <definedName name="input_status">INPUT!$G$18</definedName>
    <definedName name="input_vol_vess">'Bioreactor Constraints'!$C$61</definedName>
    <definedName name="inst_pct">'Indirect Assumptions'!$C$23</definedName>
    <definedName name="labor_table_cl">'Cost Data'!$B$1349:$G$1356</definedName>
    <definedName name="land_cost">'Pumps Pipe Structure'!$C$167</definedName>
    <definedName name="land_cost_cl">'Cost Data'!$B$1362:$D$1369</definedName>
    <definedName name="land_required">'Pumps Pipe Structure'!$C$165</definedName>
    <definedName name="laser_printer_cost_cl">'Cost Data'!$B$492:$F$492</definedName>
    <definedName name="lb_P_day">Chemicals!$C$61</definedName>
    <definedName name="legal_pct">'Indirect Assumptions'!$C$87</definedName>
    <definedName name="length_diam_ratio">'Critical Design Assumptions'!$C$27</definedName>
    <definedName name="level_switch">'Critical Design Assumptions'!$C$161</definedName>
    <definedName name="level_switch_g">'Critical Design Assumptions'!$C$163</definedName>
    <definedName name="level_switch_small">'Critical Design Assumptions'!$C$162</definedName>
    <definedName name="level_switch_small_g">'Critical Design Assumptions'!$C$164</definedName>
    <definedName name="lighting">'O&amp;M'!$C$95</definedName>
    <definedName name="lighting_energy_1">'O&amp;M'!$C$93</definedName>
    <definedName name="lighting_energy_2">'O&amp;M'!$C$94</definedName>
    <definedName name="lighting_power_high">'O&amp;M Assumptions'!$C$40</definedName>
    <definedName name="lighting_power_low">'O&amp;M Assumptions'!$C$38</definedName>
    <definedName name="lighting_power_mid">'O&amp;M Assumptions'!$C$39</definedName>
    <definedName name="liner_area">'Residuals Management'!$C$168</definedName>
    <definedName name="lines_pump_I">INPUT!$G$127</definedName>
    <definedName name="link_annc">OUTPUT!$A$610:$L$623</definedName>
    <definedName name="link_aoc">OUTPUT!$A$514:$H$519</definedName>
    <definedName name="link_bed_constraints">'Critical Design Assumptions'!$C$30:$C$33</definedName>
    <definedName name="link_bed_depth">'Critical Design Assumptions'!$C$48:$C$49</definedName>
    <definedName name="link_dcc">OUTPUT!$A$30:$L$512</definedName>
    <definedName name="link_dim_constraints">'Critical Design Assumptions'!$C$21:$C$26</definedName>
    <definedName name="link_filter_bed_constraints">'Critical Design Assumptions'!$C$69:$C$71</definedName>
    <definedName name="link_icc">OUTPUT!$A$521:$K$539</definedName>
    <definedName name="link_length">'Critical Design Assumptions'!$C$52:$C$53</definedName>
    <definedName name="link_load">'Critical Design Assumptions'!$C$16:$C$17</definedName>
    <definedName name="link_omc">OUTPUT!$A$551:$L$608</definedName>
    <definedName name="link_output">OUTPUT!$A$1</definedName>
    <definedName name="link_tcc">OUTPUT!$A$541:$L$549</definedName>
    <definedName name="link_width">'Critical Design Assumptions'!$C$50:$C$51</definedName>
    <definedName name="load_max">'Critical Design Assumptions'!$C$17</definedName>
    <definedName name="load_max_filt">'Critical Design Assumptions'!$C$73</definedName>
    <definedName name="load_min">'Critical Design Assumptions'!$C$16</definedName>
    <definedName name="load_min_filt">'Critical Design Assumptions'!$C$72</definedName>
    <definedName name="low_sa">'Bioreactor Constraints'!$C$26</definedName>
    <definedName name="mag_fm_cost_cl">'Cost Data'!$B$497:$F$515</definedName>
    <definedName name="mag_fm_eq_back">'Cost Equations'!$C$372</definedName>
    <definedName name="mag_fm_eq_in">'Cost Equations'!$C$362</definedName>
    <definedName name="mag_fm_eq_proc">'Cost Equations'!$C$367</definedName>
    <definedName name="mag_fm_eq_res">'Cost Equations'!$C$377</definedName>
    <definedName name="Manager_LOE">'O&amp;M'!$C$52</definedName>
    <definedName name="Manager_percent">'O&amp;M Assumptions'!$C$17</definedName>
    <definedName name="manual">'Instrumentation and Control'!$C$6</definedName>
    <definedName name="manual_I">INPUT!$G$136</definedName>
    <definedName name="Materials_pct">'O&amp;M Assumptions'!$C$20</definedName>
    <definedName name="max_aeration_tank_size">'Post-Treatment'!$C$11</definedName>
    <definedName name="max_back_tank_size">'Biomass Control'!$C$18</definedName>
    <definedName name="max_bed_depth">'Critical Design Assumptions'!$C$29</definedName>
    <definedName name="max_blower_size">'Pumps Pipe Structure'!$C$32</definedName>
    <definedName name="max_chem_tank_size">Chemicals!$C$5</definedName>
    <definedName name="max_chem_tank_size_H2O2">Chemicals!$C$7</definedName>
    <definedName name="max_chem_tank_size_noSS">Chemicals!$C$6</definedName>
    <definedName name="max_cm_pump_size">'Pumps Pipe Structure'!$C$7</definedName>
    <definedName name="max_cm_pump_size_noSS">'Pumps Pipe Structure'!$C$8</definedName>
    <definedName name="max_coag_mix_tank">'Post-Treatment'!$C$142</definedName>
    <definedName name="max_comm_height">'Bioreactor Constraints'!$C$51</definedName>
    <definedName name="max_comm_height_filt">'Post-Treatment'!$C$98</definedName>
    <definedName name="max_cool_cl">'Engineering Data'!$C$116</definedName>
    <definedName name="max_depth">'Critical Design Assumptions'!$C$48</definedName>
    <definedName name="max_diam">'Bioreactor Constraints'!$C$22</definedName>
    <definedName name="max_diam_override">'Critical Design Assumptions'!$C$22</definedName>
    <definedName name="max_diam_std_size">'Bioreactor Constraints'!$C$20</definedName>
    <definedName name="max_diffuser_size">'Post-Treatment'!$C$16</definedName>
    <definedName name="max_eductor_size">'Residuals Management'!$C$94</definedName>
    <definedName name="max_ep_cell_area">'Critical Design Assumptions'!$C$277</definedName>
    <definedName name="max_excav_depth">Indirect!$C$34</definedName>
    <definedName name="max_haz_ship">'Critical Design Assumptions'!$C$260</definedName>
    <definedName name="max_heat_cl">'Engineering Data'!$C$119</definedName>
    <definedName name="max_height">'Critical Design Assumptions'!$C$21</definedName>
    <definedName name="max_htank_size">'Residuals Management'!$C$38</definedName>
    <definedName name="max_length">'Critical Design Assumptions'!$C$23</definedName>
    <definedName name="max_length_g">'Critical Design Assumptions'!$C$52</definedName>
    <definedName name="max_pump_size">'Pumps Pipe Structure'!$C$6</definedName>
    <definedName name="max_sa">'Bioreactor Constraints'!$C$26</definedName>
    <definedName name="max_sa_filt">'Post-Treatment'!$C$72</definedName>
    <definedName name="max_space_vessels">'Pumps Pipe Structure'!$C$103</definedName>
    <definedName name="max_space_vessels_cust">'Critical Design Assumptions'!$C$205</definedName>
    <definedName name="max_space_vessels_pre">'Critical Design Assumptions'!$C$206</definedName>
    <definedName name="max_thick_depth">'Critical Design Assumptions'!$C$267</definedName>
    <definedName name="max_thick_tank_size">'Residuals Management'!$C$100</definedName>
    <definedName name="max_vessel_diam_cl">'Engineering Data'!$C$122</definedName>
    <definedName name="max_width">'Critical Design Assumptions'!$C$50</definedName>
    <definedName name="media_cost_cl">'Cost Data'!$B$520:$F$530</definedName>
    <definedName name="media_loss">'O&amp;M'!$C$19</definedName>
    <definedName name="media_loss_rate">'Critical Design Assumptions'!$C$113</definedName>
    <definedName name="media_volume">'Bioreactor Constraints'!$C$79</definedName>
    <definedName name="media_volume_expanded">'Bioreactor Constraints'!$C$82</definedName>
    <definedName name="media_volume_filt">'Post-Treatment'!$C$73</definedName>
    <definedName name="metal_cost_cl">'Cost Data'!$B$535:$F$538</definedName>
    <definedName name="min_avg_flow">'Critical Design Assumptions'!$C$9</definedName>
    <definedName name="min_basin_vol">'Bioreactor Constraints'!$C$64</definedName>
    <definedName name="min_bed_depth">'Critical Design Assumptions'!$C$28</definedName>
    <definedName name="min_chem_flow">'Critical Design Assumptions'!$C$99</definedName>
    <definedName name="min_cmix_hp">'Critical Design Assumptions'!$C$126</definedName>
    <definedName name="min_comm_height">'Bioreactor Constraints'!$C$50</definedName>
    <definedName name="min_comm_height_filt">'Post-Treatment'!$C$97</definedName>
    <definedName name="min_depth">'Critical Design Assumptions'!$C$49</definedName>
    <definedName name="min_diam">'Bioreactor Constraints'!$C$21</definedName>
    <definedName name="min_ep_cells">'Critical Design Assumptions'!$C$278</definedName>
    <definedName name="min_filt_vol">'Post-Treatment'!$C$110</definedName>
    <definedName name="min_hmix_hp">'Critical Design Assumptions'!$C$242</definedName>
    <definedName name="min_holes">'Indirect Assumptions'!$C$53</definedName>
    <definedName name="min_length_g">'Critical Design Assumptions'!$C$53</definedName>
    <definedName name="min_mix_hp">'Critical Design Assumptions'!$C$91</definedName>
    <definedName name="min_res_pipe_size">'Critical Design Assumptions'!$C$245</definedName>
    <definedName name="min_standby">'Indirect Assumptions'!$C$64</definedName>
    <definedName name="min_trench_depth">'Indirect Assumptions'!$C$31</definedName>
    <definedName name="min_vessel_diam_cl">'Engineering Data'!$C$125</definedName>
    <definedName name="min_width">'Critical Design Assumptions'!$C$51</definedName>
    <definedName name="misc_pct">'Indirect Assumptions'!$C$84</definedName>
    <definedName name="Missing_Cost">OUTPUT!$C$649</definedName>
    <definedName name="mix_hp_max">'Post-Treatment'!$C$145</definedName>
    <definedName name="mix_hp_per">'Critical Design Assumptions'!$C$90</definedName>
    <definedName name="mix_per_tank">'Post-Treatment'!$C$146</definedName>
    <definedName name="mix_size">'Post-Treatment'!$C$148</definedName>
    <definedName name="mixer_size">'Post-Treatment'!$C$38</definedName>
    <definedName name="mixer_size_max">'Post-Treatment'!$C$37</definedName>
    <definedName name="mixers">'Post-Treatment'!$C$147</definedName>
    <definedName name="mob_pct_large">'Indirect Assumptions'!$C$16</definedName>
    <definedName name="mob_pct_medium">'Indirect Assumptions'!$C$15</definedName>
    <definedName name="mob_pct_pre">'Indirect Assumptions'!$C$13</definedName>
    <definedName name="mob_pct_small">'Indirect Assumptions'!$C$14</definedName>
    <definedName name="mount_mix_cost_cl">'Cost Data'!$B$543:$F$550</definedName>
    <definedName name="N_analyzer">'Critical Design Assumptions'!$C$177</definedName>
    <definedName name="n_mixers">'Critical Design Assumptions'!$C$67</definedName>
    <definedName name="need_cool">'Indirect Assumptions'!$C$63</definedName>
    <definedName name="need_heat">'Indirect Assumptions'!$C$62</definedName>
    <definedName name="NEPA_cost_cl">'Cost Data'!$B$1374:$C$1375</definedName>
    <definedName name="NEPA_SW_cost_cl">'Cost Data'!$D$1378</definedName>
    <definedName name="next_loc_marker">'Cost Data'!$A$1624</definedName>
    <definedName name="NH4Cl_cmix_per_tank">Chemicals!$C$51</definedName>
    <definedName name="NH4Cl_cmix_size">Chemicals!$C$53</definedName>
    <definedName name="NH4Cl_cmixers">Chemicals!$C$52</definedName>
    <definedName name="NH4Cl_day">Chemicals!$C$42</definedName>
    <definedName name="NH4Cl_day_tank_vol">Chemicals!$C$50</definedName>
    <definedName name="NH4Cl_day_tank_vol_needed">Chemicals!$C$48</definedName>
    <definedName name="NH4Cl_day_tanks">Chemicals!$C$49</definedName>
    <definedName name="NH4CL_dens">'Critical Design Assumptions'!$C$105</definedName>
    <definedName name="NH4Cl_dmix_per_tank">Chemicals!$C$54</definedName>
    <definedName name="NH4Cl_dmix_size">Chemicals!$C$56</definedName>
    <definedName name="NH4Cl_dmixers">Chemicals!$C$55</definedName>
    <definedName name="NH4Cl_donor_day_fp">'Pumps Pipe Structure'!$C$145</definedName>
    <definedName name="NH4Cl_donor_fp">'Pumps Pipe Structure'!$C$141</definedName>
    <definedName name="NH4Cl_dose">Chemicals!$C$41</definedName>
    <definedName name="NH4Cl_dose_I">INPUT!$G$49</definedName>
    <definedName name="NH4Cl_dt_coating_gal">Chemicals!$C$140</definedName>
    <definedName name="NH4Cl_dt_cont_fp">Chemicals!$C$134</definedName>
    <definedName name="NH4Cl_dt_cont_volume">Chemicals!$C$133</definedName>
    <definedName name="NH4Cl_dt_curb_concrete">Chemicals!$C$139</definedName>
    <definedName name="NH4Cl_dt_curb_height">Chemicals!$C$135</definedName>
    <definedName name="NH4Cl_dt_curb_len_long">Chemicals!$C$137</definedName>
    <definedName name="NH4Cl_dt_curb_len_short">Chemicals!$C$138</definedName>
    <definedName name="NH4Cl_dt_curb_thick">Chemicals!$C$136</definedName>
    <definedName name="NH4Cl_dt_diam">'Pumps Pipe Structure'!$C$94</definedName>
    <definedName name="NH4Cl_pipe_diam">'Pumps Pipe Structure'!$C$72</definedName>
    <definedName name="NH4Cl_pipe_flow">'Pumps Pipe Structure'!$C$71</definedName>
    <definedName name="NH4Cl_pipe_length">'Pumps Pipe Structure'!$C$54</definedName>
    <definedName name="NH4Cl_purchase">Chemicals!$C$94</definedName>
    <definedName name="NH4Cl_st_coating_gal">Chemicals!$C$130</definedName>
    <definedName name="NH4Cl_st_cont_fp">Chemicals!$C$124</definedName>
    <definedName name="NH4Cl_st_cont_volume">Chemicals!$C$123</definedName>
    <definedName name="NH4Cl_st_curb_concrete">Chemicals!$C$129</definedName>
    <definedName name="NH4Cl_st_curb_height">Chemicals!$C$125</definedName>
    <definedName name="NH4Cl_st_curb_len_long">Chemicals!$C$127</definedName>
    <definedName name="NH4Cl_st_curb_len_short">Chemicals!$C$128</definedName>
    <definedName name="NH4Cl_st_curb_thick">Chemicals!$C$126</definedName>
    <definedName name="NH4Cl_st_diam">'Pumps Pipe Structure'!$C$90</definedName>
    <definedName name="NH4Cl_store">Chemicals!$C$44</definedName>
    <definedName name="NH4Cl_store_lbs">Chemicals!$C$45</definedName>
    <definedName name="NH4Cl_tank_vol">Chemicals!$C$47</definedName>
    <definedName name="NH4Cl_tanks">Chemicals!$C$46</definedName>
    <definedName name="NH4Cl_use">'O&amp;M'!$C$16</definedName>
    <definedName name="NH4Cl_valve_size">'Instrumentation and Control'!$C$13</definedName>
    <definedName name="NH4Cl_vol">Chemicals!$C$43</definedName>
    <definedName name="nitrateanalyzer_cost_cl">'Cost Data'!$B$555:$F$555</definedName>
    <definedName name="no_back_tank">'Biomass Control'!$C$17</definedName>
    <definedName name="no_back_tank_I">INPUT!$G$132</definedName>
    <definedName name="no_backwash">'Biomass Control'!$C$16</definedName>
    <definedName name="no_backwash_I">INPUT!$G$131</definedName>
    <definedName name="NO3_in">INPUT!$G$42</definedName>
    <definedName name="non_fire_buffer">'Critical Design Assumptions'!$C$209</definedName>
    <definedName name="non_haz_miles">'Critical Design Assumptions'!$C$261</definedName>
    <definedName name="nonhaz_disposal_cost_cl">'Cost Data'!$D$1381</definedName>
    <definedName name="nonhaz_transportation_cost_cl">'Cost Data'!$D$1384</definedName>
    <definedName name="NPDES_permit_cost_cl">'Cost Data'!$B$1390:$C$1392</definedName>
    <definedName name="NRD">'Bioreactor Constraints'!$C$32</definedName>
    <definedName name="NRD_back_pumps">'Critical Design Assumptions'!$C$96</definedName>
    <definedName name="NRD_basins_large">'Critical Design Assumptions'!$C$46</definedName>
    <definedName name="NRD_basins_medium">'Critical Design Assumptions'!$C$45</definedName>
    <definedName name="NRD_blowers">'Critical Design Assumptions'!$C$118</definedName>
    <definedName name="NRD_cm_pump">'Critical Design Assumptions'!$C$98</definedName>
    <definedName name="NRD_filt">'Post-Treatment'!$C$115</definedName>
    <definedName name="NRD_filt_p">'Post-Treatment'!$C$79</definedName>
    <definedName name="NRD_g">'Bioreactor Constraints'!$C$68</definedName>
    <definedName name="NRD_I">INPUT!$G$129</definedName>
    <definedName name="NRD_pumps">'Critical Design Assumptions'!$C$95</definedName>
    <definedName name="NRD_recycle_pumps">'Critical Design Assumptions'!$C$97</definedName>
    <definedName name="NRD_res_pump">'Critical Design Assumptions'!$C$244</definedName>
    <definedName name="NRD_small">'Critical Design Assumptions'!$C$13</definedName>
    <definedName name="NRD_small_1">'Critical Design Assumptions'!$C$12</definedName>
    <definedName name="num_aeration_blowers">'Pumps Pipe Structure'!$C$41</definedName>
    <definedName name="num_belt_press">'Residuals Management'!$C$124</definedName>
    <definedName name="num_bio_blowers">'Pumps Pipe Structure'!$C$37</definedName>
    <definedName name="num_blowers">'Pumps Pipe Structure'!$C$33</definedName>
    <definedName name="num_holes">Indirect!$C$37</definedName>
    <definedName name="num_pits">Indirect!$C$36</definedName>
    <definedName name="num_thick_internals">'Residuals Management'!$C$120</definedName>
    <definedName name="num_treat_lines">'Bioreactor Constraints'!$C$30</definedName>
    <definedName name="num_treat_lines_filt">'Post-Treatment'!$C$77</definedName>
    <definedName name="nutrient_option">Chemicals!$C$38</definedName>
    <definedName name="nutrient_option_I">INPUT!$G$48</definedName>
    <definedName name="nutrient_valid">'Lookup Tables'!$A$24:$A$27</definedName>
    <definedName name="O2_in">INPUT!$G$41</definedName>
    <definedName name="office_fp">'Pumps Pipe Structure'!$C$157</definedName>
    <definedName name="OM_City_Index">OUTPUT!$C$553</definedName>
    <definedName name="om_cost">OUTPUT!$G$608</definedName>
    <definedName name="op_fm_cost_cl">'Cost Data'!$B$560:$F$567</definedName>
    <definedName name="op_fm_eq_back">'Cost Equations'!$C$369</definedName>
    <definedName name="op_fm_eq_in">'Cost Equations'!$C$359</definedName>
    <definedName name="op_fm_eq_proc">'Cost Equations'!$C$364</definedName>
    <definedName name="op_fm_eq_res">'Cost Equations'!$C$374</definedName>
    <definedName name="op_interface_software_cost_cl">'Cost Data'!$B$572:$F$572</definedName>
    <definedName name="op_num_basins">'Bioreactor Constraints'!$C$65</definedName>
    <definedName name="op_num_filters">'Post-Treatment'!$C$112</definedName>
    <definedName name="op_num_tanks">'Bioreactor Constraints'!$C$31</definedName>
    <definedName name="op_num_tanks_filt">'Post-Treatment'!$C$78</definedName>
    <definedName name="Operator_LOE">'O&amp;M'!$C$51</definedName>
    <definedName name="ORP_sensor">'Critical Design Assumptions'!$C$167</definedName>
    <definedName name="output_db">OUTPUT!$A$34:$V$512</definedName>
    <definedName name="output_page">OUTPUT!$A$22:$M$492</definedName>
    <definedName name="overexcavate">'Critical Design Assumptions'!$C$58</definedName>
    <definedName name="pad_thick">'Critical Design Assumptions'!$C$214</definedName>
    <definedName name="pad_thick_small">'Critical Design Assumptions'!$C$215</definedName>
    <definedName name="pan_evap">'Critical Design Assumptions'!$C$272</definedName>
    <definedName name="pc_workstation_cost_cl">'Cost Data'!$B$577:$F$577</definedName>
    <definedName name="pd_aeration_blow_eq">'Cost Equations'!$C$297</definedName>
    <definedName name="pd_bio_blow_eq">'Cost Equations'!$C$296</definedName>
    <definedName name="pd_blow_cost_cl">'Cost Data'!$B$582:$F$592</definedName>
    <definedName name="pd_blow_eq">'Cost Equations'!$C$295</definedName>
    <definedName name="performance_bond_table_cl">'Engineering Data'!$A$130:$E$135</definedName>
    <definedName name="permit_cost">Indirect!$C$88</definedName>
    <definedName name="pH_controls">'Critical Design Assumptions'!$C$168</definedName>
    <definedName name="pH_meter_cost_cl">'Cost Data'!$B$597:$F$597</definedName>
    <definedName name="pilot_cost_large_cl">'Cost Data'!$B$1457:$C$1484</definedName>
    <definedName name="pilot_cost_medium_cl">'Cost Data'!$B$1520:$C$1547</definedName>
    <definedName name="pilot_cost_small_cl">'Cost Data'!$B$1554:$C$1581</definedName>
    <definedName name="pipe_size_table_cl">'Engineering Data'!$A$141:$B$161</definedName>
    <definedName name="pit_cost_cl">'Cost Data'!$B$602:$F$602</definedName>
    <definedName name="pit_depth">'Indirect Assumptions'!$C$47</definedName>
    <definedName name="pit_length">'Indirect Assumptions'!$C$45</definedName>
    <definedName name="pit_width">'Indirect Assumptions'!$C$46</definedName>
    <definedName name="pl_coag_day_eq">'Cost Equations'!$C$88</definedName>
    <definedName name="pl_coag_st_eq">'Cost Equations'!$C$85</definedName>
    <definedName name="pl_cst_cost_cl">'Cost Data'!$B$607:$F$633</definedName>
    <definedName name="pl_e_donor_day_eq">'Cost Equations'!$C$67</definedName>
    <definedName name="pl_e_donor_st_eq">'Cost Equations'!$C$53</definedName>
    <definedName name="pl_H2O2_day_eq">'Cost Equations'!$C$78</definedName>
    <definedName name="pl_H2O2_st_eq">'Cost Equations'!$C$64</definedName>
    <definedName name="pl_H3PO4_day_eq">'Cost Equations'!$C$75</definedName>
    <definedName name="pl_H3PO4_st_eq">'Cost Equations'!$C$61</definedName>
    <definedName name="pl_in_mix_cost_cl">'Cost Data'!$B$638:$F$646</definedName>
    <definedName name="pl_in_mix_eq">'Cost Equations'!$C$336</definedName>
    <definedName name="pl_NH4Cl_day_eq">'Cost Equations'!$C$71</definedName>
    <definedName name="pl_NH4Cl_st_eq">'Cost Equations'!$C$57</definedName>
    <definedName name="pl_polymer_st_eq">'Cost Equations'!$C$91</definedName>
    <definedName name="plant_intel_software_cost_cl">'Cost Data'!$B$651:$F$651</definedName>
    <definedName name="plc_base_expansion">'Instrumentation and Control'!$C$95</definedName>
    <definedName name="plc_base_expansion_controller">'Instrumentation and Control'!$C$96</definedName>
    <definedName name="plc_base_expansion_controller_cost_cl">'Cost Data'!$B$656:$F$656</definedName>
    <definedName name="plc_base_expansion_cost_cl">'Cost Data'!$B$661:$F$661</definedName>
    <definedName name="plc_combination_analog">'Instrumentation and Control'!$C$91</definedName>
    <definedName name="plc_combination_analog_cost_cl">'Cost Data'!$B$666:$F$666</definedName>
    <definedName name="plc_cpu">'Critical Design Assumptions'!$C$196</definedName>
    <definedName name="plc_cpu_cost_cl">'Cost Data'!$B$671:$F$671</definedName>
    <definedName name="plc_data_software_cost_cl">'Cost Data'!$B$676:$F$676</definedName>
    <definedName name="plc_discrete_input">'Instrumentation and Control'!$C$90</definedName>
    <definedName name="plc_discrete_input_cost_cl">'Cost Data'!$B$681:$F$681</definedName>
    <definedName name="plc_discrete_output">'Instrumentation and Control'!$C$89</definedName>
    <definedName name="plc_discrete_output_cost_cl">'Cost Data'!$B$686:$F$686</definedName>
    <definedName name="plc_ethernet">'Critical Design Assumptions'!$C$197</definedName>
    <definedName name="plc_ethernet_cost_cl">'Cost Data'!$B$691:$F$691</definedName>
    <definedName name="plc_expansions">'Instrumentation and Control'!$C$93</definedName>
    <definedName name="plc_interface">'Critical Design Assumptions'!$C$198</definedName>
    <definedName name="plc_op_interface_cost_cl">'Cost Data'!$B$696:$F$697</definedName>
    <definedName name="plc_rack">'Instrumentation and Control'!$C$94</definedName>
    <definedName name="plc_rack_cost_cl">'Cost Data'!$B$702:$F$702</definedName>
    <definedName name="plc_slots">'Instrumentation and Control'!$C$92</definedName>
    <definedName name="plc_software_cost_cl">'Cost Data'!$B$707:$F$707</definedName>
    <definedName name="polymer_chv_pump">'Critical Design Assumptions'!$C$155</definedName>
    <definedName name="polymer_cmix_per_tank">'Residuals Management'!$C$83</definedName>
    <definedName name="polymer_cmix_size">'Residuals Management'!$C$85</definedName>
    <definedName name="polymer_cmixers">'Residuals Management'!$C$84</definedName>
    <definedName name="polymer_day">'Residuals Management'!$C$78</definedName>
    <definedName name="polymer_density">'Critical Design Assumptions'!$C$229</definedName>
    <definedName name="polymer_dose">'Critical Design Assumptions'!$C$228</definedName>
    <definedName name="polymer_fp">'Pumps Pipe Structure'!$C$150</definedName>
    <definedName name="polymer_pipe_diam">'Pumps Pipe Structure'!$C$82</definedName>
    <definedName name="polymer_pipe_flow">'Pumps Pipe Structure'!$C$81</definedName>
    <definedName name="polymer_pipe_length">'Pumps Pipe Structure'!$C$58</definedName>
    <definedName name="polymer_purchase">'Residuals Management'!$C$185</definedName>
    <definedName name="polymer_rate">'Residuals Management'!$C$86</definedName>
    <definedName name="polymer_res">'Critical Design Assumptions'!$C$227</definedName>
    <definedName name="polymer_spf">'Critical Design Assumptions'!$C$230</definedName>
    <definedName name="polymer_st_diam">'Pumps Pipe Structure'!$C$101</definedName>
    <definedName name="polymer_storage">'Residuals Management'!$C$79</definedName>
    <definedName name="polymer_storage_lbs">'Residuals Management'!$C$80</definedName>
    <definedName name="polymer_tank_vol">'Residuals Management'!$C$82</definedName>
    <definedName name="polymer_tanks">'Residuals Management'!$C$81</definedName>
    <definedName name="polymer_valve_size">'Instrumentation and Control'!$C$23</definedName>
    <definedName name="polymer_yr">'Residuals Management'!$C$179</definedName>
    <definedName name="port_mix_cost_cl">'Cost Data'!$B$712:$F$713</definedName>
    <definedName name="port_table">'Critical Design Assumptions'!$B$331:$F$346</definedName>
    <definedName name="ports">'Instrumentation and Control'!$C$77</definedName>
    <definedName name="ports_bp">'Critical Design Assumptions'!$C$180</definedName>
    <definedName name="ports_tank">'Critical Design Assumptions'!$C$179</definedName>
    <definedName name="post_filter_materials">'O&amp;M'!$C$11</definedName>
    <definedName name="POTW_base_cost_avg_cl">'Cost Data'!$D$1584</definedName>
    <definedName name="POTW_base_cost_typ_cl">'Cost Data'!$D$1587</definedName>
    <definedName name="POTW_base_fee">'Critical Design Assumptions'!$C$255</definedName>
    <definedName name="POTW_fee">'Residuals Management'!$C$193</definedName>
    <definedName name="POTW_rate_type">'Critical Design Assumptions'!$C$254</definedName>
    <definedName name="POTW_TSS_cost_avg_cl">'Cost Data'!$D$1590</definedName>
    <definedName name="POTW_TSS_cost_typ_cl">'Cost Data'!$D$1593</definedName>
    <definedName name="POTW_TSS_fee">'Critical Design Assumptions'!$C$257</definedName>
    <definedName name="POTW_TSS_limit">'Critical Design Assumptions'!$C$258</definedName>
    <definedName name="POTW_vol_cost_avg_cl">'Cost Data'!$D$1596</definedName>
    <definedName name="POTW_vol_cost_typ_cl">'Cost Data'!$D$1599</definedName>
    <definedName name="POTW_volume_fee">'Critical Design Assumptions'!$C$256</definedName>
    <definedName name="pp_chv_cost_cl">'Cost Data'!$B$718:$F$729</definedName>
    <definedName name="pp_chv_eq">'Cost Equations'!$C$236</definedName>
    <definedName name="pp_chv_eq_bp">'Cost Equations'!$C$245</definedName>
    <definedName name="pp_chv_eq_coag">'Cost Equations'!$C$256</definedName>
    <definedName name="pp_chv_eq_e_donor">'Cost Equations'!$C$248</definedName>
    <definedName name="pp_chv_eq_H2O2">'Cost Equations'!$C$254</definedName>
    <definedName name="pp_chv_eq_H3PO4">'Cost Equations'!$C$252</definedName>
    <definedName name="pp_chv_eq_in">'Cost Equations'!$C$242</definedName>
    <definedName name="pp_chv_eq_NH4Cl">'Cost Equations'!$C$250</definedName>
    <definedName name="pp_chv_eq_polymer">'Cost Equations'!$C$257</definedName>
    <definedName name="pp_chv_eq_res">'Cost Equations'!$C$239</definedName>
    <definedName name="pp_man_cost_cl">'Cost Data'!$B$734:$F$750</definedName>
    <definedName name="pp_man_eq">'Cost Equations'!$C$197</definedName>
    <definedName name="pp_man_eq_aeration">'Cost Equations'!$C$226</definedName>
    <definedName name="pp_man_eq_air">'Cost Equations'!$C$220</definedName>
    <definedName name="pp_man_eq_back">'Cost Equations'!$C$203</definedName>
    <definedName name="pp_man_eq_bio_air">'Cost Equations'!$C$223</definedName>
    <definedName name="pp_man_eq_bp">'Cost Equations'!$C$214</definedName>
    <definedName name="pp_man_eq_coag">'Cost Equations'!$C$231</definedName>
    <definedName name="pp_man_eq_e_donor">'Cost Equations'!$C$208</definedName>
    <definedName name="pp_man_eq_H2O2">'Cost Equations'!$C$229</definedName>
    <definedName name="pp_man_eq_H3PO4">'Cost Equations'!$C$212</definedName>
    <definedName name="pp_man_eq_NH4Cl">'Cost Equations'!$C$210</definedName>
    <definedName name="pp_man_eq_polymer">'Cost Equations'!$C$232</definedName>
    <definedName name="pp_man_eq_proc">'Cost Equations'!$C$200</definedName>
    <definedName name="pp_man_eq_rec">'Cost Equations'!$C$206</definedName>
    <definedName name="pp_man_eq_res">'Cost Equations'!$C$217</definedName>
    <definedName name="pp_mov_cost_cl">'Cost Data'!$B$755:$F$772</definedName>
    <definedName name="pp_mov_eq_aeration">'Cost Equations'!$C$187</definedName>
    <definedName name="pp_mov_eq_air">'Cost Equations'!$C$181</definedName>
    <definedName name="pp_mov_eq_back">'Cost Equations'!$C$164</definedName>
    <definedName name="pp_mov_eq_bio_air">'Cost Equations'!$C$184</definedName>
    <definedName name="pp_mov_eq_bp">'Cost Equations'!$C$175</definedName>
    <definedName name="pp_mov_eq_coag">'Cost Equations'!$C$192</definedName>
    <definedName name="pp_mov_eq_e_donor">'Cost Equations'!$C$169</definedName>
    <definedName name="pp_mov_eq_H2O2">'Cost Equations'!$C$190</definedName>
    <definedName name="pp_mov_eq_H3PO4">'Cost Equations'!$C$173</definedName>
    <definedName name="pp_mov_eq_NH4Cl">'Cost Equations'!$C$171</definedName>
    <definedName name="pp_mov_eq_polymer">'Cost Equations'!$C$193</definedName>
    <definedName name="pp_mov_eq_rec">'Cost Equations'!$C$167</definedName>
    <definedName name="pp_mov_eq_res">'Cost Equations'!$C$178</definedName>
    <definedName name="pp_mov_eq_tank">'Cost Equations'!$C$161</definedName>
    <definedName name="precip">'Critical Design Assumptions'!$C$274</definedName>
    <definedName name="pretreat_permit_cost_cl">'Cost Data'!$C$1602</definedName>
    <definedName name="_xlnm.Print_Area" localSheetId="2">INPUT!$E$25:$P$136</definedName>
    <definedName name="_xlnm.Print_Area" localSheetId="3">OUTPUT!$A$19:$V$630</definedName>
    <definedName name="printer_ratio">'Critical Design Assumptions'!$C$202</definedName>
    <definedName name="printers">'Instrumentation and Control'!$C$98</definedName>
    <definedName name="proc_man_vessel">'Critical Design Assumptions'!$C$147</definedName>
    <definedName name="proc_man_vessel_cont">'Instrumentation and Control'!$C$41</definedName>
    <definedName name="proc_meter_size">'Instrumentation and Control'!$C$64</definedName>
    <definedName name="proc_MOV_pump">'Critical Design Assumptions'!$E$290</definedName>
    <definedName name="proc_MOV_vessel">'Instrumentation and Control'!$C$25</definedName>
    <definedName name="proc_pipe_diam">'Pumps Pipe Structure'!$C$64</definedName>
    <definedName name="proc_pipe_flow">'Pumps Pipe Structure'!$C$63</definedName>
    <definedName name="proc_pipe_length">'Pumps Pipe Structure'!$C$50</definedName>
    <definedName name="proc_pipe_mult">'Critical Design Assumptions'!$C$138</definedName>
    <definedName name="process_cost">OUTPUT!$C$510</definedName>
    <definedName name="prop_fm_cost_cl">'Cost Data'!$B$777:$F$791</definedName>
    <definedName name="prop_fm_eq_back">'Cost Equations'!$C$370</definedName>
    <definedName name="prop_fm_eq_in">'Cost Equations'!$C$360</definedName>
    <definedName name="prop_fm_eq_proc">'Cost Equations'!$C$365</definedName>
    <definedName name="prop_fm_eq_res">'Cost Equations'!$C$375</definedName>
    <definedName name="pump_cost_cl">'Cost Data'!$B$796:$F$809</definedName>
    <definedName name="pump_dim_table_cl">'Engineering Data'!$A$166:$D$169</definedName>
    <definedName name="pump_energy">'O&amp;M'!$C$67</definedName>
    <definedName name="pump_eq">'Cost Equations'!$C$261</definedName>
    <definedName name="pump_eq_back">'Cost Equations'!$C$263</definedName>
    <definedName name="pump_fp">'Pumps Pipe Structure'!$C$136</definedName>
    <definedName name="pump_hp">'O&amp;M'!$C$65</definedName>
    <definedName name="pump_mtl">'O&amp;M'!$C$5</definedName>
    <definedName name="pump_rating">'Pumps Pipe Structure'!$C$5</definedName>
    <definedName name="pump_safety_factor">'Critical Design Assumptions'!$C$94</definedName>
    <definedName name="pvc_coag_empump_eq">'Cost Equations'!$C$288</definedName>
    <definedName name="pvc_coag_filt_empump_eq">'Cost Equations'!$C$285</definedName>
    <definedName name="pvc_coag_filt_mmpump_eq">'Cost Equations'!$C$284</definedName>
    <definedName name="pvc_coag_mmpump_eq">'Cost Equations'!$C$287</definedName>
    <definedName name="pvc_e_donor_empump_eq">'Cost Equations'!$C$268</definedName>
    <definedName name="pvc_e_donor_mmpump_eq">'Cost Equations'!$C$266</definedName>
    <definedName name="pvc_empump_cost_cl">'Cost Data'!$B$814:$F$825</definedName>
    <definedName name="pvc_H2O2_empump_eq">'Cost Equations'!$C$281</definedName>
    <definedName name="pvc_H2O2_mmpump_eq">'Cost Equations'!$C$279</definedName>
    <definedName name="pvc_H3PO4_empump_eq">'Cost Equations'!$C$277</definedName>
    <definedName name="pvc_H3PO4_mmpump_eq">'Cost Equations'!$C$276</definedName>
    <definedName name="pvc_mmpump_cost_cl">'Cost Data'!$B$830:$F$842</definedName>
    <definedName name="pvc_NH4Cl_empump_eq">'Cost Equations'!$C$273</definedName>
    <definedName name="pvc_NH4Cl_mmpump_eq">'Cost Equations'!$C$271</definedName>
    <definedName name="pvc_pipe_cost_cl">'Cost Data'!$B$847:$F$868</definedName>
    <definedName name="pvc_pipe_eq_back">'Cost Equations'!$C$101</definedName>
    <definedName name="pvc_pipe_eq_bp">'Cost Equations'!$C$132</definedName>
    <definedName name="pvc_pipe_eq_coag">'Cost Equations'!$C$153</definedName>
    <definedName name="pvc_pipe_eq_e_donor">'Cost Equations'!$C$106</definedName>
    <definedName name="pvc_pipe_eq_H2O2">'Cost Equations'!$C$148</definedName>
    <definedName name="pvc_pipe_eq_H3PO4">'Cost Equations'!$C$116</definedName>
    <definedName name="pvc_pipe_eq_in_out">'Cost Equations'!$C$138</definedName>
    <definedName name="pvc_pipe_eq_NH4Cl">'Cost Equations'!$C$111</definedName>
    <definedName name="pvc_pipe_eq_polymer">'Cost Equations'!$C$156</definedName>
    <definedName name="pvc_pipe_eq_proc">'Cost Equations'!$C$122</definedName>
    <definedName name="pvc_pipe_eq_rec">'Cost Equations'!$C$127</definedName>
    <definedName name="pvc_pipe_eq_res">'Cost Equations'!$C$143</definedName>
    <definedName name="pvc_polymer_empump_eq">'Cost Equations'!$C$292</definedName>
    <definedName name="pvc_polymer_mmpump_eq">'Cost Equations'!$C$290</definedName>
    <definedName name="R_ceiling">'O&amp;M Assumptions'!$C$55</definedName>
    <definedName name="R_wall">'O&amp;M Assumptions'!$C$54</definedName>
    <definedName name="railing">'Bioreactor Constraints'!$C$74</definedName>
    <definedName name="rate_aeration">'Critical Design Assumptions'!$C$62</definedName>
    <definedName name="rec_valve_size">'Instrumentation and Control'!$C$11</definedName>
    <definedName name="recycle_fluid">'Critical Design Assumptions'!$C$38</definedName>
    <definedName name="recycle_pipe_diam">'Pumps Pipe Structure'!$C$66</definedName>
    <definedName name="recycle_pipe_flow">'Pumps Pipe Structure'!$C$65</definedName>
    <definedName name="recycle_pipe_length">'Pumps Pipe Structure'!$C$51</definedName>
    <definedName name="recycle_pipe_mult">'Critical Design Assumptions'!$C$141</definedName>
    <definedName name="recycle_pump_efficiency">'O&amp;M Assumptions'!$C$11</definedName>
    <definedName name="recycle_pump_energy">'O&amp;M'!$C$71</definedName>
    <definedName name="recycle_pump_eq">'Cost Equations'!$C$262</definedName>
    <definedName name="recycle_pump_head">'O&amp;M Assumptions'!$C$7</definedName>
    <definedName name="recycle_pump_hp">'O&amp;M'!$C$69</definedName>
    <definedName name="recycle_pump_mtl">'O&amp;M'!$C$6</definedName>
    <definedName name="recycle_pump_rating">'Pumps Pipe Structure'!$C$14</definedName>
    <definedName name="recycle_pumps">'Pumps Pipe Structure'!$C$13</definedName>
    <definedName name="Reduction">'Indirect Assumptions'!$C$34</definedName>
    <definedName name="redund_freq">'Critical Design Assumptions'!$C$14</definedName>
    <definedName name="redund_freq_fluid">'Critical Design Assumptions'!$C$15</definedName>
    <definedName name="replace_filter_GAC_eq">'Cost Equations'!$C$388</definedName>
    <definedName name="replace_GAC_eq">'Cost Equations'!$C$387</definedName>
    <definedName name="res_bearing_area">'Residuals Management'!$C$138</definedName>
    <definedName name="res_block_vol">'Residuals Management'!$C$143</definedName>
    <definedName name="res_cake_solids">'Residuals Management'!$C$126</definedName>
    <definedName name="res_cap_factor">'Critical Design Assumptions'!$C$236</definedName>
    <definedName name="res_chv_no_pump">'Critical Design Assumptions'!$C$249</definedName>
    <definedName name="res_chv_pump">'Critical Design Assumptions'!$C$248</definedName>
    <definedName name="res_coag_settle_time">'Critical Design Assumptions'!$C$226</definedName>
    <definedName name="res_eductor_size">'Residuals Management'!$C$97</definedName>
    <definedName name="res_eductors">'Residuals Management'!$C$95</definedName>
    <definedName name="res_eff_transfer_rate">'Residuals Management'!$C$96</definedName>
    <definedName name="res_flow">'Residuals Management'!$C$14</definedName>
    <definedName name="res_flow_actual">'Residuals Management'!$C$13</definedName>
    <definedName name="res_flow_annual">'Residuals Management'!$C$15</definedName>
    <definedName name="res_holding">'Residuals Management'!$C$57</definedName>
    <definedName name="res_meter_size">'Residuals Management'!$C$156</definedName>
    <definedName name="res_pipe_bedding_vol">'Residuals Management'!$C$148</definedName>
    <definedName name="res_pipe_diam">'Residuals Management'!$C$134</definedName>
    <definedName name="res_pipe_length">'Residuals Management'!$C$133</definedName>
    <definedName name="res_pipe_mult">'Critical Design Assumptions'!$C$246</definedName>
    <definedName name="res_pump_energy">'Residuals Management'!$C$174</definedName>
    <definedName name="res_pump_eq">'Cost Equations'!$C$264</definedName>
    <definedName name="res_pump_mtl">'Residuals Management'!$C$175</definedName>
    <definedName name="res_pump_psi">'O&amp;M Assumptions'!$C$9</definedName>
    <definedName name="res_pump_rating">'Residuals Management'!$C$61</definedName>
    <definedName name="res_pumps">'Residuals Management'!$C$60</definedName>
    <definedName name="res_s1_opt">'Residuals Management'!$C$6</definedName>
    <definedName name="res_s1_opt_I">INPUT!$G$122</definedName>
    <definedName name="res_s2_opt">'Residuals Management'!$C$5</definedName>
    <definedName name="res_s2_opt_I">INPUT!$G$121</definedName>
    <definedName name="res_seductor_eq">'Cost Equations'!$C$356</definedName>
    <definedName name="res_slurry_eq">'Cost Equations'!$C$355</definedName>
    <definedName name="res_slurry_pumps">'Residuals Management'!$C$93</definedName>
    <definedName name="res_solids">'Residuals Management'!$C$34</definedName>
    <definedName name="res_solids_event">'Residuals Management'!$C$196</definedName>
    <definedName name="res_solids_thick">'Residuals Management'!$C$119</definedName>
    <definedName name="res_stagger_time">'Residuals Management'!$C$12</definedName>
    <definedName name="res_thrust_force">'Residuals Management'!$C$137</definedName>
    <definedName name="res_transfer_method">'Critical Design Assumptions'!$C$243</definedName>
    <definedName name="res_transfer_rate">'Residuals Management'!$C$91</definedName>
    <definedName name="res_transfer_rate_gal">'Residuals Management'!$C$92</definedName>
    <definedName name="res_trench_area">'Residuals Management'!$C$144</definedName>
    <definedName name="res_trench_vol">'Residuals Management'!$C$146</definedName>
    <definedName name="res_trn_depth">'Residuals Management'!$C$136</definedName>
    <definedName name="res_valve_size">'Residuals Management'!$C$151</definedName>
    <definedName name="res_vol">'Residuals Management'!$C$11</definedName>
    <definedName name="resin_per_vessel">'Bioreactor Constraints'!$C$80</definedName>
    <definedName name="resin_volume">'Bioreactor Constraints'!$C$79</definedName>
    <definedName name="resist_eff">'O&amp;M Assumptions'!$C$60</definedName>
    <definedName name="risers">'Critical Design Assumptions'!$C$56</definedName>
    <definedName name="S_back_pump">'Critical Design Assumptions'!$C$189</definedName>
    <definedName name="S_booster_pump">'Critical Design Assumptions'!$C$188</definedName>
    <definedName name="S_cm_pump">'Critical Design Assumptions'!$C$194</definedName>
    <definedName name="S_eductor">'Critical Design Assumptions'!$C$191</definedName>
    <definedName name="S_mixer">'Critical Design Assumptions'!$C$193</definedName>
    <definedName name="S_recycle_pump">'Critical Design Assumptions'!$C$190</definedName>
    <definedName name="S_res_pump">'Critical Design Assumptions'!$C$192</definedName>
    <definedName name="SA">'Bioreactor Constraints'!$C$38</definedName>
    <definedName name="SA_filt">'Post-Treatment'!$C$85</definedName>
    <definedName name="sand_each">'Post-Treatment'!$C$124</definedName>
    <definedName name="sand_fraction">'Critical Design Assumptions'!$C$81</definedName>
    <definedName name="sand_vol">'Post-Treatment'!$C$128</definedName>
    <definedName name="scour_blower_energy">'O&amp;M'!$C$90</definedName>
    <definedName name="scour_blower_head">'O&amp;M'!$C$87</definedName>
    <definedName name="scour_blower_hp">'O&amp;M'!$C$88</definedName>
    <definedName name="scour_blower_op_hours">'O&amp;M'!$C$89</definedName>
    <definedName name="sec_cont_coating_cvg">'Critical Design Assumptions'!$C$134</definedName>
    <definedName name="sec_cont_freeboard">'Critical Design Assumptions'!$C$132</definedName>
    <definedName name="sec_cont_max_thick">'Critical Design Assumptions'!$C$133</definedName>
    <definedName name="sec_cont_pct_of_largest">'Critical Design Assumptions'!$C$130</definedName>
    <definedName name="sec_cont_pct_of_total">'Critical Design Assumptions'!$C$131</definedName>
    <definedName name="sed_sludge_method">'Residuals Management'!$C$7</definedName>
    <definedName name="sed_sludge_method_I">INPUT!$G$123</definedName>
    <definedName name="seductor_cost_cl">'Cost Data'!$B$873:$F$880</definedName>
    <definedName name="shifts_day">'Critical Design Assumptions'!$C$201</definedName>
    <definedName name="sitework_cost">Indirect!$C$49</definedName>
    <definedName name="sitework_sf_cl">'Cost Data'!$D$884</definedName>
    <definedName name="SO4_in">'Critical Design Assumptions'!$C$110</definedName>
    <definedName name="soil_dens">'Indirect Assumptions'!$C$32</definedName>
    <definedName name="sol_disp_freq">'Residuals Management'!$C$33</definedName>
    <definedName name="sol_disposal_fee">'Residuals Management'!$C$203</definedName>
    <definedName name="sol_disposal_miles">'Residuals Management'!$C$201</definedName>
    <definedName name="sol_disposal_shipments">'Residuals Management'!$C$198</definedName>
    <definedName name="solids_haz">'Residuals Management'!$C$8</definedName>
    <definedName name="solids_haz_I">INPUT!$G$124</definedName>
    <definedName name="solids_method">'Critical Design Assumptions'!$C$259</definedName>
    <definedName name="solids_pad_area">'Residuals Management'!$C$129</definedName>
    <definedName name="solids_pad_concrete">'Residuals Management'!$C$130</definedName>
    <definedName name="solids_storage_height">'Critical Design Assumptions'!$C$231</definedName>
    <definedName name="solution_day">'Post-Treatment'!$C$22</definedName>
    <definedName name="solution_rate">'Post-Treatment'!$C$39</definedName>
    <definedName name="source_select">OUTPUT!$C$613</definedName>
    <definedName name="space_aer">'Pumps Pipe Structure'!$C$105</definedName>
    <definedName name="space_bt">'Pumps Pipe Structure'!$C$106</definedName>
    <definedName name="space_coag_dt">'Pumps Pipe Structure'!$C$118</definedName>
    <definedName name="space_coag_mix">'Pumps Pipe Structure'!$C$120</definedName>
    <definedName name="space_coag_st">'Pumps Pipe Structure'!$C$117</definedName>
    <definedName name="space_e_donor_dt">'Pumps Pipe Structure'!$C$111</definedName>
    <definedName name="space_e_donor_st">'Pumps Pipe Structure'!$C$107</definedName>
    <definedName name="space_H2O2_dt">'Pumps Pipe Structure'!$C$114</definedName>
    <definedName name="space_H2O2_st">'Pumps Pipe Structure'!$C$110</definedName>
    <definedName name="space_H3PO4_dt">'Pumps Pipe Structure'!$C$113</definedName>
    <definedName name="space_H3PO4_st">'Pumps Pipe Structure'!$C$109</definedName>
    <definedName name="space_ht">'Pumps Pipe Structure'!$C$115</definedName>
    <definedName name="space_NH4Cl_dt">'Pumps Pipe Structure'!$C$112</definedName>
    <definedName name="space_NH4Cl_st">'Pumps Pipe Structure'!$C$108</definedName>
    <definedName name="space_office">'Critical Design Assumptions'!$C$212</definedName>
    <definedName name="space_office_small">'Critical Design Assumptions'!$C$213</definedName>
    <definedName name="space_polymer_st">'Pumps Pipe Structure'!$C$119</definedName>
    <definedName name="space_pumps">'Pumps Pipe Structure'!$C$121</definedName>
    <definedName name="space_pumps_cust">'Critical Design Assumptions'!$C$207</definedName>
    <definedName name="space_pumps_pre">'Critical Design Assumptions'!$C$208</definedName>
    <definedName name="space_thick">'Pumps Pipe Structure'!$C$116</definedName>
    <definedName name="space_vessels">'Pumps Pipe Structure'!$C$104</definedName>
    <definedName name="ss_cat">OUTPUT!$C$4</definedName>
    <definedName name="ss_cat2">HVAC!$C$5</definedName>
    <definedName name="ss_chv_cost_cl">'Cost Data'!$B$889:$F$903</definedName>
    <definedName name="ss_chv_eq">'Cost Equations'!$C$237</definedName>
    <definedName name="ss_chv_eq_bp">'Cost Equations'!$C$246</definedName>
    <definedName name="ss_chv_eq_e_donor">'Cost Equations'!$C$249</definedName>
    <definedName name="ss_chv_eq_H2O2">'Cost Equations'!$C$255</definedName>
    <definedName name="ss_chv_eq_H3PO4">'Cost Equations'!$C$253</definedName>
    <definedName name="ss_chv_eq_in">'Cost Equations'!$C$243</definedName>
    <definedName name="ss_chv_eq_NH4Cl">'Cost Equations'!$C$251</definedName>
    <definedName name="ss_chv_eq_polymer">'Cost Equations'!$C$258</definedName>
    <definedName name="ss_chv_eq_res">'Cost Equations'!$C$240</definedName>
    <definedName name="ss_cst_cost_cl">'Cost Data'!$B$908:$F$917</definedName>
    <definedName name="ss_e_donor_day_eq">'Cost Equations'!$C$69</definedName>
    <definedName name="ss_e_donor_empump_eq">'Cost Equations'!$C$269</definedName>
    <definedName name="ss_e_donor_mmpump_eq">'Cost Equations'!$C$267</definedName>
    <definedName name="ss_e_donor_st_eq">'Cost Equations'!$C$55</definedName>
    <definedName name="ss_empump_cost_cl">'Cost Data'!$B$922:$F$935</definedName>
    <definedName name="ss_H2O2_day_eq">'Cost Equations'!$C$79</definedName>
    <definedName name="ss_H2O2_empump_eq">'Cost Equations'!$C$282</definedName>
    <definedName name="ss_H2O2_mmpump_eq">'Cost Equations'!$C$280</definedName>
    <definedName name="ss_H2O2_st_eq">'Cost Equations'!$C$65</definedName>
    <definedName name="ss_man_cost_cl">'Cost Data'!$B$940:$F$948</definedName>
    <definedName name="ss_man_eq">'Cost Equations'!$C$198</definedName>
    <definedName name="ss_man_eq_aeration">'Cost Equations'!$C$227</definedName>
    <definedName name="ss_man_eq_air">'Cost Equations'!$C$221</definedName>
    <definedName name="ss_man_eq_back">'Cost Equations'!$C$204</definedName>
    <definedName name="ss_man_eq_bio_air">'Cost Equations'!$C$224</definedName>
    <definedName name="ss_man_eq_bp">'Cost Equations'!$C$215</definedName>
    <definedName name="ss_man_eq_e_donor">'Cost Equations'!$C$209</definedName>
    <definedName name="ss_man_eq_H2O2">'Cost Equations'!$C$230</definedName>
    <definedName name="ss_man_eq_H3PO4">'Cost Equations'!$C$213</definedName>
    <definedName name="ss_man_eq_NH4Cl">'Cost Equations'!$C$211</definedName>
    <definedName name="ss_man_eq_polymer">'Cost Equations'!$C$233</definedName>
    <definedName name="ss_man_eq_proc">'Cost Equations'!$C$201</definedName>
    <definedName name="ss_man_eq_rec">'Cost Equations'!$C$207</definedName>
    <definedName name="ss_man_eq_res">'Cost Equations'!$C$218</definedName>
    <definedName name="ss_mmpump_cost_cl">'Cost Data'!$B$953:$F$965</definedName>
    <definedName name="ss_mov_cost_cl">'Cost Data'!$B$970:$F$985</definedName>
    <definedName name="ss_mov_eq_aeration">'Cost Equations'!$C$188</definedName>
    <definedName name="ss_mov_eq_air">'Cost Equations'!$C$182</definedName>
    <definedName name="ss_mov_eq_back">'Cost Equations'!$C$165</definedName>
    <definedName name="ss_mov_eq_bio_air">'Cost Equations'!$C$185</definedName>
    <definedName name="ss_mov_eq_bp">'Cost Equations'!$C$176</definedName>
    <definedName name="ss_mov_eq_e_donor">'Cost Equations'!$C$170</definedName>
    <definedName name="ss_mov_eq_H2O2">'Cost Equations'!$C$191</definedName>
    <definedName name="ss_mov_eq_H3PO4">'Cost Equations'!$C$174</definedName>
    <definedName name="ss_mov_eq_NH4Cl">'Cost Equations'!$C$172</definedName>
    <definedName name="ss_mov_eq_polymer">'Cost Equations'!$C$194</definedName>
    <definedName name="ss_mov_eq_rec">'Cost Equations'!$C$168</definedName>
    <definedName name="ss_mov_eq_res">'Cost Equations'!$C$179</definedName>
    <definedName name="ss_mov_eq_tank">'Cost Equations'!$C$162</definedName>
    <definedName name="ss_NH4Cl_day_eq">'Cost Equations'!$C$73</definedName>
    <definedName name="ss_NH4Cl_empump_eq">'Cost Equations'!$C$274</definedName>
    <definedName name="ss_NH4Cl_mmpump_eq">'Cost Equations'!$C$272</definedName>
    <definedName name="ss_NH4Cl_st_eq">'Cost Equations'!$C$59</definedName>
    <definedName name="ss_pipe_cost_cl">'Cost Data'!$B$990:$F$1007</definedName>
    <definedName name="ss_pipe_eq_back">'Cost Equations'!$C$102</definedName>
    <definedName name="ss_pipe_eq_bp">'Cost Equations'!$C$133</definedName>
    <definedName name="ss_pipe_eq_e_donor">'Cost Equations'!$C$107</definedName>
    <definedName name="ss_pipe_eq_H2O2">'Cost Equations'!$C$149</definedName>
    <definedName name="ss_pipe_eq_H3PO4">'Cost Equations'!$C$117</definedName>
    <definedName name="ss_pipe_eq_in_out">'Cost Equations'!$C$139</definedName>
    <definedName name="ss_pipe_eq_NH4Cl">'Cost Equations'!$C$112</definedName>
    <definedName name="ss_pipe_eq_polymer">'Cost Equations'!$C$157</definedName>
    <definedName name="ss_pipe_eq_proc">'Cost Equations'!$C$123</definedName>
    <definedName name="ss_pipe_eq_rec">'Cost Equations'!$C$128</definedName>
    <definedName name="ss_pipe_eq_res">'Cost Equations'!$C$144</definedName>
    <definedName name="ss_polymer_empump_eq">'Cost Equations'!$C$293</definedName>
    <definedName name="ss_polymer_mmpump_eq">'Cost Equations'!$C$291</definedName>
    <definedName name="ss_polymer_st_eq">'Cost Equations'!$C$93</definedName>
    <definedName name="ss_pv_cost_cl">'Cost Data'!$B$1012:$F$1017</definedName>
    <definedName name="ss_pv_eq">'Cost Equations'!$C$7</definedName>
    <definedName name="ss_pv_eq_filt">'Cost Equations'!$C$35</definedName>
    <definedName name="st_aeration_eq">'Cost Equations'!$C$47</definedName>
    <definedName name="st_bwt_cost_cl">'Cost Data'!$B$1022:$F$1031</definedName>
    <definedName name="st_bwt_eq">'Cost Equations'!$C$43</definedName>
    <definedName name="st_coag_eq">'Cost Equations'!$C$95</definedName>
    <definedName name="st_ht_eq">'Cost Equations'!$C$81</definedName>
    <definedName name="st_pipe_cost_cl">'Cost Data'!$B$1036:$F$1054</definedName>
    <definedName name="st_pipe_eq_back">'Cost Equations'!$C$103</definedName>
    <definedName name="st_pipe_eq_bp">'Cost Equations'!$C$134</definedName>
    <definedName name="st_pipe_eq_e_donor">'Cost Equations'!$C$108</definedName>
    <definedName name="st_pipe_eq_H2O2">'Cost Equations'!$C$150</definedName>
    <definedName name="st_pipe_eq_H3PO4">'Cost Equations'!$C$118</definedName>
    <definedName name="st_pipe_eq_in_out">'Cost Equations'!$C$140</definedName>
    <definedName name="st_pipe_eq_NH4Cl">'Cost Equations'!$C$113</definedName>
    <definedName name="st_pipe_eq_polymer">'Cost Equations'!$C$158</definedName>
    <definedName name="st_pipe_eq_proc">'Cost Equations'!$C$124</definedName>
    <definedName name="st_pipe_eq_rec">'Cost Equations'!$C$129</definedName>
    <definedName name="st_pipe_eq_res">'Cost Equations'!$C$145</definedName>
    <definedName name="st_tt_eq">'Cost Equations'!$C$381</definedName>
    <definedName name="stake_out_cost_cl">'Cost Data'!$B$1059:$F$1059</definedName>
    <definedName name="std_base">Indirect!$C$15</definedName>
    <definedName name="std_cool">Indirect!$C$27</definedName>
    <definedName name="std_design_params">'Standard Inputs'!$A$8:$BC$80</definedName>
    <definedName name="std_gen_cost_cl">'Cost Data'!$B$1064:$F$1084</definedName>
    <definedName name="std_heat">Indirect!$C$21</definedName>
    <definedName name="std_power">Indirect!$C$29</definedName>
    <definedName name="std_power_cost">Indirect!$C$30</definedName>
    <definedName name="std_safety_factor">'Indirect Assumptions'!$C$61</definedName>
    <definedName name="surface_loading_rate_g">'Bioreactor Constraints'!$C$69</definedName>
    <definedName name="SW_permit_cost_cl">'Cost Data'!$B$1607:$C$1609</definedName>
    <definedName name="switch_cost_cl">'Cost Data'!$B$1089:$F$1089</definedName>
    <definedName name="system_automation_valid">'Lookup Tables'!$A$42:$A$45</definedName>
    <definedName name="system_cost">OUTPUT!$C$549</definedName>
    <definedName name="TABLE" localSheetId="4">'Critical Design Assumptions'!$H$93:$J$108</definedName>
    <definedName name="TAC_pct_cap">Indirect!$C$98</definedName>
    <definedName name="TAC_pct_OM">Indirect!$C$99</definedName>
    <definedName name="tank_geom">'Bioreactor Constraints'!$C$17</definedName>
    <definedName name="tank_geom_filt">'Post-Treatment'!$C$69</definedName>
    <definedName name="tank_geom_I">INPUT!$G$59</definedName>
    <definedName name="tank_valve_size">'Instrumentation and Control'!$C$10</definedName>
    <definedName name="target_bed_depth_over">'Critical Design Assumptions'!$C$31</definedName>
    <definedName name="target_bed_depth_over_fluid">'Critical Design Assumptions'!$C$33</definedName>
    <definedName name="target_bed_depth_over_g">'Critical Design Assumptions'!$C$55</definedName>
    <definedName name="target_bed_depth_under">'Critical Design Assumptions'!$C$30</definedName>
    <definedName name="target_bed_depth_under_fluid">'Critical Design Assumptions'!$C$32</definedName>
    <definedName name="target_bed_depth_under_g">'Critical Design Assumptions'!$C$54</definedName>
    <definedName name="tax_pct">'Indirect Assumptions'!$C$90</definedName>
    <definedName name="TDB_link">'Lookup Tables'!$A$47</definedName>
    <definedName name="TDB_link_table_cl">'Engineering Data'!$A$173:$B$211</definedName>
    <definedName name="tech_fp">Indirect!$C$33</definedName>
    <definedName name="tech_name">OUTPUT!$C$3</definedName>
    <definedName name="temp_meter_cost_cl">'Cost Data'!$B$1094:$F$1094</definedName>
    <definedName name="temp_meters">'Critical Design Assumptions'!$C$169</definedName>
    <definedName name="temp_meters_small">'Critical Design Assumptions'!$C$170</definedName>
    <definedName name="thick_backfill_vol">'Residuals Management'!$C$115</definedName>
    <definedName name="thick_basin_depth">'Residuals Management'!$C$110</definedName>
    <definedName name="thick_basin_diam">'Residuals Management'!$C$109</definedName>
    <definedName name="thick_basin_height">'Residuals Management'!$C$107</definedName>
    <definedName name="thick_basin_vol">'Residuals Management'!$C$112</definedName>
    <definedName name="thick_basins">'Residuals Management'!$C$105</definedName>
    <definedName name="thick_basins_default">'Critical Design Assumptions'!$C$263</definedName>
    <definedName name="thick_circ">'Residuals Management'!$C$111</definedName>
    <definedName name="thick_conc_vol">'Residuals Management'!$C$113</definedName>
    <definedName name="thick_diam">'Pumps Pipe Structure'!$C$98</definedName>
    <definedName name="thick_excavation_vol">'Residuals Management'!$C$114</definedName>
    <definedName name="thick_fp">'Pumps Pipe Structure'!$C$152</definedName>
    <definedName name="thick_internal_cost_cl">'Cost Data'!$B$1099:$F$1099</definedName>
    <definedName name="thick_mech_diam">'Residuals Management'!$C$121</definedName>
    <definedName name="thick_railing">'Residuals Management'!$C$116</definedName>
    <definedName name="thick_removal">'Critical Design Assumptions'!$C$268</definedName>
    <definedName name="thick_sa">'Residuals Management'!$C$108</definedName>
    <definedName name="thick_solids">'Residuals Management'!$C$118</definedName>
    <definedName name="thick_tank_volume">'Residuals Management'!$C$103</definedName>
    <definedName name="thick_tanks">'Residuals Management'!$C$102</definedName>
    <definedName name="thick_time">'Critical Design Assumptions'!$C$266</definedName>
    <definedName name="thick_vol_ft">'Residuals Management'!$C$106</definedName>
    <definedName name="thickening_freeboard">'Critical Design Assumptions'!$C$265</definedName>
    <definedName name="thickening_ratio">'Critical Design Assumptions'!$C$264</definedName>
    <definedName name="throughput_table">'Lookup Tables'!$A$16:$F$21</definedName>
    <definedName name="thrust_block_table_cl">'Engineering Data'!$A$217:$B$233</definedName>
    <definedName name="thrust_force">Indirect!$C$54</definedName>
    <definedName name="Top_bottom_Vessel_space">'Critical Design Assumptions'!$C$211</definedName>
    <definedName name="tot_aeration_man">'Instrumentation and Control'!$C$51</definedName>
    <definedName name="tot_aeration_MOVs">'Instrumentation and Control'!$C$35</definedName>
    <definedName name="tot_air_biomass">'Biomass Control'!$C$24</definedName>
    <definedName name="tot_air_man">'Instrumentation and Control'!$C$49</definedName>
    <definedName name="tot_air_MOVs">'Instrumentation and Control'!$C$33</definedName>
    <definedName name="tot_air_scour">'Biomass Control'!$C$23</definedName>
    <definedName name="tot_back_alarm">'Instrumentation and Control'!$C$69</definedName>
    <definedName name="tot_back_chv">'Instrumentation and Control'!$C$59</definedName>
    <definedName name="tot_back_man">'Instrumentation and Control'!$C$46</definedName>
    <definedName name="tot_back_MOVs">'Instrumentation and Control'!$C$31</definedName>
    <definedName name="tot_bio_air_man">'Instrumentation and Control'!$C$50</definedName>
    <definedName name="tot_bio_air_MOVs">'Instrumentation and Control'!$C$34</definedName>
    <definedName name="tot_bp_chv">'Critical Design Assumptions'!$C$156</definedName>
    <definedName name="tot_bp_man">'Instrumentation and Control'!$C$48</definedName>
    <definedName name="tot_bp_MOVs" localSheetId="12">'Instrumentation and Control'!$C$32</definedName>
    <definedName name="tot_bp_MOVs">'Critical Design Assumptions'!$E$306</definedName>
    <definedName name="tot_chem">'O&amp;M'!$C$32</definedName>
    <definedName name="tot_chem_alarm">'Instrumentation and Control'!$C$70</definedName>
    <definedName name="tot_ClO4_analyzer">'Instrumentation and Control'!$C$74</definedName>
    <definedName name="tot_coag_chv">'Instrumentation and Control'!$C$61</definedName>
    <definedName name="tot_coag_man">'Instrumentation and Control'!$C$53</definedName>
    <definedName name="tot_coag_MOVs">'Instrumentation and Control'!$C$37</definedName>
    <definedName name="tot_DO_analyzer">'Instrumentation and Control'!$C$76</definedName>
    <definedName name="tot_e_donor_chv">'Instrumentation and Control'!$C$56</definedName>
    <definedName name="tot_e_donor_man">'Instrumentation and Control'!$C$43</definedName>
    <definedName name="tot_e_donor_MOVs">'Instrumentation and Control'!$C$28</definedName>
    <definedName name="tot_fm_back">'Critical Design Assumptions'!$C$160</definedName>
    <definedName name="tot_fm_in">'Critical Design Assumptions'!$C$158</definedName>
    <definedName name="tot_fm_proc">'Instrumentation and Control'!$C$66</definedName>
    <definedName name="tot_fm_res">'Critical Design Assumptions'!$C$250</definedName>
    <definedName name="tot_H2O2_chv">'Instrumentation and Control'!$C$60</definedName>
    <definedName name="tot_H2O2_man">'Instrumentation and Control'!$C$52</definedName>
    <definedName name="tot_H2O2_MOVs">'Instrumentation and Control'!$C$36</definedName>
    <definedName name="tot_H3PO4_chv">'Instrumentation and Control'!$C$58</definedName>
    <definedName name="tot_H3PO4_man">'Instrumentation and Control'!$C$45</definedName>
    <definedName name="tot_H3PO4_MOVs">'Instrumentation and Control'!$C$30</definedName>
    <definedName name="tot_head_sens">'Instrumentation and Control'!$C$73</definedName>
    <definedName name="tot_in_chv">'Critical Design Assumptions'!$C$152</definedName>
    <definedName name="tot_inst">'O&amp;M'!$C$27</definedName>
    <definedName name="tot_inst_maint">'O&amp;M'!$C$28</definedName>
    <definedName name="tot_level_switch">'Instrumentation and Control'!$C$68</definedName>
    <definedName name="tot_man_valves">'Critical Design Assumptions'!$C$146</definedName>
    <definedName name="tot_MOVs">'Instrumentation and Control'!$C$39</definedName>
    <definedName name="tot_N_analyzer">'Instrumentation and Control'!$C$75</definedName>
    <definedName name="tot_NH4Cl_chv">'Instrumentation and Control'!$C$57</definedName>
    <definedName name="tot_NH4Cl_man">'Instrumentation and Control'!$C$44</definedName>
    <definedName name="tot_NH4Cl_MOVs">'Instrumentation and Control'!$C$29</definedName>
    <definedName name="tot_nutrient_chv">'Critical Design Assumptions'!$C$153</definedName>
    <definedName name="tot_polymer_chv">'Instrumentation and Control'!$C$62</definedName>
    <definedName name="tot_polymer_man">'Instrumentation and Control'!$C$54</definedName>
    <definedName name="tot_polymer_MOVs">'Instrumentation and Control'!$C$38</definedName>
    <definedName name="tot_proc_man">'Instrumentation and Control'!$C$42</definedName>
    <definedName name="tot_proc_MOVs">'Instrumentation and Control'!$C$26</definedName>
    <definedName name="tot_pumps">'O&amp;M'!$C$29</definedName>
    <definedName name="tot_pumps_maint">'O&amp;M'!$C$30</definedName>
    <definedName name="tot_rec_man">'Instrumentation and Control'!$C$47</definedName>
    <definedName name="tot_rec_MOVs">'Instrumentation and Control'!$C$27</definedName>
    <definedName name="tot_req_thick_vol">'Residuals Management'!$C$101</definedName>
    <definedName name="tot_res_alarm">'Residuals Management'!$C$155</definedName>
    <definedName name="tot_res_chv">'Residuals Management'!$C$154</definedName>
    <definedName name="tot_switches">'Instrumentation and Control'!$C$78</definedName>
    <definedName name="tot_temp_meters">'Instrumentation and Control'!$C$72</definedName>
    <definedName name="tot_turb_meters">'Instrumentation and Control'!$C$71</definedName>
    <definedName name="tot_valves">'O&amp;M'!$C$31</definedName>
    <definedName name="total_booster_pumps">'Pumps Pipe Structure'!$C$11</definedName>
    <definedName name="total_coag">'O&amp;M'!$C$24</definedName>
    <definedName name="total_diffusers">'Post-Treatment'!$C$17</definedName>
    <definedName name="total_direct_depreciation">OUTPUT!$X$508</definedName>
    <definedName name="total_fp">'Pumps Pipe Structure'!$C$161</definedName>
    <definedName name="total_hvol_ft">'Residuals Management'!$C$45</definedName>
    <definedName name="total_num_basins">'Bioreactor Constraints'!$C$70</definedName>
    <definedName name="total_num_filt_basins">'Post-Treatment'!$C$116</definedName>
    <definedName name="total_res_man">'Residuals Management'!$C$153</definedName>
    <definedName name="total_res_MOVs">'Residuals Management'!$C$152</definedName>
    <definedName name="total_resin">'Bioreactor Constraints'!$C$81</definedName>
    <definedName name="transfer_time">'Critical Design Assumptions'!$C$237</definedName>
    <definedName name="trench_angle">'Indirect Assumptions'!$C$37</definedName>
    <definedName name="trench_area">Indirect!$C$61</definedName>
    <definedName name="trench_depth">Indirect!$C$53</definedName>
    <definedName name="trench_vol">Indirect!$C$66</definedName>
    <definedName name="TSS_residuals">'Residuals Management'!$C$28</definedName>
    <definedName name="TSS_residuals_dis">'Residuals Management'!$C$188</definedName>
    <definedName name="turb_tank">'Critical Design Assumptions'!$C$171</definedName>
    <definedName name="turb_tank_filt">'Critical Design Assumptions'!$C$173</definedName>
    <definedName name="turb_tank_g">'Critical Design Assumptions'!$C$172</definedName>
    <definedName name="turbidimeter_cost_cl">'Cost Data'!$B$1104:$F$1104</definedName>
    <definedName name="UBC_mult_table_cl">'Cost Data'!$B$1614:$D$1621</definedName>
    <definedName name="uloe_autoback">'O&amp;M Assumptions'!$C$27</definedName>
    <definedName name="uloe_chem_maint">'O&amp;M Assumptions'!$C$35</definedName>
    <definedName name="uloe_fp">'O&amp;M Assumptions'!$C$28</definedName>
    <definedName name="uloe_inst">'O&amp;M Assumptions'!$C$23</definedName>
    <definedName name="uloe_inst_auto">'O&amp;M Assumptions'!$C$24</definedName>
    <definedName name="uloe_inst_maint">'O&amp;M Assumptions'!$C$32</definedName>
    <definedName name="uloe_pump">'O&amp;M Assumptions'!$C$25</definedName>
    <definedName name="uloe_pump_maint">'O&amp;M Assumptions'!$C$33</definedName>
    <definedName name="uloe_throwaway">'O&amp;M Assumptions'!$C$29</definedName>
    <definedName name="uloe_valve">'O&amp;M Assumptions'!$C$26</definedName>
    <definedName name="uloe_valve_maint">'O&amp;M Assumptions'!$C$34</definedName>
    <definedName name="underdrain_horiz_void">'Bioreactor Constraints'!$C$55</definedName>
    <definedName name="underdrain_horiz_void_filt">'Post-Treatment'!$C$102</definedName>
    <definedName name="ups">'Critical Design Assumptions'!$C$199</definedName>
    <definedName name="ups_cost_cl">'Cost Data'!$B$1109:$F$1109</definedName>
    <definedName name="use_autosize">INPUT!$B$57</definedName>
    <definedName name="use_autosize_filt">INPUT!$B$105</definedName>
    <definedName name="use_autosizeA">INPUT!$B$75</definedName>
    <definedName name="use_autosizeA_filt">INPUT!$B$94</definedName>
    <definedName name="use_column">OUTPUT!$L$36:$L$506</definedName>
    <definedName name="useful_life">OUTPUT!$C$617</definedName>
    <definedName name="v_diam">'Critical Design Assumptions'!$C$21</definedName>
    <definedName name="valve_table">'Critical Design Assumptions'!$B$289:$E$325</definedName>
    <definedName name="ven_fm_cost_cl">'Cost Data'!$B$1114:$F$1131</definedName>
    <definedName name="ven_fm_eq_back">'Cost Equations'!$C$371</definedName>
    <definedName name="ven_fm_eq_in">'Cost Equations'!$C$361</definedName>
    <definedName name="ven_fm_eq_proc">'Cost Equations'!$C$366</definedName>
    <definedName name="ven_fm_eq_res">'Cost Equations'!$C$376</definedName>
    <definedName name="ventilation">HVAC!$C$16</definedName>
    <definedName name="vert_vol_available">'Bioreactor Constraints'!$C$59</definedName>
    <definedName name="vert_vol_available_filt">'Post-Treatment'!$C$106</definedName>
    <definedName name="vessel_fp">'Pumps Pipe Structure'!$C$125</definedName>
    <definedName name="vessel_size_table_cl">'Engineering Data'!$A$241:$C$263</definedName>
    <definedName name="Vessel_thickness">'Critical Design Assumptions'!$C$26</definedName>
    <definedName name="void_above">'Bioreactor Constraints'!$C$28</definedName>
    <definedName name="void_above_filt">'Post-Treatment'!$C$75</definedName>
    <definedName name="vol_tol_horiz">'Critical Design Assumptions'!$C$37</definedName>
    <definedName name="vol_tol_vert_med">'Critical Design Assumptions'!$C$36</definedName>
    <definedName name="vol_tol_vert_small">'Critical Design Assumptions'!$C$35</definedName>
    <definedName name="waste_heat_blowers">HVAC!$C$50</definedName>
    <definedName name="waste_heat_bw_pumps">HVAC!$C$48</definedName>
    <definedName name="waste_heat_pumps">HVAC!$C$44</definedName>
    <definedName name="waste_heat_recycle_pumps">HVAC!$C$46</definedName>
    <definedName name="waste_heat_scour_blowers">HVAC!$C$52</definedName>
    <definedName name="water_flush">'Biomass Control'!$C$8</definedName>
    <definedName name="waterflush_vol">'Biomass Control'!$C$9</definedName>
    <definedName name="Weekly_labor">'O&amp;M Assumptions'!$C$19</definedName>
    <definedName name="winter_days">'Critical Design Assumptions'!$C$275</definedName>
    <definedName name="workstation_ratio">'Critical Design Assumptions'!$C$200</definedName>
    <definedName name="workstations">'Instrumentation and Control'!$C$97</definedName>
    <definedName name="yard_cost">Indirect!$C$77</definedName>
    <definedName name="yard_in">'Indirect Assumptions'!$C$38</definedName>
    <definedName name="yard_out">'Indirect Assumptions'!$C$39</definedName>
    <definedName name="yard_pipe_diam">Indirect!$C$52</definedName>
    <definedName name="yard_pipe_length">Indirect!$C$67</definedName>
    <definedName name="yes_no_valid">'Lookup Tables'!$A$49:$A$51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7" i="16" l="1"/>
  <c r="Q418" i="18"/>
  <c r="P418" i="18"/>
  <c r="O418" i="18"/>
  <c r="N418" i="18"/>
  <c r="M418" i="18"/>
  <c r="L418" i="18"/>
  <c r="K418" i="18"/>
  <c r="J418" i="18"/>
  <c r="I418" i="18"/>
  <c r="H418" i="18"/>
  <c r="G418" i="18"/>
  <c r="F418" i="18"/>
  <c r="Q417" i="18"/>
  <c r="P417" i="18"/>
  <c r="O417" i="18"/>
  <c r="N417" i="18"/>
  <c r="M417" i="18"/>
  <c r="L417" i="18"/>
  <c r="K417" i="18"/>
  <c r="J417" i="18"/>
  <c r="I417" i="18"/>
  <c r="H417" i="18"/>
  <c r="G417" i="18"/>
  <c r="F417" i="18"/>
  <c r="Q416" i="18"/>
  <c r="P416" i="18"/>
  <c r="O416" i="18"/>
  <c r="N416" i="18"/>
  <c r="M416" i="18"/>
  <c r="L416" i="18"/>
  <c r="K416" i="18"/>
  <c r="J416" i="18"/>
  <c r="I416" i="18"/>
  <c r="H416" i="18"/>
  <c r="G416" i="18"/>
  <c r="F416" i="18"/>
  <c r="Q415" i="18"/>
  <c r="P415" i="18"/>
  <c r="O415" i="18"/>
  <c r="N415" i="18"/>
  <c r="M415" i="18"/>
  <c r="L415" i="18"/>
  <c r="K415" i="18"/>
  <c r="J415" i="18"/>
  <c r="I415" i="18"/>
  <c r="H415" i="18"/>
  <c r="G415" i="18"/>
  <c r="F415" i="18"/>
  <c r="Q414" i="18"/>
  <c r="P414" i="18"/>
  <c r="O414" i="18"/>
  <c r="N414" i="18"/>
  <c r="M414" i="18"/>
  <c r="L414" i="18"/>
  <c r="K414" i="18"/>
  <c r="J414" i="18"/>
  <c r="I414" i="18"/>
  <c r="H414" i="18"/>
  <c r="G414" i="18"/>
  <c r="F414" i="18"/>
  <c r="Q413" i="18"/>
  <c r="P413" i="18"/>
  <c r="O413" i="18"/>
  <c r="N413" i="18"/>
  <c r="M413" i="18"/>
  <c r="L413" i="18"/>
  <c r="K413" i="18"/>
  <c r="J413" i="18"/>
  <c r="I413" i="18"/>
  <c r="H413" i="18"/>
  <c r="G413" i="18"/>
  <c r="F413" i="18"/>
  <c r="Q412" i="18"/>
  <c r="P412" i="18"/>
  <c r="O412" i="18"/>
  <c r="N412" i="18"/>
  <c r="M412" i="18"/>
  <c r="L412" i="18"/>
  <c r="K412" i="18"/>
  <c r="J412" i="18"/>
  <c r="I412" i="18"/>
  <c r="H412" i="18"/>
  <c r="G412" i="18"/>
  <c r="F412" i="18"/>
  <c r="Q411" i="18"/>
  <c r="P411" i="18"/>
  <c r="O411" i="18"/>
  <c r="N411" i="18"/>
  <c r="M411" i="18"/>
  <c r="L411" i="18"/>
  <c r="K411" i="18"/>
  <c r="J411" i="18"/>
  <c r="I411" i="18"/>
  <c r="H411" i="18"/>
  <c r="G411" i="18"/>
  <c r="F411" i="18"/>
  <c r="Q410" i="18"/>
  <c r="P410" i="18"/>
  <c r="O410" i="18"/>
  <c r="N410" i="18"/>
  <c r="M410" i="18"/>
  <c r="L410" i="18"/>
  <c r="K410" i="18"/>
  <c r="J410" i="18"/>
  <c r="I410" i="18"/>
  <c r="H410" i="18"/>
  <c r="G410" i="18"/>
  <c r="F410" i="18"/>
  <c r="Q408" i="18"/>
  <c r="P408" i="18"/>
  <c r="O408" i="18"/>
  <c r="N408" i="18"/>
  <c r="M408" i="18"/>
  <c r="L408" i="18"/>
  <c r="K408" i="18"/>
  <c r="J408" i="18"/>
  <c r="I408" i="18"/>
  <c r="H408" i="18"/>
  <c r="G408" i="18"/>
  <c r="F408" i="18"/>
  <c r="Q407" i="18"/>
  <c r="P407" i="18"/>
  <c r="O407" i="18"/>
  <c r="N407" i="18"/>
  <c r="M407" i="18"/>
  <c r="L407" i="18"/>
  <c r="K407" i="18"/>
  <c r="J407" i="18"/>
  <c r="I407" i="18"/>
  <c r="H407" i="18"/>
  <c r="G407" i="18"/>
  <c r="F407" i="18"/>
  <c r="Q406" i="18"/>
  <c r="P406" i="18"/>
  <c r="O406" i="18"/>
  <c r="N406" i="18"/>
  <c r="M406" i="18"/>
  <c r="L406" i="18"/>
  <c r="K406" i="18"/>
  <c r="J406" i="18"/>
  <c r="I406" i="18"/>
  <c r="H406" i="18"/>
  <c r="G406" i="18"/>
  <c r="F406" i="18"/>
  <c r="Q405" i="18"/>
  <c r="P405" i="18"/>
  <c r="O405" i="18"/>
  <c r="N405" i="18"/>
  <c r="M405" i="18"/>
  <c r="L405" i="18"/>
  <c r="K405" i="18"/>
  <c r="J405" i="18"/>
  <c r="I405" i="18"/>
  <c r="H405" i="18"/>
  <c r="G405" i="18"/>
  <c r="F405" i="18"/>
  <c r="Q404" i="18"/>
  <c r="P404" i="18"/>
  <c r="O404" i="18"/>
  <c r="N404" i="18"/>
  <c r="M404" i="18"/>
  <c r="L404" i="18"/>
  <c r="K404" i="18"/>
  <c r="J404" i="18"/>
  <c r="I404" i="18"/>
  <c r="H404" i="18"/>
  <c r="G404" i="18"/>
  <c r="F404" i="18"/>
  <c r="Q403" i="18"/>
  <c r="P403" i="18"/>
  <c r="O403" i="18"/>
  <c r="N403" i="18"/>
  <c r="M403" i="18"/>
  <c r="L403" i="18"/>
  <c r="K403" i="18"/>
  <c r="J403" i="18"/>
  <c r="I403" i="18"/>
  <c r="H403" i="18"/>
  <c r="G403" i="18"/>
  <c r="F403" i="18"/>
  <c r="Q402" i="18"/>
  <c r="P402" i="18"/>
  <c r="O402" i="18"/>
  <c r="N402" i="18"/>
  <c r="M402" i="18"/>
  <c r="L402" i="18"/>
  <c r="K402" i="18"/>
  <c r="J402" i="18"/>
  <c r="I402" i="18"/>
  <c r="H402" i="18"/>
  <c r="G402" i="18"/>
  <c r="F402" i="18"/>
  <c r="Q401" i="18"/>
  <c r="P401" i="18"/>
  <c r="O401" i="18"/>
  <c r="N401" i="18"/>
  <c r="M401" i="18"/>
  <c r="L401" i="18"/>
  <c r="K401" i="18"/>
  <c r="J401" i="18"/>
  <c r="I401" i="18"/>
  <c r="H401" i="18"/>
  <c r="G401" i="18"/>
  <c r="F401" i="18"/>
  <c r="Q400" i="18"/>
  <c r="P400" i="18"/>
  <c r="O400" i="18"/>
  <c r="N400" i="18"/>
  <c r="M400" i="18"/>
  <c r="L400" i="18"/>
  <c r="K400" i="18"/>
  <c r="J400" i="18"/>
  <c r="I400" i="18"/>
  <c r="H400" i="18"/>
  <c r="G400" i="18"/>
  <c r="F400" i="18"/>
  <c r="Q399" i="18"/>
  <c r="P399" i="18"/>
  <c r="O399" i="18"/>
  <c r="N399" i="18"/>
  <c r="M399" i="18"/>
  <c r="L399" i="18"/>
  <c r="K399" i="18"/>
  <c r="J399" i="18"/>
  <c r="I399" i="18"/>
  <c r="H399" i="18"/>
  <c r="G399" i="18"/>
  <c r="F399" i="18"/>
  <c r="Q398" i="18"/>
  <c r="P398" i="18"/>
  <c r="O398" i="18"/>
  <c r="N398" i="18"/>
  <c r="M398" i="18"/>
  <c r="L398" i="18"/>
  <c r="K398" i="18"/>
  <c r="J398" i="18"/>
  <c r="I398" i="18"/>
  <c r="H398" i="18"/>
  <c r="G398" i="18"/>
  <c r="F398" i="18"/>
  <c r="Q397" i="18"/>
  <c r="P397" i="18"/>
  <c r="O397" i="18"/>
  <c r="N397" i="18"/>
  <c r="M397" i="18"/>
  <c r="L397" i="18"/>
  <c r="K397" i="18"/>
  <c r="J397" i="18"/>
  <c r="I397" i="18"/>
  <c r="H397" i="18"/>
  <c r="G397" i="18"/>
  <c r="F397" i="18"/>
  <c r="Q396" i="18"/>
  <c r="P396" i="18"/>
  <c r="O396" i="18"/>
  <c r="N396" i="18"/>
  <c r="M396" i="18"/>
  <c r="L396" i="18"/>
  <c r="K396" i="18"/>
  <c r="J396" i="18"/>
  <c r="I396" i="18"/>
  <c r="H396" i="18"/>
  <c r="G396" i="18"/>
  <c r="F396" i="18"/>
  <c r="Q395" i="18"/>
  <c r="P395" i="18"/>
  <c r="O395" i="18"/>
  <c r="N395" i="18"/>
  <c r="M395" i="18"/>
  <c r="L395" i="18"/>
  <c r="K395" i="18"/>
  <c r="J395" i="18"/>
  <c r="I395" i="18"/>
  <c r="H395" i="18"/>
  <c r="G395" i="18"/>
  <c r="F395" i="18"/>
  <c r="Q394" i="18"/>
  <c r="P394" i="18"/>
  <c r="O394" i="18"/>
  <c r="N394" i="18"/>
  <c r="M394" i="18"/>
  <c r="L394" i="18"/>
  <c r="K394" i="18"/>
  <c r="J394" i="18"/>
  <c r="I394" i="18"/>
  <c r="H394" i="18"/>
  <c r="G394" i="18"/>
  <c r="F394" i="18"/>
  <c r="Q393" i="18"/>
  <c r="P393" i="18"/>
  <c r="O393" i="18"/>
  <c r="N393" i="18"/>
  <c r="M393" i="18"/>
  <c r="L393" i="18"/>
  <c r="K393" i="18"/>
  <c r="J393" i="18"/>
  <c r="I393" i="18"/>
  <c r="H393" i="18"/>
  <c r="G393" i="18"/>
  <c r="F393" i="18"/>
  <c r="Q392" i="18"/>
  <c r="P392" i="18"/>
  <c r="O392" i="18"/>
  <c r="N392" i="18"/>
  <c r="M392" i="18"/>
  <c r="L392" i="18"/>
  <c r="K392" i="18"/>
  <c r="J392" i="18"/>
  <c r="I392" i="18"/>
  <c r="H392" i="18"/>
  <c r="G392" i="18"/>
  <c r="F392" i="18"/>
  <c r="Q391" i="18"/>
  <c r="P391" i="18"/>
  <c r="O391" i="18"/>
  <c r="N391" i="18"/>
  <c r="M391" i="18"/>
  <c r="L391" i="18"/>
  <c r="K391" i="18"/>
  <c r="J391" i="18"/>
  <c r="I391" i="18"/>
  <c r="H391" i="18"/>
  <c r="G391" i="18"/>
  <c r="F391" i="18"/>
  <c r="Q390" i="18"/>
  <c r="P390" i="18"/>
  <c r="O390" i="18"/>
  <c r="N390" i="18"/>
  <c r="M390" i="18"/>
  <c r="L390" i="18"/>
  <c r="K390" i="18"/>
  <c r="J390" i="18"/>
  <c r="I390" i="18"/>
  <c r="H390" i="18"/>
  <c r="G390" i="18"/>
  <c r="F390" i="18"/>
  <c r="Q388" i="18"/>
  <c r="P388" i="18"/>
  <c r="O388" i="18"/>
  <c r="N388" i="18"/>
  <c r="M388" i="18"/>
  <c r="L388" i="18"/>
  <c r="K388" i="18"/>
  <c r="J388" i="18"/>
  <c r="I388" i="18"/>
  <c r="H388" i="18"/>
  <c r="G388" i="18"/>
  <c r="F388" i="18"/>
  <c r="Q387" i="18"/>
  <c r="P387" i="18"/>
  <c r="O387" i="18"/>
  <c r="N387" i="18"/>
  <c r="M387" i="18"/>
  <c r="L387" i="18"/>
  <c r="K387" i="18"/>
  <c r="J387" i="18"/>
  <c r="I387" i="18"/>
  <c r="H387" i="18"/>
  <c r="G387" i="18"/>
  <c r="F387" i="18"/>
  <c r="Q384" i="18"/>
  <c r="P384" i="18"/>
  <c r="O384" i="18"/>
  <c r="N384" i="18"/>
  <c r="M384" i="18"/>
  <c r="L384" i="18"/>
  <c r="K384" i="18"/>
  <c r="J384" i="18"/>
  <c r="I384" i="18"/>
  <c r="H384" i="18"/>
  <c r="G384" i="18"/>
  <c r="F384" i="18"/>
  <c r="Q381" i="18"/>
  <c r="P381" i="18"/>
  <c r="O381" i="18"/>
  <c r="N381" i="18"/>
  <c r="M381" i="18"/>
  <c r="L381" i="18"/>
  <c r="K381" i="18"/>
  <c r="J381" i="18"/>
  <c r="I381" i="18"/>
  <c r="H381" i="18"/>
  <c r="G381" i="18"/>
  <c r="F381" i="18"/>
  <c r="Q377" i="18"/>
  <c r="P377" i="18"/>
  <c r="O377" i="18"/>
  <c r="N377" i="18"/>
  <c r="M377" i="18"/>
  <c r="L377" i="18"/>
  <c r="K377" i="18"/>
  <c r="J377" i="18"/>
  <c r="I377" i="18"/>
  <c r="H377" i="18"/>
  <c r="G377" i="18"/>
  <c r="F377" i="18"/>
  <c r="Q376" i="18"/>
  <c r="P376" i="18"/>
  <c r="O376" i="18"/>
  <c r="N376" i="18"/>
  <c r="M376" i="18"/>
  <c r="L376" i="18"/>
  <c r="K376" i="18"/>
  <c r="J376" i="18"/>
  <c r="I376" i="18"/>
  <c r="H376" i="18"/>
  <c r="G376" i="18"/>
  <c r="F376" i="18"/>
  <c r="Q375" i="18"/>
  <c r="P375" i="18"/>
  <c r="O375" i="18"/>
  <c r="N375" i="18"/>
  <c r="M375" i="18"/>
  <c r="L375" i="18"/>
  <c r="K375" i="18"/>
  <c r="J375" i="18"/>
  <c r="I375" i="18"/>
  <c r="H375" i="18"/>
  <c r="G375" i="18"/>
  <c r="F375" i="18"/>
  <c r="Q374" i="18"/>
  <c r="P374" i="18"/>
  <c r="O374" i="18"/>
  <c r="N374" i="18"/>
  <c r="M374" i="18"/>
  <c r="L374" i="18"/>
  <c r="K374" i="18"/>
  <c r="J374" i="18"/>
  <c r="I374" i="18"/>
  <c r="H374" i="18"/>
  <c r="G374" i="18"/>
  <c r="F374" i="18"/>
  <c r="Q372" i="18"/>
  <c r="P372" i="18"/>
  <c r="O372" i="18"/>
  <c r="N372" i="18"/>
  <c r="M372" i="18"/>
  <c r="L372" i="18"/>
  <c r="K372" i="18"/>
  <c r="J372" i="18"/>
  <c r="I372" i="18"/>
  <c r="H372" i="18"/>
  <c r="G372" i="18"/>
  <c r="F372" i="18"/>
  <c r="Q371" i="18"/>
  <c r="P371" i="18"/>
  <c r="O371" i="18"/>
  <c r="N371" i="18"/>
  <c r="M371" i="18"/>
  <c r="L371" i="18"/>
  <c r="K371" i="18"/>
  <c r="J371" i="18"/>
  <c r="I371" i="18"/>
  <c r="H371" i="18"/>
  <c r="G371" i="18"/>
  <c r="F371" i="18"/>
  <c r="Q370" i="18"/>
  <c r="P370" i="18"/>
  <c r="O370" i="18"/>
  <c r="N370" i="18"/>
  <c r="M370" i="18"/>
  <c r="L370" i="18"/>
  <c r="K370" i="18"/>
  <c r="J370" i="18"/>
  <c r="I370" i="18"/>
  <c r="H370" i="18"/>
  <c r="G370" i="18"/>
  <c r="F370" i="18"/>
  <c r="Q369" i="18"/>
  <c r="P369" i="18"/>
  <c r="O369" i="18"/>
  <c r="N369" i="18"/>
  <c r="M369" i="18"/>
  <c r="L369" i="18"/>
  <c r="K369" i="18"/>
  <c r="J369" i="18"/>
  <c r="I369" i="18"/>
  <c r="H369" i="18"/>
  <c r="G369" i="18"/>
  <c r="F369" i="18"/>
  <c r="Q367" i="18"/>
  <c r="P367" i="18"/>
  <c r="O367" i="18"/>
  <c r="N367" i="18"/>
  <c r="M367" i="18"/>
  <c r="L367" i="18"/>
  <c r="K367" i="18"/>
  <c r="J367" i="18"/>
  <c r="I367" i="18"/>
  <c r="H367" i="18"/>
  <c r="G367" i="18"/>
  <c r="F367" i="18"/>
  <c r="Q366" i="18"/>
  <c r="P366" i="18"/>
  <c r="O366" i="18"/>
  <c r="N366" i="18"/>
  <c r="M366" i="18"/>
  <c r="L366" i="18"/>
  <c r="K366" i="18"/>
  <c r="J366" i="18"/>
  <c r="I366" i="18"/>
  <c r="H366" i="18"/>
  <c r="G366" i="18"/>
  <c r="F366" i="18"/>
  <c r="Q365" i="18"/>
  <c r="P365" i="18"/>
  <c r="O365" i="18"/>
  <c r="N365" i="18"/>
  <c r="M365" i="18"/>
  <c r="L365" i="18"/>
  <c r="K365" i="18"/>
  <c r="J365" i="18"/>
  <c r="I365" i="18"/>
  <c r="H365" i="18"/>
  <c r="G365" i="18"/>
  <c r="F365" i="18"/>
  <c r="Q364" i="18"/>
  <c r="P364" i="18"/>
  <c r="O364" i="18"/>
  <c r="N364" i="18"/>
  <c r="M364" i="18"/>
  <c r="L364" i="18"/>
  <c r="K364" i="18"/>
  <c r="J364" i="18"/>
  <c r="I364" i="18"/>
  <c r="H364" i="18"/>
  <c r="G364" i="18"/>
  <c r="F364" i="18"/>
  <c r="Q362" i="18"/>
  <c r="P362" i="18"/>
  <c r="O362" i="18"/>
  <c r="N362" i="18"/>
  <c r="M362" i="18"/>
  <c r="L362" i="18"/>
  <c r="K362" i="18"/>
  <c r="J362" i="18"/>
  <c r="I362" i="18"/>
  <c r="H362" i="18"/>
  <c r="G362" i="18"/>
  <c r="F362" i="18"/>
  <c r="Q361" i="18"/>
  <c r="P361" i="18"/>
  <c r="O361" i="18"/>
  <c r="N361" i="18"/>
  <c r="M361" i="18"/>
  <c r="L361" i="18"/>
  <c r="K361" i="18"/>
  <c r="J361" i="18"/>
  <c r="I361" i="18"/>
  <c r="H361" i="18"/>
  <c r="G361" i="18"/>
  <c r="F361" i="18"/>
  <c r="Q360" i="18"/>
  <c r="P360" i="18"/>
  <c r="O360" i="18"/>
  <c r="N360" i="18"/>
  <c r="M360" i="18"/>
  <c r="L360" i="18"/>
  <c r="K360" i="18"/>
  <c r="J360" i="18"/>
  <c r="I360" i="18"/>
  <c r="H360" i="18"/>
  <c r="G360" i="18"/>
  <c r="F360" i="18"/>
  <c r="Q359" i="18"/>
  <c r="P359" i="18"/>
  <c r="O359" i="18"/>
  <c r="N359" i="18"/>
  <c r="M359" i="18"/>
  <c r="L359" i="18"/>
  <c r="K359" i="18"/>
  <c r="J359" i="18"/>
  <c r="I359" i="18"/>
  <c r="H359" i="18"/>
  <c r="G359" i="18"/>
  <c r="F359" i="18"/>
  <c r="Q356" i="18"/>
  <c r="P356" i="18"/>
  <c r="O356" i="18"/>
  <c r="N356" i="18"/>
  <c r="M356" i="18"/>
  <c r="L356" i="18"/>
  <c r="K356" i="18"/>
  <c r="J356" i="18"/>
  <c r="I356" i="18"/>
  <c r="H356" i="18"/>
  <c r="G356" i="18"/>
  <c r="F356" i="18"/>
  <c r="Q355" i="18"/>
  <c r="P355" i="18"/>
  <c r="O355" i="18"/>
  <c r="N355" i="18"/>
  <c r="M355" i="18"/>
  <c r="L355" i="18"/>
  <c r="K355" i="18"/>
  <c r="J355" i="18"/>
  <c r="I355" i="18"/>
  <c r="H355" i="18"/>
  <c r="G355" i="18"/>
  <c r="F355" i="18"/>
  <c r="Q353" i="18"/>
  <c r="P353" i="18"/>
  <c r="O353" i="18"/>
  <c r="N353" i="18"/>
  <c r="M353" i="18"/>
  <c r="L353" i="18"/>
  <c r="K353" i="18"/>
  <c r="J353" i="18"/>
  <c r="I353" i="18"/>
  <c r="H353" i="18"/>
  <c r="G353" i="18"/>
  <c r="F353" i="18"/>
  <c r="Q352" i="18"/>
  <c r="P352" i="18"/>
  <c r="O352" i="18"/>
  <c r="N352" i="18"/>
  <c r="M352" i="18"/>
  <c r="L352" i="18"/>
  <c r="K352" i="18"/>
  <c r="J352" i="18"/>
  <c r="I352" i="18"/>
  <c r="H352" i="18"/>
  <c r="G352" i="18"/>
  <c r="F352" i="18"/>
  <c r="Q349" i="18"/>
  <c r="P349" i="18"/>
  <c r="O349" i="18"/>
  <c r="N349" i="18"/>
  <c r="M349" i="18"/>
  <c r="L349" i="18"/>
  <c r="K349" i="18"/>
  <c r="J349" i="18"/>
  <c r="I349" i="18"/>
  <c r="H349" i="18"/>
  <c r="G349" i="18"/>
  <c r="F349" i="18"/>
  <c r="Q348" i="18"/>
  <c r="P348" i="18"/>
  <c r="O348" i="18"/>
  <c r="N348" i="18"/>
  <c r="M348" i="18"/>
  <c r="L348" i="18"/>
  <c r="K348" i="18"/>
  <c r="J348" i="18"/>
  <c r="I348" i="18"/>
  <c r="H348" i="18"/>
  <c r="G348" i="18"/>
  <c r="F348" i="18"/>
  <c r="Q345" i="18"/>
  <c r="P345" i="18"/>
  <c r="O345" i="18"/>
  <c r="N345" i="18"/>
  <c r="M345" i="18"/>
  <c r="L345" i="18"/>
  <c r="K345" i="18"/>
  <c r="J345" i="18"/>
  <c r="I345" i="18"/>
  <c r="H345" i="18"/>
  <c r="G345" i="18"/>
  <c r="F345" i="18"/>
  <c r="Q344" i="18"/>
  <c r="P344" i="18"/>
  <c r="O344" i="18"/>
  <c r="N344" i="18"/>
  <c r="M344" i="18"/>
  <c r="L344" i="18"/>
  <c r="K344" i="18"/>
  <c r="J344" i="18"/>
  <c r="I344" i="18"/>
  <c r="H344" i="18"/>
  <c r="G344" i="18"/>
  <c r="F344" i="18"/>
  <c r="Q341" i="18"/>
  <c r="P341" i="18"/>
  <c r="O341" i="18"/>
  <c r="N341" i="18"/>
  <c r="M341" i="18"/>
  <c r="L341" i="18"/>
  <c r="K341" i="18"/>
  <c r="J341" i="18"/>
  <c r="I341" i="18"/>
  <c r="H341" i="18"/>
  <c r="G341" i="18"/>
  <c r="F341" i="18"/>
  <c r="Q340" i="18"/>
  <c r="P340" i="18"/>
  <c r="O340" i="18"/>
  <c r="N340" i="18"/>
  <c r="M340" i="18"/>
  <c r="L340" i="18"/>
  <c r="K340" i="18"/>
  <c r="J340" i="18"/>
  <c r="I340" i="18"/>
  <c r="H340" i="18"/>
  <c r="G340" i="18"/>
  <c r="F340" i="18"/>
  <c r="Q337" i="18"/>
  <c r="P337" i="18"/>
  <c r="O337" i="18"/>
  <c r="N337" i="18"/>
  <c r="M337" i="18"/>
  <c r="L337" i="18"/>
  <c r="K337" i="18"/>
  <c r="J337" i="18"/>
  <c r="I337" i="18"/>
  <c r="H337" i="18"/>
  <c r="G337" i="18"/>
  <c r="F337" i="18"/>
  <c r="Q336" i="18"/>
  <c r="P336" i="18"/>
  <c r="O336" i="18"/>
  <c r="N336" i="18"/>
  <c r="M336" i="18"/>
  <c r="L336" i="18"/>
  <c r="K336" i="18"/>
  <c r="J336" i="18"/>
  <c r="I336" i="18"/>
  <c r="H336" i="18"/>
  <c r="G336" i="18"/>
  <c r="F336" i="18"/>
  <c r="Q334" i="18"/>
  <c r="P334" i="18"/>
  <c r="O334" i="18"/>
  <c r="N334" i="18"/>
  <c r="M334" i="18"/>
  <c r="L334" i="18"/>
  <c r="K334" i="18"/>
  <c r="J334" i="18"/>
  <c r="I334" i="18"/>
  <c r="H334" i="18"/>
  <c r="G334" i="18"/>
  <c r="F334" i="18"/>
  <c r="Q333" i="18"/>
  <c r="P333" i="18"/>
  <c r="O333" i="18"/>
  <c r="N333" i="18"/>
  <c r="M333" i="18"/>
  <c r="L333" i="18"/>
  <c r="K333" i="18"/>
  <c r="J333" i="18"/>
  <c r="I333" i="18"/>
  <c r="H333" i="18"/>
  <c r="G333" i="18"/>
  <c r="F333" i="18"/>
  <c r="Q330" i="18"/>
  <c r="P330" i="18"/>
  <c r="O330" i="18"/>
  <c r="N330" i="18"/>
  <c r="M330" i="18"/>
  <c r="L330" i="18"/>
  <c r="K330" i="18"/>
  <c r="J330" i="18"/>
  <c r="I330" i="18"/>
  <c r="H330" i="18"/>
  <c r="G330" i="18"/>
  <c r="F330" i="18"/>
  <c r="Q329" i="18"/>
  <c r="P329" i="18"/>
  <c r="O329" i="18"/>
  <c r="N329" i="18"/>
  <c r="M329" i="18"/>
  <c r="L329" i="18"/>
  <c r="K329" i="18"/>
  <c r="J329" i="18"/>
  <c r="I329" i="18"/>
  <c r="H329" i="18"/>
  <c r="G329" i="18"/>
  <c r="F329" i="18"/>
  <c r="Q326" i="18"/>
  <c r="P326" i="18"/>
  <c r="O326" i="18"/>
  <c r="N326" i="18"/>
  <c r="M326" i="18"/>
  <c r="L326" i="18"/>
  <c r="K326" i="18"/>
  <c r="J326" i="18"/>
  <c r="I326" i="18"/>
  <c r="H326" i="18"/>
  <c r="G326" i="18"/>
  <c r="F326" i="18"/>
  <c r="Q325" i="18"/>
  <c r="P325" i="18"/>
  <c r="O325" i="18"/>
  <c r="N325" i="18"/>
  <c r="M325" i="18"/>
  <c r="L325" i="18"/>
  <c r="K325" i="18"/>
  <c r="J325" i="18"/>
  <c r="I325" i="18"/>
  <c r="H325" i="18"/>
  <c r="G325" i="18"/>
  <c r="F325" i="18"/>
  <c r="Q322" i="18"/>
  <c r="P322" i="18"/>
  <c r="O322" i="18"/>
  <c r="N322" i="18"/>
  <c r="M322" i="18"/>
  <c r="L322" i="18"/>
  <c r="K322" i="18"/>
  <c r="J322" i="18"/>
  <c r="I322" i="18"/>
  <c r="H322" i="18"/>
  <c r="G322" i="18"/>
  <c r="F322" i="18"/>
  <c r="Q321" i="18"/>
  <c r="P321" i="18"/>
  <c r="O321" i="18"/>
  <c r="N321" i="18"/>
  <c r="M321" i="18"/>
  <c r="L321" i="18"/>
  <c r="K321" i="18"/>
  <c r="J321" i="18"/>
  <c r="I321" i="18"/>
  <c r="H321" i="18"/>
  <c r="G321" i="18"/>
  <c r="F321" i="18"/>
  <c r="Q318" i="18"/>
  <c r="P318" i="18"/>
  <c r="O318" i="18"/>
  <c r="N318" i="18"/>
  <c r="M318" i="18"/>
  <c r="L318" i="18"/>
  <c r="K318" i="18"/>
  <c r="J318" i="18"/>
  <c r="I318" i="18"/>
  <c r="H318" i="18"/>
  <c r="G318" i="18"/>
  <c r="F318" i="18"/>
  <c r="Q317" i="18"/>
  <c r="P317" i="18"/>
  <c r="O317" i="18"/>
  <c r="N317" i="18"/>
  <c r="M317" i="18"/>
  <c r="L317" i="18"/>
  <c r="K317" i="18"/>
  <c r="J317" i="18"/>
  <c r="I317" i="18"/>
  <c r="H317" i="18"/>
  <c r="G317" i="18"/>
  <c r="F317" i="18"/>
  <c r="Q314" i="18"/>
  <c r="P314" i="18"/>
  <c r="O314" i="18"/>
  <c r="N314" i="18"/>
  <c r="M314" i="18"/>
  <c r="L314" i="18"/>
  <c r="K314" i="18"/>
  <c r="J314" i="18"/>
  <c r="I314" i="18"/>
  <c r="H314" i="18"/>
  <c r="G314" i="18"/>
  <c r="F314" i="18"/>
  <c r="Q313" i="18"/>
  <c r="P313" i="18"/>
  <c r="O313" i="18"/>
  <c r="N313" i="18"/>
  <c r="M313" i="18"/>
  <c r="L313" i="18"/>
  <c r="K313" i="18"/>
  <c r="J313" i="18"/>
  <c r="I313" i="18"/>
  <c r="H313" i="18"/>
  <c r="G313" i="18"/>
  <c r="F313" i="18"/>
  <c r="Q310" i="18"/>
  <c r="P310" i="18"/>
  <c r="O310" i="18"/>
  <c r="N310" i="18"/>
  <c r="M310" i="18"/>
  <c r="L310" i="18"/>
  <c r="K310" i="18"/>
  <c r="J310" i="18"/>
  <c r="I310" i="18"/>
  <c r="H310" i="18"/>
  <c r="G310" i="18"/>
  <c r="F310" i="18"/>
  <c r="Q309" i="18"/>
  <c r="P309" i="18"/>
  <c r="O309" i="18"/>
  <c r="N309" i="18"/>
  <c r="M309" i="18"/>
  <c r="L309" i="18"/>
  <c r="K309" i="18"/>
  <c r="J309" i="18"/>
  <c r="I309" i="18"/>
  <c r="H309" i="18"/>
  <c r="G309" i="18"/>
  <c r="F309" i="18"/>
  <c r="Q306" i="18"/>
  <c r="P306" i="18"/>
  <c r="O306" i="18"/>
  <c r="N306" i="18"/>
  <c r="M306" i="18"/>
  <c r="L306" i="18"/>
  <c r="K306" i="18"/>
  <c r="J306" i="18"/>
  <c r="I306" i="18"/>
  <c r="H306" i="18"/>
  <c r="G306" i="18"/>
  <c r="F306" i="18"/>
  <c r="Q305" i="18"/>
  <c r="P305" i="18"/>
  <c r="O305" i="18"/>
  <c r="N305" i="18"/>
  <c r="M305" i="18"/>
  <c r="L305" i="18"/>
  <c r="K305" i="18"/>
  <c r="J305" i="18"/>
  <c r="I305" i="18"/>
  <c r="H305" i="18"/>
  <c r="G305" i="18"/>
  <c r="F305" i="18"/>
  <c r="Q302" i="18"/>
  <c r="P302" i="18"/>
  <c r="O302" i="18"/>
  <c r="N302" i="18"/>
  <c r="M302" i="18"/>
  <c r="L302" i="18"/>
  <c r="K302" i="18"/>
  <c r="J302" i="18"/>
  <c r="I302" i="18"/>
  <c r="H302" i="18"/>
  <c r="G302" i="18"/>
  <c r="F302" i="18"/>
  <c r="Q301" i="18"/>
  <c r="P301" i="18"/>
  <c r="O301" i="18"/>
  <c r="N301" i="18"/>
  <c r="M301" i="18"/>
  <c r="L301" i="18"/>
  <c r="K301" i="18"/>
  <c r="J301" i="18"/>
  <c r="I301" i="18"/>
  <c r="H301" i="18"/>
  <c r="G301" i="18"/>
  <c r="F301" i="18"/>
  <c r="Q297" i="18"/>
  <c r="P297" i="18"/>
  <c r="O297" i="18"/>
  <c r="N297" i="18"/>
  <c r="M297" i="18"/>
  <c r="L297" i="18"/>
  <c r="K297" i="18"/>
  <c r="J297" i="18"/>
  <c r="I297" i="18"/>
  <c r="H297" i="18"/>
  <c r="G297" i="18"/>
  <c r="F297" i="18"/>
  <c r="Q296" i="18"/>
  <c r="P296" i="18"/>
  <c r="O296" i="18"/>
  <c r="N296" i="18"/>
  <c r="M296" i="18"/>
  <c r="L296" i="18"/>
  <c r="K296" i="18"/>
  <c r="J296" i="18"/>
  <c r="I296" i="18"/>
  <c r="H296" i="18"/>
  <c r="G296" i="18"/>
  <c r="F296" i="18"/>
  <c r="Q295" i="18"/>
  <c r="P295" i="18"/>
  <c r="O295" i="18"/>
  <c r="N295" i="18"/>
  <c r="M295" i="18"/>
  <c r="L295" i="18"/>
  <c r="K295" i="18"/>
  <c r="J295" i="18"/>
  <c r="I295" i="18"/>
  <c r="H295" i="18"/>
  <c r="G295" i="18"/>
  <c r="F295" i="18"/>
  <c r="Q293" i="18"/>
  <c r="P293" i="18"/>
  <c r="O293" i="18"/>
  <c r="N293" i="18"/>
  <c r="M293" i="18"/>
  <c r="L293" i="18"/>
  <c r="K293" i="18"/>
  <c r="J293" i="18"/>
  <c r="I293" i="18"/>
  <c r="H293" i="18"/>
  <c r="G293" i="18"/>
  <c r="F293" i="18"/>
  <c r="Q292" i="18"/>
  <c r="P292" i="18"/>
  <c r="O292" i="18"/>
  <c r="N292" i="18"/>
  <c r="M292" i="18"/>
  <c r="L292" i="18"/>
  <c r="K292" i="18"/>
  <c r="J292" i="18"/>
  <c r="I292" i="18"/>
  <c r="H292" i="18"/>
  <c r="G292" i="18"/>
  <c r="F292" i="18"/>
  <c r="Q291" i="18"/>
  <c r="P291" i="18"/>
  <c r="O291" i="18"/>
  <c r="N291" i="18"/>
  <c r="M291" i="18"/>
  <c r="L291" i="18"/>
  <c r="K291" i="18"/>
  <c r="J291" i="18"/>
  <c r="I291" i="18"/>
  <c r="H291" i="18"/>
  <c r="G291" i="18"/>
  <c r="F291" i="18"/>
  <c r="Q290" i="18"/>
  <c r="P290" i="18"/>
  <c r="O290" i="18"/>
  <c r="N290" i="18"/>
  <c r="M290" i="18"/>
  <c r="L290" i="18"/>
  <c r="K290" i="18"/>
  <c r="J290" i="18"/>
  <c r="I290" i="18"/>
  <c r="H290" i="18"/>
  <c r="G290" i="18"/>
  <c r="F290" i="18"/>
  <c r="Q288" i="18"/>
  <c r="P288" i="18"/>
  <c r="O288" i="18"/>
  <c r="N288" i="18"/>
  <c r="M288" i="18"/>
  <c r="L288" i="18"/>
  <c r="K288" i="18"/>
  <c r="J288" i="18"/>
  <c r="I288" i="18"/>
  <c r="H288" i="18"/>
  <c r="G288" i="18"/>
  <c r="F288" i="18"/>
  <c r="Q287" i="18"/>
  <c r="P287" i="18"/>
  <c r="O287" i="18"/>
  <c r="N287" i="18"/>
  <c r="M287" i="18"/>
  <c r="L287" i="18"/>
  <c r="K287" i="18"/>
  <c r="J287" i="18"/>
  <c r="I287" i="18"/>
  <c r="H287" i="18"/>
  <c r="G287" i="18"/>
  <c r="F287" i="18"/>
  <c r="Q285" i="18"/>
  <c r="P285" i="18"/>
  <c r="O285" i="18"/>
  <c r="N285" i="18"/>
  <c r="M285" i="18"/>
  <c r="L285" i="18"/>
  <c r="K285" i="18"/>
  <c r="J285" i="18"/>
  <c r="I285" i="18"/>
  <c r="H285" i="18"/>
  <c r="G285" i="18"/>
  <c r="F285" i="18"/>
  <c r="Q284" i="18"/>
  <c r="P284" i="18"/>
  <c r="O284" i="18"/>
  <c r="N284" i="18"/>
  <c r="M284" i="18"/>
  <c r="L284" i="18"/>
  <c r="K284" i="18"/>
  <c r="J284" i="18"/>
  <c r="I284" i="18"/>
  <c r="H284" i="18"/>
  <c r="G284" i="18"/>
  <c r="F284" i="18"/>
  <c r="Q282" i="18"/>
  <c r="P282" i="18"/>
  <c r="O282" i="18"/>
  <c r="N282" i="18"/>
  <c r="M282" i="18"/>
  <c r="L282" i="18"/>
  <c r="K282" i="18"/>
  <c r="J282" i="18"/>
  <c r="I282" i="18"/>
  <c r="H282" i="18"/>
  <c r="G282" i="18"/>
  <c r="F282" i="18"/>
  <c r="Q281" i="18"/>
  <c r="P281" i="18"/>
  <c r="O281" i="18"/>
  <c r="N281" i="18"/>
  <c r="M281" i="18"/>
  <c r="L281" i="18"/>
  <c r="K281" i="18"/>
  <c r="J281" i="18"/>
  <c r="I281" i="18"/>
  <c r="H281" i="18"/>
  <c r="G281" i="18"/>
  <c r="F281" i="18"/>
  <c r="Q280" i="18"/>
  <c r="P280" i="18"/>
  <c r="O280" i="18"/>
  <c r="N280" i="18"/>
  <c r="M280" i="18"/>
  <c r="L280" i="18"/>
  <c r="K280" i="18"/>
  <c r="J280" i="18"/>
  <c r="I280" i="18"/>
  <c r="H280" i="18"/>
  <c r="G280" i="18"/>
  <c r="F280" i="18"/>
  <c r="Q279" i="18"/>
  <c r="P279" i="18"/>
  <c r="O279" i="18"/>
  <c r="N279" i="18"/>
  <c r="M279" i="18"/>
  <c r="L279" i="18"/>
  <c r="K279" i="18"/>
  <c r="J279" i="18"/>
  <c r="I279" i="18"/>
  <c r="H279" i="18"/>
  <c r="G279" i="18"/>
  <c r="F279" i="18"/>
  <c r="Q277" i="18"/>
  <c r="P277" i="18"/>
  <c r="O277" i="18"/>
  <c r="N277" i="18"/>
  <c r="M277" i="18"/>
  <c r="L277" i="18"/>
  <c r="K277" i="18"/>
  <c r="J277" i="18"/>
  <c r="I277" i="18"/>
  <c r="H277" i="18"/>
  <c r="G277" i="18"/>
  <c r="F277" i="18"/>
  <c r="Q276" i="18"/>
  <c r="P276" i="18"/>
  <c r="O276" i="18"/>
  <c r="N276" i="18"/>
  <c r="M276" i="18"/>
  <c r="L276" i="18"/>
  <c r="K276" i="18"/>
  <c r="J276" i="18"/>
  <c r="I276" i="18"/>
  <c r="H276" i="18"/>
  <c r="G276" i="18"/>
  <c r="F276" i="18"/>
  <c r="Q274" i="18"/>
  <c r="P274" i="18"/>
  <c r="O274" i="18"/>
  <c r="N274" i="18"/>
  <c r="M274" i="18"/>
  <c r="L274" i="18"/>
  <c r="K274" i="18"/>
  <c r="J274" i="18"/>
  <c r="I274" i="18"/>
  <c r="H274" i="18"/>
  <c r="G274" i="18"/>
  <c r="F274" i="18"/>
  <c r="Q273" i="18"/>
  <c r="P273" i="18"/>
  <c r="O273" i="18"/>
  <c r="N273" i="18"/>
  <c r="M273" i="18"/>
  <c r="L273" i="18"/>
  <c r="K273" i="18"/>
  <c r="J273" i="18"/>
  <c r="I273" i="18"/>
  <c r="H273" i="18"/>
  <c r="G273" i="18"/>
  <c r="F273" i="18"/>
  <c r="Q272" i="18"/>
  <c r="P272" i="18"/>
  <c r="O272" i="18"/>
  <c r="N272" i="18"/>
  <c r="M272" i="18"/>
  <c r="L272" i="18"/>
  <c r="K272" i="18"/>
  <c r="J272" i="18"/>
  <c r="I272" i="18"/>
  <c r="H272" i="18"/>
  <c r="G272" i="18"/>
  <c r="F272" i="18"/>
  <c r="Q271" i="18"/>
  <c r="P271" i="18"/>
  <c r="O271" i="18"/>
  <c r="N271" i="18"/>
  <c r="M271" i="18"/>
  <c r="L271" i="18"/>
  <c r="K271" i="18"/>
  <c r="J271" i="18"/>
  <c r="I271" i="18"/>
  <c r="H271" i="18"/>
  <c r="G271" i="18"/>
  <c r="F271" i="18"/>
  <c r="Q269" i="18"/>
  <c r="P269" i="18"/>
  <c r="O269" i="18"/>
  <c r="N269" i="18"/>
  <c r="M269" i="18"/>
  <c r="L269" i="18"/>
  <c r="K269" i="18"/>
  <c r="J269" i="18"/>
  <c r="I269" i="18"/>
  <c r="H269" i="18"/>
  <c r="G269" i="18"/>
  <c r="F269" i="18"/>
  <c r="Q268" i="18"/>
  <c r="P268" i="18"/>
  <c r="O268" i="18"/>
  <c r="N268" i="18"/>
  <c r="M268" i="18"/>
  <c r="L268" i="18"/>
  <c r="K268" i="18"/>
  <c r="J268" i="18"/>
  <c r="I268" i="18"/>
  <c r="H268" i="18"/>
  <c r="G268" i="18"/>
  <c r="F268" i="18"/>
  <c r="Q267" i="18"/>
  <c r="P267" i="18"/>
  <c r="O267" i="18"/>
  <c r="N267" i="18"/>
  <c r="M267" i="18"/>
  <c r="L267" i="18"/>
  <c r="K267" i="18"/>
  <c r="J267" i="18"/>
  <c r="I267" i="18"/>
  <c r="H267" i="18"/>
  <c r="G267" i="18"/>
  <c r="F267" i="18"/>
  <c r="Q266" i="18"/>
  <c r="P266" i="18"/>
  <c r="O266" i="18"/>
  <c r="N266" i="18"/>
  <c r="M266" i="18"/>
  <c r="L266" i="18"/>
  <c r="K266" i="18"/>
  <c r="J266" i="18"/>
  <c r="I266" i="18"/>
  <c r="H266" i="18"/>
  <c r="G266" i="18"/>
  <c r="F266" i="18"/>
  <c r="Q264" i="18"/>
  <c r="P264" i="18"/>
  <c r="O264" i="18"/>
  <c r="N264" i="18"/>
  <c r="M264" i="18"/>
  <c r="L264" i="18"/>
  <c r="K264" i="18"/>
  <c r="J264" i="18"/>
  <c r="I264" i="18"/>
  <c r="H264" i="18"/>
  <c r="G264" i="18"/>
  <c r="F264" i="18"/>
  <c r="Q263" i="18"/>
  <c r="P263" i="18"/>
  <c r="O263" i="18"/>
  <c r="N263" i="18"/>
  <c r="M263" i="18"/>
  <c r="L263" i="18"/>
  <c r="K263" i="18"/>
  <c r="J263" i="18"/>
  <c r="I263" i="18"/>
  <c r="H263" i="18"/>
  <c r="G263" i="18"/>
  <c r="F263" i="18"/>
  <c r="Q262" i="18"/>
  <c r="P262" i="18"/>
  <c r="O262" i="18"/>
  <c r="N262" i="18"/>
  <c r="M262" i="18"/>
  <c r="L262" i="18"/>
  <c r="K262" i="18"/>
  <c r="J262" i="18"/>
  <c r="I262" i="18"/>
  <c r="H262" i="18"/>
  <c r="G262" i="18"/>
  <c r="F262" i="18"/>
  <c r="Q261" i="18"/>
  <c r="P261" i="18"/>
  <c r="O261" i="18"/>
  <c r="N261" i="18"/>
  <c r="M261" i="18"/>
  <c r="L261" i="18"/>
  <c r="K261" i="18"/>
  <c r="J261" i="18"/>
  <c r="I261" i="18"/>
  <c r="H261" i="18"/>
  <c r="G261" i="18"/>
  <c r="F261" i="18"/>
  <c r="Q259" i="18"/>
  <c r="P259" i="18"/>
  <c r="O259" i="18"/>
  <c r="N259" i="18"/>
  <c r="M259" i="18"/>
  <c r="L259" i="18"/>
  <c r="K259" i="18"/>
  <c r="J259" i="18"/>
  <c r="I259" i="18"/>
  <c r="H259" i="18"/>
  <c r="G259" i="18"/>
  <c r="F259" i="18"/>
  <c r="Q258" i="18"/>
  <c r="P258" i="18"/>
  <c r="O258" i="18"/>
  <c r="N258" i="18"/>
  <c r="M258" i="18"/>
  <c r="L258" i="18"/>
  <c r="K258" i="18"/>
  <c r="J258" i="18"/>
  <c r="I258" i="18"/>
  <c r="H258" i="18"/>
  <c r="G258" i="18"/>
  <c r="F258" i="18"/>
  <c r="Q257" i="18"/>
  <c r="P257" i="18"/>
  <c r="O257" i="18"/>
  <c r="N257" i="18"/>
  <c r="M257" i="18"/>
  <c r="L257" i="18"/>
  <c r="K257" i="18"/>
  <c r="J257" i="18"/>
  <c r="I257" i="18"/>
  <c r="H257" i="18"/>
  <c r="G257" i="18"/>
  <c r="F257" i="18"/>
  <c r="P256" i="18"/>
  <c r="O256" i="18"/>
  <c r="N256" i="18"/>
  <c r="M256" i="18"/>
  <c r="L256" i="18"/>
  <c r="K256" i="18"/>
  <c r="J256" i="18"/>
  <c r="I256" i="18"/>
  <c r="H256" i="18"/>
  <c r="G256" i="18"/>
  <c r="F256" i="18"/>
  <c r="Q255" i="18"/>
  <c r="P255" i="18"/>
  <c r="O255" i="18"/>
  <c r="N255" i="18"/>
  <c r="M255" i="18"/>
  <c r="L255" i="18"/>
  <c r="K255" i="18"/>
  <c r="J255" i="18"/>
  <c r="I255" i="18"/>
  <c r="H255" i="18"/>
  <c r="G255" i="18"/>
  <c r="F255" i="18"/>
  <c r="Q254" i="18"/>
  <c r="P254" i="18"/>
  <c r="O254" i="18"/>
  <c r="N254" i="18"/>
  <c r="M254" i="18"/>
  <c r="L254" i="18"/>
  <c r="K254" i="18"/>
  <c r="J254" i="18"/>
  <c r="I254" i="18"/>
  <c r="H254" i="18"/>
  <c r="G254" i="18"/>
  <c r="F254" i="18"/>
  <c r="Q253" i="18"/>
  <c r="P253" i="18"/>
  <c r="O253" i="18"/>
  <c r="N253" i="18"/>
  <c r="M253" i="18"/>
  <c r="L253" i="18"/>
  <c r="K253" i="18"/>
  <c r="J253" i="18"/>
  <c r="I253" i="18"/>
  <c r="H253" i="18"/>
  <c r="G253" i="18"/>
  <c r="F253" i="18"/>
  <c r="Q252" i="18"/>
  <c r="P252" i="18"/>
  <c r="O252" i="18"/>
  <c r="N252" i="18"/>
  <c r="M252" i="18"/>
  <c r="L252" i="18"/>
  <c r="K252" i="18"/>
  <c r="J252" i="18"/>
  <c r="I252" i="18"/>
  <c r="H252" i="18"/>
  <c r="G252" i="18"/>
  <c r="F252" i="18"/>
  <c r="Q251" i="18"/>
  <c r="P251" i="18"/>
  <c r="O251" i="18"/>
  <c r="N251" i="18"/>
  <c r="M251" i="18"/>
  <c r="L251" i="18"/>
  <c r="K251" i="18"/>
  <c r="J251" i="18"/>
  <c r="I251" i="18"/>
  <c r="H251" i="18"/>
  <c r="G251" i="18"/>
  <c r="F251" i="18"/>
  <c r="Q250" i="18"/>
  <c r="P250" i="18"/>
  <c r="O250" i="18"/>
  <c r="N250" i="18"/>
  <c r="M250" i="18"/>
  <c r="L250" i="18"/>
  <c r="K250" i="18"/>
  <c r="J250" i="18"/>
  <c r="I250" i="18"/>
  <c r="H250" i="18"/>
  <c r="G250" i="18"/>
  <c r="F250" i="18"/>
  <c r="Q249" i="18"/>
  <c r="P249" i="18"/>
  <c r="O249" i="18"/>
  <c r="N249" i="18"/>
  <c r="M249" i="18"/>
  <c r="L249" i="18"/>
  <c r="K249" i="18"/>
  <c r="J249" i="18"/>
  <c r="I249" i="18"/>
  <c r="H249" i="18"/>
  <c r="G249" i="18"/>
  <c r="F249" i="18"/>
  <c r="Q248" i="18"/>
  <c r="P248" i="18"/>
  <c r="O248" i="18"/>
  <c r="N248" i="18"/>
  <c r="M248" i="18"/>
  <c r="L248" i="18"/>
  <c r="K248" i="18"/>
  <c r="J248" i="18"/>
  <c r="I248" i="18"/>
  <c r="H248" i="18"/>
  <c r="G248" i="18"/>
  <c r="F248" i="18"/>
  <c r="Q247" i="18"/>
  <c r="P247" i="18"/>
  <c r="O247" i="18"/>
  <c r="N247" i="18"/>
  <c r="M247" i="18"/>
  <c r="L247" i="18"/>
  <c r="K247" i="18"/>
  <c r="J247" i="18"/>
  <c r="I247" i="18"/>
  <c r="H247" i="18"/>
  <c r="G247" i="18"/>
  <c r="F247" i="18"/>
  <c r="Q246" i="18"/>
  <c r="P246" i="18"/>
  <c r="O246" i="18"/>
  <c r="N246" i="18"/>
  <c r="M246" i="18"/>
  <c r="L246" i="18"/>
  <c r="K246" i="18"/>
  <c r="J246" i="18"/>
  <c r="I246" i="18"/>
  <c r="H246" i="18"/>
  <c r="G246" i="18"/>
  <c r="F246" i="18"/>
  <c r="Q245" i="18"/>
  <c r="P245" i="18"/>
  <c r="O245" i="18"/>
  <c r="N245" i="18"/>
  <c r="M245" i="18"/>
  <c r="L245" i="18"/>
  <c r="K245" i="18"/>
  <c r="J245" i="18"/>
  <c r="I245" i="18"/>
  <c r="H245" i="18"/>
  <c r="G245" i="18"/>
  <c r="F245" i="18"/>
  <c r="Q244" i="18"/>
  <c r="P244" i="18"/>
  <c r="O244" i="18"/>
  <c r="N244" i="18"/>
  <c r="M244" i="18"/>
  <c r="L244" i="18"/>
  <c r="K244" i="18"/>
  <c r="J244" i="18"/>
  <c r="I244" i="18"/>
  <c r="H244" i="18"/>
  <c r="G244" i="18"/>
  <c r="F244" i="18"/>
  <c r="Q243" i="18"/>
  <c r="P243" i="18"/>
  <c r="O243" i="18"/>
  <c r="N243" i="18"/>
  <c r="M243" i="18"/>
  <c r="L243" i="18"/>
  <c r="K243" i="18"/>
  <c r="J243" i="18"/>
  <c r="I243" i="18"/>
  <c r="H243" i="18"/>
  <c r="G243" i="18"/>
  <c r="F243" i="18"/>
  <c r="Q242" i="18"/>
  <c r="P242" i="18"/>
  <c r="O242" i="18"/>
  <c r="N242" i="18"/>
  <c r="M242" i="18"/>
  <c r="L242" i="18"/>
  <c r="K242" i="18"/>
  <c r="J242" i="18"/>
  <c r="I242" i="18"/>
  <c r="H242" i="18"/>
  <c r="G242" i="18"/>
  <c r="F242" i="18"/>
  <c r="Q241" i="18"/>
  <c r="P241" i="18"/>
  <c r="O241" i="18"/>
  <c r="N241" i="18"/>
  <c r="M241" i="18"/>
  <c r="L241" i="18"/>
  <c r="K241" i="18"/>
  <c r="J241" i="18"/>
  <c r="I241" i="18"/>
  <c r="H241" i="18"/>
  <c r="G241" i="18"/>
  <c r="F241" i="18"/>
  <c r="Q240" i="18"/>
  <c r="P240" i="18"/>
  <c r="O240" i="18"/>
  <c r="N240" i="18"/>
  <c r="M240" i="18"/>
  <c r="L240" i="18"/>
  <c r="K240" i="18"/>
  <c r="J240" i="18"/>
  <c r="I240" i="18"/>
  <c r="H240" i="18"/>
  <c r="G240" i="18"/>
  <c r="F240" i="18"/>
  <c r="Q239" i="18"/>
  <c r="P239" i="18"/>
  <c r="O239" i="18"/>
  <c r="N239" i="18"/>
  <c r="M239" i="18"/>
  <c r="L239" i="18"/>
  <c r="K239" i="18"/>
  <c r="J239" i="18"/>
  <c r="I239" i="18"/>
  <c r="H239" i="18"/>
  <c r="G239" i="18"/>
  <c r="F239" i="18"/>
  <c r="Q238" i="18"/>
  <c r="P238" i="18"/>
  <c r="O238" i="18"/>
  <c r="N238" i="18"/>
  <c r="M238" i="18"/>
  <c r="L238" i="18"/>
  <c r="K238" i="18"/>
  <c r="J238" i="18"/>
  <c r="I238" i="18"/>
  <c r="H238" i="18"/>
  <c r="G238" i="18"/>
  <c r="F238" i="18"/>
  <c r="Q237" i="18"/>
  <c r="P237" i="18"/>
  <c r="O237" i="18"/>
  <c r="N237" i="18"/>
  <c r="M237" i="18"/>
  <c r="L237" i="18"/>
  <c r="K237" i="18"/>
  <c r="J237" i="18"/>
  <c r="I237" i="18"/>
  <c r="H237" i="18"/>
  <c r="G237" i="18"/>
  <c r="F237" i="18"/>
  <c r="Q236" i="18"/>
  <c r="P236" i="18"/>
  <c r="O236" i="18"/>
  <c r="N236" i="18"/>
  <c r="M236" i="18"/>
  <c r="L236" i="18"/>
  <c r="K236" i="18"/>
  <c r="J236" i="18"/>
  <c r="I236" i="18"/>
  <c r="H236" i="18"/>
  <c r="G236" i="18"/>
  <c r="F236" i="18"/>
  <c r="Q233" i="18"/>
  <c r="P233" i="18"/>
  <c r="O233" i="18"/>
  <c r="N233" i="18"/>
  <c r="M233" i="18"/>
  <c r="L233" i="18"/>
  <c r="K233" i="18"/>
  <c r="J233" i="18"/>
  <c r="I233" i="18"/>
  <c r="H233" i="18"/>
  <c r="G233" i="18"/>
  <c r="F233" i="18"/>
  <c r="Q230" i="18"/>
  <c r="P230" i="18"/>
  <c r="O230" i="18"/>
  <c r="N230" i="18"/>
  <c r="M230" i="18"/>
  <c r="L230" i="18"/>
  <c r="K230" i="18"/>
  <c r="J230" i="18"/>
  <c r="I230" i="18"/>
  <c r="H230" i="18"/>
  <c r="G230" i="18"/>
  <c r="F230" i="18"/>
  <c r="Q227" i="18"/>
  <c r="P227" i="18"/>
  <c r="O227" i="18"/>
  <c r="N227" i="18"/>
  <c r="M227" i="18"/>
  <c r="L227" i="18"/>
  <c r="K227" i="18"/>
  <c r="J227" i="18"/>
  <c r="I227" i="18"/>
  <c r="H227" i="18"/>
  <c r="G227" i="18"/>
  <c r="F227" i="18"/>
  <c r="Q224" i="18"/>
  <c r="P224" i="18"/>
  <c r="O224" i="18"/>
  <c r="N224" i="18"/>
  <c r="M224" i="18"/>
  <c r="L224" i="18"/>
  <c r="K224" i="18"/>
  <c r="J224" i="18"/>
  <c r="I224" i="18"/>
  <c r="H224" i="18"/>
  <c r="G224" i="18"/>
  <c r="F224" i="18"/>
  <c r="Q221" i="18"/>
  <c r="P221" i="18"/>
  <c r="O221" i="18"/>
  <c r="N221" i="18"/>
  <c r="M221" i="18"/>
  <c r="L221" i="18"/>
  <c r="K221" i="18"/>
  <c r="J221" i="18"/>
  <c r="I221" i="18"/>
  <c r="H221" i="18"/>
  <c r="G221" i="18"/>
  <c r="F221" i="18"/>
  <c r="Q218" i="18"/>
  <c r="P218" i="18"/>
  <c r="O218" i="18"/>
  <c r="N218" i="18"/>
  <c r="M218" i="18"/>
  <c r="L218" i="18"/>
  <c r="K218" i="18"/>
  <c r="J218" i="18"/>
  <c r="I218" i="18"/>
  <c r="H218" i="18"/>
  <c r="G218" i="18"/>
  <c r="F218" i="18"/>
  <c r="Q215" i="18"/>
  <c r="P215" i="18"/>
  <c r="O215" i="18"/>
  <c r="N215" i="18"/>
  <c r="M215" i="18"/>
  <c r="L215" i="18"/>
  <c r="K215" i="18"/>
  <c r="J215" i="18"/>
  <c r="I215" i="18"/>
  <c r="H215" i="18"/>
  <c r="G215" i="18"/>
  <c r="F215" i="18"/>
  <c r="Q213" i="18"/>
  <c r="P213" i="18"/>
  <c r="O213" i="18"/>
  <c r="N213" i="18"/>
  <c r="M213" i="18"/>
  <c r="L213" i="18"/>
  <c r="K213" i="18"/>
  <c r="J213" i="18"/>
  <c r="I213" i="18"/>
  <c r="H213" i="18"/>
  <c r="G213" i="18"/>
  <c r="F213" i="18"/>
  <c r="Q211" i="18"/>
  <c r="P211" i="18"/>
  <c r="O211" i="18"/>
  <c r="N211" i="18"/>
  <c r="M211" i="18"/>
  <c r="L211" i="18"/>
  <c r="K211" i="18"/>
  <c r="J211" i="18"/>
  <c r="I211" i="18"/>
  <c r="H211" i="18"/>
  <c r="G211" i="18"/>
  <c r="F211" i="18"/>
  <c r="Q209" i="18"/>
  <c r="P209" i="18"/>
  <c r="O209" i="18"/>
  <c r="N209" i="18"/>
  <c r="M209" i="18"/>
  <c r="L209" i="18"/>
  <c r="K209" i="18"/>
  <c r="J209" i="18"/>
  <c r="I209" i="18"/>
  <c r="H209" i="18"/>
  <c r="G209" i="18"/>
  <c r="F209" i="18"/>
  <c r="Q207" i="18"/>
  <c r="P207" i="18"/>
  <c r="O207" i="18"/>
  <c r="N207" i="18"/>
  <c r="M207" i="18"/>
  <c r="L207" i="18"/>
  <c r="K207" i="18"/>
  <c r="J207" i="18"/>
  <c r="I207" i="18"/>
  <c r="H207" i="18"/>
  <c r="G207" i="18"/>
  <c r="F207" i="18"/>
  <c r="Q204" i="18"/>
  <c r="P204" i="18"/>
  <c r="O204" i="18"/>
  <c r="N204" i="18"/>
  <c r="M204" i="18"/>
  <c r="L204" i="18"/>
  <c r="K204" i="18"/>
  <c r="J204" i="18"/>
  <c r="I204" i="18"/>
  <c r="H204" i="18"/>
  <c r="G204" i="18"/>
  <c r="F204" i="18"/>
  <c r="Q201" i="18"/>
  <c r="P201" i="18"/>
  <c r="O201" i="18"/>
  <c r="N201" i="18"/>
  <c r="M201" i="18"/>
  <c r="L201" i="18"/>
  <c r="K201" i="18"/>
  <c r="J201" i="18"/>
  <c r="I201" i="18"/>
  <c r="H201" i="18"/>
  <c r="G201" i="18"/>
  <c r="F201" i="18"/>
  <c r="Q198" i="18"/>
  <c r="P198" i="18"/>
  <c r="O198" i="18"/>
  <c r="N198" i="18"/>
  <c r="M198" i="18"/>
  <c r="L198" i="18"/>
  <c r="K198" i="18"/>
  <c r="J198" i="18"/>
  <c r="I198" i="18"/>
  <c r="H198" i="18"/>
  <c r="G198" i="18"/>
  <c r="F198" i="18"/>
  <c r="Q195" i="18"/>
  <c r="P195" i="18"/>
  <c r="O195" i="18"/>
  <c r="N195" i="18"/>
  <c r="M195" i="18"/>
  <c r="L195" i="18"/>
  <c r="K195" i="18"/>
  <c r="J195" i="18"/>
  <c r="I195" i="18"/>
  <c r="H195" i="18"/>
  <c r="G195" i="18"/>
  <c r="F195" i="18"/>
  <c r="Q194" i="18"/>
  <c r="P194" i="18"/>
  <c r="O194" i="18"/>
  <c r="N194" i="18"/>
  <c r="M194" i="18"/>
  <c r="L194" i="18"/>
  <c r="K194" i="18"/>
  <c r="J194" i="18"/>
  <c r="I194" i="18"/>
  <c r="H194" i="18"/>
  <c r="G194" i="18"/>
  <c r="F194" i="18"/>
  <c r="Q191" i="18"/>
  <c r="P191" i="18"/>
  <c r="O191" i="18"/>
  <c r="N191" i="18"/>
  <c r="M191" i="18"/>
  <c r="L191" i="18"/>
  <c r="K191" i="18"/>
  <c r="J191" i="18"/>
  <c r="I191" i="18"/>
  <c r="H191" i="18"/>
  <c r="G191" i="18"/>
  <c r="F191" i="18"/>
  <c r="Q189" i="18"/>
  <c r="P189" i="18"/>
  <c r="O189" i="18"/>
  <c r="N189" i="18"/>
  <c r="M189" i="18"/>
  <c r="L189" i="18"/>
  <c r="K189" i="18"/>
  <c r="J189" i="18"/>
  <c r="I189" i="18"/>
  <c r="H189" i="18"/>
  <c r="G189" i="18"/>
  <c r="F189" i="18"/>
  <c r="Q188" i="18"/>
  <c r="P188" i="18"/>
  <c r="O188" i="18"/>
  <c r="N188" i="18"/>
  <c r="M188" i="18"/>
  <c r="L188" i="18"/>
  <c r="K188" i="18"/>
  <c r="J188" i="18"/>
  <c r="I188" i="18"/>
  <c r="H188" i="18"/>
  <c r="G188" i="18"/>
  <c r="F188" i="18"/>
  <c r="Q186" i="18"/>
  <c r="P186" i="18"/>
  <c r="O186" i="18"/>
  <c r="N186" i="18"/>
  <c r="M186" i="18"/>
  <c r="L186" i="18"/>
  <c r="K186" i="18"/>
  <c r="J186" i="18"/>
  <c r="I186" i="18"/>
  <c r="H186" i="18"/>
  <c r="G186" i="18"/>
  <c r="F186" i="18"/>
  <c r="Q185" i="18"/>
  <c r="P185" i="18"/>
  <c r="O185" i="18"/>
  <c r="N185" i="18"/>
  <c r="M185" i="18"/>
  <c r="L185" i="18"/>
  <c r="K185" i="18"/>
  <c r="J185" i="18"/>
  <c r="I185" i="18"/>
  <c r="H185" i="18"/>
  <c r="G185" i="18"/>
  <c r="F185" i="18"/>
  <c r="Q183" i="18"/>
  <c r="P183" i="18"/>
  <c r="O183" i="18"/>
  <c r="N183" i="18"/>
  <c r="M183" i="18"/>
  <c r="L183" i="18"/>
  <c r="K183" i="18"/>
  <c r="J183" i="18"/>
  <c r="I183" i="18"/>
  <c r="H183" i="18"/>
  <c r="G183" i="18"/>
  <c r="F183" i="18"/>
  <c r="Q182" i="18"/>
  <c r="P182" i="18"/>
  <c r="O182" i="18"/>
  <c r="N182" i="18"/>
  <c r="M182" i="18"/>
  <c r="L182" i="18"/>
  <c r="K182" i="18"/>
  <c r="J182" i="18"/>
  <c r="I182" i="18"/>
  <c r="H182" i="18"/>
  <c r="G182" i="18"/>
  <c r="F182" i="18"/>
  <c r="Q180" i="18"/>
  <c r="P180" i="18"/>
  <c r="O180" i="18"/>
  <c r="N180" i="18"/>
  <c r="M180" i="18"/>
  <c r="L180" i="18"/>
  <c r="K180" i="18"/>
  <c r="J180" i="18"/>
  <c r="I180" i="18"/>
  <c r="H180" i="18"/>
  <c r="G180" i="18"/>
  <c r="F180" i="18"/>
  <c r="Q179" i="18"/>
  <c r="P179" i="18"/>
  <c r="O179" i="18"/>
  <c r="N179" i="18"/>
  <c r="M179" i="18"/>
  <c r="L179" i="18"/>
  <c r="K179" i="18"/>
  <c r="J179" i="18"/>
  <c r="I179" i="18"/>
  <c r="H179" i="18"/>
  <c r="G179" i="18"/>
  <c r="F179" i="18"/>
  <c r="Q177" i="18"/>
  <c r="P177" i="18"/>
  <c r="O177" i="18"/>
  <c r="N177" i="18"/>
  <c r="M177" i="18"/>
  <c r="L177" i="18"/>
  <c r="K177" i="18"/>
  <c r="J177" i="18"/>
  <c r="I177" i="18"/>
  <c r="H177" i="18"/>
  <c r="G177" i="18"/>
  <c r="F177" i="18"/>
  <c r="Q176" i="18"/>
  <c r="P176" i="18"/>
  <c r="O176" i="18"/>
  <c r="N176" i="18"/>
  <c r="M176" i="18"/>
  <c r="L176" i="18"/>
  <c r="K176" i="18"/>
  <c r="J176" i="18"/>
  <c r="I176" i="18"/>
  <c r="H176" i="18"/>
  <c r="G176" i="18"/>
  <c r="F176" i="18"/>
  <c r="Q174" i="18"/>
  <c r="P174" i="18"/>
  <c r="O174" i="18"/>
  <c r="N174" i="18"/>
  <c r="M174" i="18"/>
  <c r="L174" i="18"/>
  <c r="K174" i="18"/>
  <c r="J174" i="18"/>
  <c r="I174" i="18"/>
  <c r="H174" i="18"/>
  <c r="G174" i="18"/>
  <c r="F174" i="18"/>
  <c r="Q172" i="18"/>
  <c r="P172" i="18"/>
  <c r="O172" i="18"/>
  <c r="N172" i="18"/>
  <c r="M172" i="18"/>
  <c r="L172" i="18"/>
  <c r="K172" i="18"/>
  <c r="J172" i="18"/>
  <c r="I172" i="18"/>
  <c r="H172" i="18"/>
  <c r="G172" i="18"/>
  <c r="F172" i="18"/>
  <c r="Q170" i="18"/>
  <c r="P170" i="18"/>
  <c r="O170" i="18"/>
  <c r="N170" i="18"/>
  <c r="M170" i="18"/>
  <c r="L170" i="18"/>
  <c r="K170" i="18"/>
  <c r="J170" i="18"/>
  <c r="I170" i="18"/>
  <c r="H170" i="18"/>
  <c r="G170" i="18"/>
  <c r="F170" i="18"/>
  <c r="Q168" i="18"/>
  <c r="P168" i="18"/>
  <c r="O168" i="18"/>
  <c r="N168" i="18"/>
  <c r="M168" i="18"/>
  <c r="L168" i="18"/>
  <c r="K168" i="18"/>
  <c r="J168" i="18"/>
  <c r="I168" i="18"/>
  <c r="H168" i="18"/>
  <c r="G168" i="18"/>
  <c r="F168" i="18"/>
  <c r="Q166" i="18"/>
  <c r="P166" i="18"/>
  <c r="O166" i="18"/>
  <c r="N166" i="18"/>
  <c r="M166" i="18"/>
  <c r="L166" i="18"/>
  <c r="K166" i="18"/>
  <c r="J166" i="18"/>
  <c r="I166" i="18"/>
  <c r="H166" i="18"/>
  <c r="G166" i="18"/>
  <c r="F166" i="18"/>
  <c r="Q165" i="18"/>
  <c r="P165" i="18"/>
  <c r="O165" i="18"/>
  <c r="N165" i="18"/>
  <c r="M165" i="18"/>
  <c r="L165" i="18"/>
  <c r="K165" i="18"/>
  <c r="J165" i="18"/>
  <c r="I165" i="18"/>
  <c r="H165" i="18"/>
  <c r="G165" i="18"/>
  <c r="F165" i="18"/>
  <c r="Q163" i="18"/>
  <c r="P163" i="18"/>
  <c r="O163" i="18"/>
  <c r="N163" i="18"/>
  <c r="M163" i="18"/>
  <c r="L163" i="18"/>
  <c r="K163" i="18"/>
  <c r="J163" i="18"/>
  <c r="I163" i="18"/>
  <c r="H163" i="18"/>
  <c r="G163" i="18"/>
  <c r="F163" i="18"/>
  <c r="Q162" i="18"/>
  <c r="P162" i="18"/>
  <c r="O162" i="18"/>
  <c r="N162" i="18"/>
  <c r="M162" i="18"/>
  <c r="L162" i="18"/>
  <c r="K162" i="18"/>
  <c r="J162" i="18"/>
  <c r="I162" i="18"/>
  <c r="H162" i="18"/>
  <c r="G162" i="18"/>
  <c r="F162" i="18"/>
  <c r="Q158" i="18"/>
  <c r="P158" i="18"/>
  <c r="O158" i="18"/>
  <c r="N158" i="18"/>
  <c r="M158" i="18"/>
  <c r="L158" i="18"/>
  <c r="K158" i="18"/>
  <c r="J158" i="18"/>
  <c r="I158" i="18"/>
  <c r="H158" i="18"/>
  <c r="G158" i="18"/>
  <c r="F158" i="18"/>
  <c r="Q157" i="18"/>
  <c r="P157" i="18"/>
  <c r="O157" i="18"/>
  <c r="N157" i="18"/>
  <c r="M157" i="18"/>
  <c r="L157" i="18"/>
  <c r="K157" i="18"/>
  <c r="J157" i="18"/>
  <c r="I157" i="18"/>
  <c r="H157" i="18"/>
  <c r="G157" i="18"/>
  <c r="F157" i="18"/>
  <c r="Q156" i="18"/>
  <c r="P156" i="18"/>
  <c r="O156" i="18"/>
  <c r="N156" i="18"/>
  <c r="M156" i="18"/>
  <c r="L156" i="18"/>
  <c r="K156" i="18"/>
  <c r="J156" i="18"/>
  <c r="I156" i="18"/>
  <c r="H156" i="18"/>
  <c r="G156" i="18"/>
  <c r="F156" i="18"/>
  <c r="Q155" i="18"/>
  <c r="P155" i="18"/>
  <c r="O155" i="18"/>
  <c r="N155" i="18"/>
  <c r="M155" i="18"/>
  <c r="L155" i="18"/>
  <c r="K155" i="18"/>
  <c r="J155" i="18"/>
  <c r="I155" i="18"/>
  <c r="H155" i="18"/>
  <c r="G155" i="18"/>
  <c r="F155" i="18"/>
  <c r="Q153" i="18"/>
  <c r="P153" i="18"/>
  <c r="O153" i="18"/>
  <c r="N153" i="18"/>
  <c r="M153" i="18"/>
  <c r="L153" i="18"/>
  <c r="K153" i="18"/>
  <c r="J153" i="18"/>
  <c r="I153" i="18"/>
  <c r="H153" i="18"/>
  <c r="G153" i="18"/>
  <c r="F153" i="18"/>
  <c r="Q152" i="18"/>
  <c r="P152" i="18"/>
  <c r="O152" i="18"/>
  <c r="N152" i="18"/>
  <c r="M152" i="18"/>
  <c r="L152" i="18"/>
  <c r="K152" i="18"/>
  <c r="J152" i="18"/>
  <c r="I152" i="18"/>
  <c r="H152" i="18"/>
  <c r="G152" i="18"/>
  <c r="F152" i="18"/>
  <c r="Q150" i="18"/>
  <c r="P150" i="18"/>
  <c r="O150" i="18"/>
  <c r="N150" i="18"/>
  <c r="M150" i="18"/>
  <c r="L150" i="18"/>
  <c r="K150" i="18"/>
  <c r="J150" i="18"/>
  <c r="I150" i="18"/>
  <c r="H150" i="18"/>
  <c r="G150" i="18"/>
  <c r="F150" i="18"/>
  <c r="Q149" i="18"/>
  <c r="P149" i="18"/>
  <c r="O149" i="18"/>
  <c r="N149" i="18"/>
  <c r="M149" i="18"/>
  <c r="L149" i="18"/>
  <c r="K149" i="18"/>
  <c r="J149" i="18"/>
  <c r="I149" i="18"/>
  <c r="H149" i="18"/>
  <c r="G149" i="18"/>
  <c r="F149" i="18"/>
  <c r="Q148" i="18"/>
  <c r="P148" i="18"/>
  <c r="O148" i="18"/>
  <c r="N148" i="18"/>
  <c r="M148" i="18"/>
  <c r="L148" i="18"/>
  <c r="K148" i="18"/>
  <c r="J148" i="18"/>
  <c r="I148" i="18"/>
  <c r="H148" i="18"/>
  <c r="G148" i="18"/>
  <c r="F148" i="18"/>
  <c r="Q147" i="18"/>
  <c r="P147" i="18"/>
  <c r="O147" i="18"/>
  <c r="N147" i="18"/>
  <c r="M147" i="18"/>
  <c r="L147" i="18"/>
  <c r="K147" i="18"/>
  <c r="J147" i="18"/>
  <c r="I147" i="18"/>
  <c r="H147" i="18"/>
  <c r="G147" i="18"/>
  <c r="F147" i="18"/>
  <c r="Q145" i="18"/>
  <c r="P145" i="18"/>
  <c r="O145" i="18"/>
  <c r="N145" i="18"/>
  <c r="M145" i="18"/>
  <c r="L145" i="18"/>
  <c r="K145" i="18"/>
  <c r="J145" i="18"/>
  <c r="I145" i="18"/>
  <c r="H145" i="18"/>
  <c r="G145" i="18"/>
  <c r="F145" i="18"/>
  <c r="Q144" i="18"/>
  <c r="P144" i="18"/>
  <c r="O144" i="18"/>
  <c r="N144" i="18"/>
  <c r="M144" i="18"/>
  <c r="L144" i="18"/>
  <c r="K144" i="18"/>
  <c r="J144" i="18"/>
  <c r="I144" i="18"/>
  <c r="H144" i="18"/>
  <c r="G144" i="18"/>
  <c r="F144" i="18"/>
  <c r="Q143" i="18"/>
  <c r="P143" i="18"/>
  <c r="O143" i="18"/>
  <c r="N143" i="18"/>
  <c r="M143" i="18"/>
  <c r="L143" i="18"/>
  <c r="K143" i="18"/>
  <c r="J143" i="18"/>
  <c r="I143" i="18"/>
  <c r="H143" i="18"/>
  <c r="G143" i="18"/>
  <c r="F143" i="18"/>
  <c r="Q142" i="18"/>
  <c r="P142" i="18"/>
  <c r="O142" i="18"/>
  <c r="N142" i="18"/>
  <c r="M142" i="18"/>
  <c r="L142" i="18"/>
  <c r="K142" i="18"/>
  <c r="J142" i="18"/>
  <c r="I142" i="18"/>
  <c r="H142" i="18"/>
  <c r="G142" i="18"/>
  <c r="F142" i="18"/>
  <c r="Q140" i="18"/>
  <c r="P140" i="18"/>
  <c r="O140" i="18"/>
  <c r="N140" i="18"/>
  <c r="M140" i="18"/>
  <c r="L140" i="18"/>
  <c r="K140" i="18"/>
  <c r="J140" i="18"/>
  <c r="I140" i="18"/>
  <c r="H140" i="18"/>
  <c r="G140" i="18"/>
  <c r="F140" i="18"/>
  <c r="Q139" i="18"/>
  <c r="P139" i="18"/>
  <c r="O139" i="18"/>
  <c r="N139" i="18"/>
  <c r="M139" i="18"/>
  <c r="L139" i="18"/>
  <c r="K139" i="18"/>
  <c r="J139" i="18"/>
  <c r="I139" i="18"/>
  <c r="H139" i="18"/>
  <c r="G139" i="18"/>
  <c r="F139" i="18"/>
  <c r="Q138" i="18"/>
  <c r="P138" i="18"/>
  <c r="O138" i="18"/>
  <c r="N138" i="18"/>
  <c r="M138" i="18"/>
  <c r="L138" i="18"/>
  <c r="K138" i="18"/>
  <c r="J138" i="18"/>
  <c r="I138" i="18"/>
  <c r="H138" i="18"/>
  <c r="G138" i="18"/>
  <c r="F138" i="18"/>
  <c r="Q137" i="18"/>
  <c r="P137" i="18"/>
  <c r="O137" i="18"/>
  <c r="N137" i="18"/>
  <c r="M137" i="18"/>
  <c r="L137" i="18"/>
  <c r="K137" i="18"/>
  <c r="J137" i="18"/>
  <c r="I137" i="18"/>
  <c r="H137" i="18"/>
  <c r="G137" i="18"/>
  <c r="F137" i="18"/>
  <c r="Q136" i="18"/>
  <c r="P136" i="18"/>
  <c r="O136" i="18"/>
  <c r="N136" i="18"/>
  <c r="M136" i="18"/>
  <c r="L136" i="18"/>
  <c r="K136" i="18"/>
  <c r="J136" i="18"/>
  <c r="I136" i="18"/>
  <c r="H136" i="18"/>
  <c r="G136" i="18"/>
  <c r="F136" i="18"/>
  <c r="Q134" i="18"/>
  <c r="P134" i="18"/>
  <c r="O134" i="18"/>
  <c r="N134" i="18"/>
  <c r="M134" i="18"/>
  <c r="L134" i="18"/>
  <c r="K134" i="18"/>
  <c r="J134" i="18"/>
  <c r="I134" i="18"/>
  <c r="H134" i="18"/>
  <c r="G134" i="18"/>
  <c r="F134" i="18"/>
  <c r="Q133" i="18"/>
  <c r="P133" i="18"/>
  <c r="O133" i="18"/>
  <c r="N133" i="18"/>
  <c r="M133" i="18"/>
  <c r="L133" i="18"/>
  <c r="K133" i="18"/>
  <c r="J133" i="18"/>
  <c r="I133" i="18"/>
  <c r="H133" i="18"/>
  <c r="G133" i="18"/>
  <c r="F133" i="18"/>
  <c r="Q132" i="18"/>
  <c r="P132" i="18"/>
  <c r="O132" i="18"/>
  <c r="N132" i="18"/>
  <c r="M132" i="18"/>
  <c r="L132" i="18"/>
  <c r="K132" i="18"/>
  <c r="J132" i="18"/>
  <c r="I132" i="18"/>
  <c r="H132" i="18"/>
  <c r="G132" i="18"/>
  <c r="F132" i="18"/>
  <c r="Q131" i="18"/>
  <c r="P131" i="18"/>
  <c r="O131" i="18"/>
  <c r="N131" i="18"/>
  <c r="M131" i="18"/>
  <c r="L131" i="18"/>
  <c r="K131" i="18"/>
  <c r="J131" i="18"/>
  <c r="I131" i="18"/>
  <c r="H131" i="18"/>
  <c r="G131" i="18"/>
  <c r="F131" i="18"/>
  <c r="Q129" i="18"/>
  <c r="P129" i="18"/>
  <c r="O129" i="18"/>
  <c r="N129" i="18"/>
  <c r="M129" i="18"/>
  <c r="L129" i="18"/>
  <c r="K129" i="18"/>
  <c r="J129" i="18"/>
  <c r="I129" i="18"/>
  <c r="H129" i="18"/>
  <c r="G129" i="18"/>
  <c r="F129" i="18"/>
  <c r="Q128" i="18"/>
  <c r="P128" i="18"/>
  <c r="O128" i="18"/>
  <c r="N128" i="18"/>
  <c r="M128" i="18"/>
  <c r="L128" i="18"/>
  <c r="K128" i="18"/>
  <c r="J128" i="18"/>
  <c r="I128" i="18"/>
  <c r="H128" i="18"/>
  <c r="G128" i="18"/>
  <c r="F128" i="18"/>
  <c r="Q127" i="18"/>
  <c r="P127" i="18"/>
  <c r="O127" i="18"/>
  <c r="N127" i="18"/>
  <c r="M127" i="18"/>
  <c r="L127" i="18"/>
  <c r="K127" i="18"/>
  <c r="J127" i="18"/>
  <c r="I127" i="18"/>
  <c r="H127" i="18"/>
  <c r="G127" i="18"/>
  <c r="F127" i="18"/>
  <c r="Q126" i="18"/>
  <c r="P126" i="18"/>
  <c r="O126" i="18"/>
  <c r="N126" i="18"/>
  <c r="M126" i="18"/>
  <c r="L126" i="18"/>
  <c r="K126" i="18"/>
  <c r="J126" i="18"/>
  <c r="I126" i="18"/>
  <c r="H126" i="18"/>
  <c r="G126" i="18"/>
  <c r="F126" i="18"/>
  <c r="Q124" i="18"/>
  <c r="P124" i="18"/>
  <c r="O124" i="18"/>
  <c r="N124" i="18"/>
  <c r="M124" i="18"/>
  <c r="L124" i="18"/>
  <c r="K124" i="18"/>
  <c r="J124" i="18"/>
  <c r="I124" i="18"/>
  <c r="H124" i="18"/>
  <c r="G124" i="18"/>
  <c r="F124" i="18"/>
  <c r="Q123" i="18"/>
  <c r="P123" i="18"/>
  <c r="O123" i="18"/>
  <c r="N123" i="18"/>
  <c r="M123" i="18"/>
  <c r="L123" i="18"/>
  <c r="K123" i="18"/>
  <c r="J123" i="18"/>
  <c r="I123" i="18"/>
  <c r="H123" i="18"/>
  <c r="G123" i="18"/>
  <c r="F123" i="18"/>
  <c r="Q122" i="18"/>
  <c r="P122" i="18"/>
  <c r="O122" i="18"/>
  <c r="N122" i="18"/>
  <c r="M122" i="18"/>
  <c r="L122" i="18"/>
  <c r="K122" i="18"/>
  <c r="J122" i="18"/>
  <c r="I122" i="18"/>
  <c r="H122" i="18"/>
  <c r="G122" i="18"/>
  <c r="F122" i="18"/>
  <c r="Q121" i="18"/>
  <c r="P121" i="18"/>
  <c r="O121" i="18"/>
  <c r="N121" i="18"/>
  <c r="M121" i="18"/>
  <c r="L121" i="18"/>
  <c r="K121" i="18"/>
  <c r="J121" i="18"/>
  <c r="I121" i="18"/>
  <c r="H121" i="18"/>
  <c r="G121" i="18"/>
  <c r="F121" i="18"/>
  <c r="Q120" i="18"/>
  <c r="P120" i="18"/>
  <c r="O120" i="18"/>
  <c r="N120" i="18"/>
  <c r="M120" i="18"/>
  <c r="L120" i="18"/>
  <c r="K120" i="18"/>
  <c r="J120" i="18"/>
  <c r="I120" i="18"/>
  <c r="H120" i="18"/>
  <c r="G120" i="18"/>
  <c r="F120" i="18"/>
  <c r="Q118" i="18"/>
  <c r="P118" i="18"/>
  <c r="O118" i="18"/>
  <c r="N118" i="18"/>
  <c r="M118" i="18"/>
  <c r="L118" i="18"/>
  <c r="K118" i="18"/>
  <c r="J118" i="18"/>
  <c r="I118" i="18"/>
  <c r="H118" i="18"/>
  <c r="G118" i="18"/>
  <c r="F118" i="18"/>
  <c r="Q117" i="18"/>
  <c r="P117" i="18"/>
  <c r="O117" i="18"/>
  <c r="N117" i="18"/>
  <c r="M117" i="18"/>
  <c r="L117" i="18"/>
  <c r="K117" i="18"/>
  <c r="J117" i="18"/>
  <c r="I117" i="18"/>
  <c r="H117" i="18"/>
  <c r="G117" i="18"/>
  <c r="F117" i="18"/>
  <c r="Q116" i="18"/>
  <c r="P116" i="18"/>
  <c r="O116" i="18"/>
  <c r="N116" i="18"/>
  <c r="M116" i="18"/>
  <c r="L116" i="18"/>
  <c r="K116" i="18"/>
  <c r="J116" i="18"/>
  <c r="I116" i="18"/>
  <c r="H116" i="18"/>
  <c r="G116" i="18"/>
  <c r="F116" i="18"/>
  <c r="Q115" i="18"/>
  <c r="P115" i="18"/>
  <c r="O115" i="18"/>
  <c r="N115" i="18"/>
  <c r="M115" i="18"/>
  <c r="L115" i="18"/>
  <c r="K115" i="18"/>
  <c r="J115" i="18"/>
  <c r="I115" i="18"/>
  <c r="H115" i="18"/>
  <c r="G115" i="18"/>
  <c r="F115" i="18"/>
  <c r="Q113" i="18"/>
  <c r="P113" i="18"/>
  <c r="O113" i="18"/>
  <c r="N113" i="18"/>
  <c r="M113" i="18"/>
  <c r="L113" i="18"/>
  <c r="K113" i="18"/>
  <c r="J113" i="18"/>
  <c r="I113" i="18"/>
  <c r="H113" i="18"/>
  <c r="G113" i="18"/>
  <c r="F113" i="18"/>
  <c r="Q112" i="18"/>
  <c r="P112" i="18"/>
  <c r="O112" i="18"/>
  <c r="N112" i="18"/>
  <c r="M112" i="18"/>
  <c r="L112" i="18"/>
  <c r="K112" i="18"/>
  <c r="J112" i="18"/>
  <c r="I112" i="18"/>
  <c r="H112" i="18"/>
  <c r="G112" i="18"/>
  <c r="F112" i="18"/>
  <c r="Q111" i="18"/>
  <c r="P111" i="18"/>
  <c r="O111" i="18"/>
  <c r="N111" i="18"/>
  <c r="M111" i="18"/>
  <c r="L111" i="18"/>
  <c r="K111" i="18"/>
  <c r="J111" i="18"/>
  <c r="I111" i="18"/>
  <c r="H111" i="18"/>
  <c r="G111" i="18"/>
  <c r="F111" i="18"/>
  <c r="Q110" i="18"/>
  <c r="P110" i="18"/>
  <c r="O110" i="18"/>
  <c r="N110" i="18"/>
  <c r="M110" i="18"/>
  <c r="L110" i="18"/>
  <c r="K110" i="18"/>
  <c r="J110" i="18"/>
  <c r="I110" i="18"/>
  <c r="H110" i="18"/>
  <c r="G110" i="18"/>
  <c r="F110" i="18"/>
  <c r="Q108" i="18"/>
  <c r="P108" i="18"/>
  <c r="O108" i="18"/>
  <c r="N108" i="18"/>
  <c r="M108" i="18"/>
  <c r="L108" i="18"/>
  <c r="K108" i="18"/>
  <c r="J108" i="18"/>
  <c r="I108" i="18"/>
  <c r="H108" i="18"/>
  <c r="G108" i="18"/>
  <c r="F108" i="18"/>
  <c r="Q107" i="18"/>
  <c r="P107" i="18"/>
  <c r="O107" i="18"/>
  <c r="N107" i="18"/>
  <c r="M107" i="18"/>
  <c r="L107" i="18"/>
  <c r="K107" i="18"/>
  <c r="J107" i="18"/>
  <c r="I107" i="18"/>
  <c r="H107" i="18"/>
  <c r="G107" i="18"/>
  <c r="F107" i="18"/>
  <c r="Q106" i="18"/>
  <c r="P106" i="18"/>
  <c r="O106" i="18"/>
  <c r="N106" i="18"/>
  <c r="M106" i="18"/>
  <c r="L106" i="18"/>
  <c r="K106" i="18"/>
  <c r="J106" i="18"/>
  <c r="I106" i="18"/>
  <c r="H106" i="18"/>
  <c r="G106" i="18"/>
  <c r="F106" i="18"/>
  <c r="Q105" i="18"/>
  <c r="P105" i="18"/>
  <c r="O105" i="18"/>
  <c r="N105" i="18"/>
  <c r="M105" i="18"/>
  <c r="L105" i="18"/>
  <c r="K105" i="18"/>
  <c r="J105" i="18"/>
  <c r="I105" i="18"/>
  <c r="H105" i="18"/>
  <c r="G105" i="18"/>
  <c r="F105" i="18"/>
  <c r="Q103" i="18"/>
  <c r="P103" i="18"/>
  <c r="O103" i="18"/>
  <c r="N103" i="18"/>
  <c r="M103" i="18"/>
  <c r="L103" i="18"/>
  <c r="K103" i="18"/>
  <c r="J103" i="18"/>
  <c r="I103" i="18"/>
  <c r="H103" i="18"/>
  <c r="G103" i="18"/>
  <c r="F103" i="18"/>
  <c r="Q102" i="18"/>
  <c r="P102" i="18"/>
  <c r="O102" i="18"/>
  <c r="N102" i="18"/>
  <c r="M102" i="18"/>
  <c r="L102" i="18"/>
  <c r="K102" i="18"/>
  <c r="J102" i="18"/>
  <c r="I102" i="18"/>
  <c r="H102" i="18"/>
  <c r="G102" i="18"/>
  <c r="F102" i="18"/>
  <c r="Q101" i="18"/>
  <c r="P101" i="18"/>
  <c r="O101" i="18"/>
  <c r="N101" i="18"/>
  <c r="M101" i="18"/>
  <c r="L101" i="18"/>
  <c r="K101" i="18"/>
  <c r="J101" i="18"/>
  <c r="I101" i="18"/>
  <c r="H101" i="18"/>
  <c r="G101" i="18"/>
  <c r="F101" i="18"/>
  <c r="Q100" i="18"/>
  <c r="P100" i="18"/>
  <c r="O100" i="18"/>
  <c r="N100" i="18"/>
  <c r="M100" i="18"/>
  <c r="L100" i="18"/>
  <c r="K100" i="18"/>
  <c r="J100" i="18"/>
  <c r="I100" i="18"/>
  <c r="H100" i="18"/>
  <c r="G100" i="18"/>
  <c r="F100" i="18"/>
  <c r="Q97" i="18"/>
  <c r="P97" i="18"/>
  <c r="O97" i="18"/>
  <c r="N97" i="18"/>
  <c r="M97" i="18"/>
  <c r="L97" i="18"/>
  <c r="K97" i="18"/>
  <c r="J97" i="18"/>
  <c r="I97" i="18"/>
  <c r="H97" i="18"/>
  <c r="G97" i="18"/>
  <c r="F97" i="18"/>
  <c r="Q96" i="18"/>
  <c r="P96" i="18"/>
  <c r="O96" i="18"/>
  <c r="N96" i="18"/>
  <c r="M96" i="18"/>
  <c r="L96" i="18"/>
  <c r="K96" i="18"/>
  <c r="J96" i="18"/>
  <c r="I96" i="18"/>
  <c r="H96" i="18"/>
  <c r="G96" i="18"/>
  <c r="F96" i="18"/>
  <c r="Q95" i="18"/>
  <c r="P95" i="18"/>
  <c r="O95" i="18"/>
  <c r="N95" i="18"/>
  <c r="M95" i="18"/>
  <c r="L95" i="18"/>
  <c r="K95" i="18"/>
  <c r="J95" i="18"/>
  <c r="I95" i="18"/>
  <c r="H95" i="18"/>
  <c r="G95" i="18"/>
  <c r="F95" i="18"/>
  <c r="Q93" i="18"/>
  <c r="P93" i="18"/>
  <c r="O93" i="18"/>
  <c r="N93" i="18"/>
  <c r="M93" i="18"/>
  <c r="L93" i="18"/>
  <c r="K93" i="18"/>
  <c r="J93" i="18"/>
  <c r="I93" i="18"/>
  <c r="H93" i="18"/>
  <c r="G93" i="18"/>
  <c r="F93" i="18"/>
  <c r="Q92" i="18"/>
  <c r="P92" i="18"/>
  <c r="O92" i="18"/>
  <c r="N92" i="18"/>
  <c r="M92" i="18"/>
  <c r="L92" i="18"/>
  <c r="K92" i="18"/>
  <c r="J92" i="18"/>
  <c r="I92" i="18"/>
  <c r="H92" i="18"/>
  <c r="G92" i="18"/>
  <c r="F92" i="18"/>
  <c r="Q91" i="18"/>
  <c r="P91" i="18"/>
  <c r="O91" i="18"/>
  <c r="N91" i="18"/>
  <c r="M91" i="18"/>
  <c r="L91" i="18"/>
  <c r="K91" i="18"/>
  <c r="J91" i="18"/>
  <c r="I91" i="18"/>
  <c r="H91" i="18"/>
  <c r="G91" i="18"/>
  <c r="F91" i="18"/>
  <c r="Q89" i="18"/>
  <c r="P89" i="18"/>
  <c r="O89" i="18"/>
  <c r="N89" i="18"/>
  <c r="M89" i="18"/>
  <c r="L89" i="18"/>
  <c r="K89" i="18"/>
  <c r="J89" i="18"/>
  <c r="I89" i="18"/>
  <c r="H89" i="18"/>
  <c r="G89" i="18"/>
  <c r="F89" i="18"/>
  <c r="Q88" i="18"/>
  <c r="P88" i="18"/>
  <c r="O88" i="18"/>
  <c r="N88" i="18"/>
  <c r="M88" i="18"/>
  <c r="L88" i="18"/>
  <c r="K88" i="18"/>
  <c r="J88" i="18"/>
  <c r="I88" i="18"/>
  <c r="H88" i="18"/>
  <c r="G88" i="18"/>
  <c r="F88" i="18"/>
  <c r="Q86" i="18"/>
  <c r="P86" i="18"/>
  <c r="O86" i="18"/>
  <c r="N86" i="18"/>
  <c r="M86" i="18"/>
  <c r="L86" i="18"/>
  <c r="K86" i="18"/>
  <c r="J86" i="18"/>
  <c r="I86" i="18"/>
  <c r="H86" i="18"/>
  <c r="G86" i="18"/>
  <c r="F86" i="18"/>
  <c r="Q85" i="18"/>
  <c r="P85" i="18"/>
  <c r="O85" i="18"/>
  <c r="N85" i="18"/>
  <c r="M85" i="18"/>
  <c r="L85" i="18"/>
  <c r="K85" i="18"/>
  <c r="J85" i="18"/>
  <c r="I85" i="18"/>
  <c r="H85" i="18"/>
  <c r="G85" i="18"/>
  <c r="F85" i="18"/>
  <c r="Q83" i="18"/>
  <c r="P83" i="18"/>
  <c r="O83" i="18"/>
  <c r="N83" i="18"/>
  <c r="M83" i="18"/>
  <c r="L83" i="18"/>
  <c r="K83" i="18"/>
  <c r="J83" i="18"/>
  <c r="I83" i="18"/>
  <c r="H83" i="18"/>
  <c r="G83" i="18"/>
  <c r="F83" i="18"/>
  <c r="Q82" i="18"/>
  <c r="P82" i="18"/>
  <c r="O82" i="18"/>
  <c r="N82" i="18"/>
  <c r="M82" i="18"/>
  <c r="L82" i="18"/>
  <c r="K82" i="18"/>
  <c r="J82" i="18"/>
  <c r="I82" i="18"/>
  <c r="H82" i="18"/>
  <c r="G82" i="18"/>
  <c r="F82" i="18"/>
  <c r="Q81" i="18"/>
  <c r="P81" i="18"/>
  <c r="O81" i="18"/>
  <c r="N81" i="18"/>
  <c r="M81" i="18"/>
  <c r="L81" i="18"/>
  <c r="K81" i="18"/>
  <c r="J81" i="18"/>
  <c r="I81" i="18"/>
  <c r="H81" i="18"/>
  <c r="G81" i="18"/>
  <c r="F81" i="18"/>
  <c r="Q79" i="18"/>
  <c r="P79" i="18"/>
  <c r="O79" i="18"/>
  <c r="N79" i="18"/>
  <c r="M79" i="18"/>
  <c r="L79" i="18"/>
  <c r="K79" i="18"/>
  <c r="J79" i="18"/>
  <c r="I79" i="18"/>
  <c r="H79" i="18"/>
  <c r="G79" i="18"/>
  <c r="F79" i="18"/>
  <c r="Q78" i="18"/>
  <c r="P78" i="18"/>
  <c r="O78" i="18"/>
  <c r="N78" i="18"/>
  <c r="M78" i="18"/>
  <c r="L78" i="18"/>
  <c r="K78" i="18"/>
  <c r="J78" i="18"/>
  <c r="I78" i="18"/>
  <c r="H78" i="18"/>
  <c r="G78" i="18"/>
  <c r="F78" i="18"/>
  <c r="Q76" i="18"/>
  <c r="P76" i="18"/>
  <c r="O76" i="18"/>
  <c r="N76" i="18"/>
  <c r="M76" i="18"/>
  <c r="L76" i="18"/>
  <c r="K76" i="18"/>
  <c r="J76" i="18"/>
  <c r="I76" i="18"/>
  <c r="H76" i="18"/>
  <c r="G76" i="18"/>
  <c r="F76" i="18"/>
  <c r="Q75" i="18"/>
  <c r="P75" i="18"/>
  <c r="O75" i="18"/>
  <c r="N75" i="18"/>
  <c r="M75" i="18"/>
  <c r="L75" i="18"/>
  <c r="K75" i="18"/>
  <c r="J75" i="18"/>
  <c r="I75" i="18"/>
  <c r="H75" i="18"/>
  <c r="G75" i="18"/>
  <c r="F75" i="18"/>
  <c r="Q73" i="18"/>
  <c r="P73" i="18"/>
  <c r="O73" i="18"/>
  <c r="N73" i="18"/>
  <c r="M73" i="18"/>
  <c r="L73" i="18"/>
  <c r="K73" i="18"/>
  <c r="J73" i="18"/>
  <c r="I73" i="18"/>
  <c r="H73" i="18"/>
  <c r="G73" i="18"/>
  <c r="F73" i="18"/>
  <c r="Q72" i="18"/>
  <c r="P72" i="18"/>
  <c r="O72" i="18"/>
  <c r="N72" i="18"/>
  <c r="M72" i="18"/>
  <c r="L72" i="18"/>
  <c r="K72" i="18"/>
  <c r="J72" i="18"/>
  <c r="I72" i="18"/>
  <c r="H72" i="18"/>
  <c r="G72" i="18"/>
  <c r="F72" i="18"/>
  <c r="Q71" i="18"/>
  <c r="P71" i="18"/>
  <c r="O71" i="18"/>
  <c r="N71" i="18"/>
  <c r="M71" i="18"/>
  <c r="L71" i="18"/>
  <c r="K71" i="18"/>
  <c r="J71" i="18"/>
  <c r="I71" i="18"/>
  <c r="H71" i="18"/>
  <c r="G71" i="18"/>
  <c r="F71" i="18"/>
  <c r="Q69" i="18"/>
  <c r="P69" i="18"/>
  <c r="O69" i="18"/>
  <c r="N69" i="18"/>
  <c r="M69" i="18"/>
  <c r="L69" i="18"/>
  <c r="K69" i="18"/>
  <c r="J69" i="18"/>
  <c r="I69" i="18"/>
  <c r="H69" i="18"/>
  <c r="G69" i="18"/>
  <c r="F69" i="18"/>
  <c r="Q68" i="18"/>
  <c r="P68" i="18"/>
  <c r="O68" i="18"/>
  <c r="N68" i="18"/>
  <c r="M68" i="18"/>
  <c r="L68" i="18"/>
  <c r="K68" i="18"/>
  <c r="J68" i="18"/>
  <c r="I68" i="18"/>
  <c r="H68" i="18"/>
  <c r="G68" i="18"/>
  <c r="F68" i="18"/>
  <c r="Q67" i="18"/>
  <c r="P67" i="18"/>
  <c r="O67" i="18"/>
  <c r="N67" i="18"/>
  <c r="M67" i="18"/>
  <c r="L67" i="18"/>
  <c r="K67" i="18"/>
  <c r="J67" i="18"/>
  <c r="I67" i="18"/>
  <c r="H67" i="18"/>
  <c r="G67" i="18"/>
  <c r="F67" i="18"/>
  <c r="Q65" i="18"/>
  <c r="P65" i="18"/>
  <c r="O65" i="18"/>
  <c r="N65" i="18"/>
  <c r="M65" i="18"/>
  <c r="L65" i="18"/>
  <c r="K65" i="18"/>
  <c r="J65" i="18"/>
  <c r="I65" i="18"/>
  <c r="H65" i="18"/>
  <c r="G65" i="18"/>
  <c r="F65" i="18"/>
  <c r="Q64" i="18"/>
  <c r="P64" i="18"/>
  <c r="O64" i="18"/>
  <c r="N64" i="18"/>
  <c r="M64" i="18"/>
  <c r="L64" i="18"/>
  <c r="K64" i="18"/>
  <c r="J64" i="18"/>
  <c r="I64" i="18"/>
  <c r="H64" i="18"/>
  <c r="G64" i="18"/>
  <c r="F64" i="18"/>
  <c r="Q62" i="18"/>
  <c r="P62" i="18"/>
  <c r="O62" i="18"/>
  <c r="N62" i="18"/>
  <c r="M62" i="18"/>
  <c r="L62" i="18"/>
  <c r="K62" i="18"/>
  <c r="J62" i="18"/>
  <c r="I62" i="18"/>
  <c r="H62" i="18"/>
  <c r="G62" i="18"/>
  <c r="F62" i="18"/>
  <c r="Q61" i="18"/>
  <c r="P61" i="18"/>
  <c r="O61" i="18"/>
  <c r="N61" i="18"/>
  <c r="M61" i="18"/>
  <c r="L61" i="18"/>
  <c r="K61" i="18"/>
  <c r="J61" i="18"/>
  <c r="I61" i="18"/>
  <c r="H61" i="18"/>
  <c r="G61" i="18"/>
  <c r="F61" i="18"/>
  <c r="Q59" i="18"/>
  <c r="P59" i="18"/>
  <c r="O59" i="18"/>
  <c r="N59" i="18"/>
  <c r="M59" i="18"/>
  <c r="L59" i="18"/>
  <c r="K59" i="18"/>
  <c r="J59" i="18"/>
  <c r="I59" i="18"/>
  <c r="H59" i="18"/>
  <c r="G59" i="18"/>
  <c r="F59" i="18"/>
  <c r="Q58" i="18"/>
  <c r="P58" i="18"/>
  <c r="O58" i="18"/>
  <c r="N58" i="18"/>
  <c r="M58" i="18"/>
  <c r="L58" i="18"/>
  <c r="K58" i="18"/>
  <c r="J58" i="18"/>
  <c r="I58" i="18"/>
  <c r="H58" i="18"/>
  <c r="G58" i="18"/>
  <c r="F58" i="18"/>
  <c r="Q57" i="18"/>
  <c r="P57" i="18"/>
  <c r="O57" i="18"/>
  <c r="N57" i="18"/>
  <c r="M57" i="18"/>
  <c r="L57" i="18"/>
  <c r="K57" i="18"/>
  <c r="J57" i="18"/>
  <c r="I57" i="18"/>
  <c r="H57" i="18"/>
  <c r="G57" i="18"/>
  <c r="F57" i="18"/>
  <c r="Q55" i="18"/>
  <c r="P55" i="18"/>
  <c r="O55" i="18"/>
  <c r="N55" i="18"/>
  <c r="M55" i="18"/>
  <c r="L55" i="18"/>
  <c r="K55" i="18"/>
  <c r="J55" i="18"/>
  <c r="I55" i="18"/>
  <c r="H55" i="18"/>
  <c r="G55" i="18"/>
  <c r="F55" i="18"/>
  <c r="Q54" i="18"/>
  <c r="P54" i="18"/>
  <c r="O54" i="18"/>
  <c r="N54" i="18"/>
  <c r="M54" i="18"/>
  <c r="L54" i="18"/>
  <c r="K54" i="18"/>
  <c r="J54" i="18"/>
  <c r="I54" i="18"/>
  <c r="H54" i="18"/>
  <c r="G54" i="18"/>
  <c r="F54" i="18"/>
  <c r="Q53" i="18"/>
  <c r="P53" i="18"/>
  <c r="O53" i="18"/>
  <c r="N53" i="18"/>
  <c r="M53" i="18"/>
  <c r="L53" i="18"/>
  <c r="K53" i="18"/>
  <c r="J53" i="18"/>
  <c r="I53" i="18"/>
  <c r="H53" i="18"/>
  <c r="G53" i="18"/>
  <c r="F53" i="18"/>
  <c r="Q51" i="18"/>
  <c r="P51" i="18"/>
  <c r="O51" i="18"/>
  <c r="N51" i="18"/>
  <c r="M51" i="18"/>
  <c r="L51" i="18"/>
  <c r="K51" i="18"/>
  <c r="J51" i="18"/>
  <c r="I51" i="18"/>
  <c r="H51" i="18"/>
  <c r="G51" i="18"/>
  <c r="F51" i="18"/>
  <c r="Q49" i="18"/>
  <c r="P49" i="18"/>
  <c r="O49" i="18"/>
  <c r="N49" i="18"/>
  <c r="M49" i="18"/>
  <c r="L49" i="18"/>
  <c r="K49" i="18"/>
  <c r="J49" i="18"/>
  <c r="I49" i="18"/>
  <c r="H49" i="18"/>
  <c r="G49" i="18"/>
  <c r="F49" i="18"/>
  <c r="Q48" i="18"/>
  <c r="P48" i="18"/>
  <c r="O48" i="18"/>
  <c r="N48" i="18"/>
  <c r="M48" i="18"/>
  <c r="L48" i="18"/>
  <c r="K48" i="18"/>
  <c r="J48" i="18"/>
  <c r="I48" i="18"/>
  <c r="H48" i="18"/>
  <c r="G48" i="18"/>
  <c r="F48" i="18"/>
  <c r="Q47" i="18"/>
  <c r="P47" i="18"/>
  <c r="O47" i="18"/>
  <c r="N47" i="18"/>
  <c r="M47" i="18"/>
  <c r="L47" i="18"/>
  <c r="K47" i="18"/>
  <c r="J47" i="18"/>
  <c r="I47" i="18"/>
  <c r="H47" i="18"/>
  <c r="G47" i="18"/>
  <c r="F47" i="18"/>
  <c r="Q45" i="18"/>
  <c r="P45" i="18"/>
  <c r="O45" i="18"/>
  <c r="N45" i="18"/>
  <c r="M45" i="18"/>
  <c r="L45" i="18"/>
  <c r="K45" i="18"/>
  <c r="J45" i="18"/>
  <c r="I45" i="18"/>
  <c r="H45" i="18"/>
  <c r="G45" i="18"/>
  <c r="F45" i="18"/>
  <c r="Q44" i="18"/>
  <c r="P44" i="18"/>
  <c r="O44" i="18"/>
  <c r="N44" i="18"/>
  <c r="M44" i="18"/>
  <c r="L44" i="18"/>
  <c r="K44" i="18"/>
  <c r="J44" i="18"/>
  <c r="I44" i="18"/>
  <c r="H44" i="18"/>
  <c r="G44" i="18"/>
  <c r="F44" i="18"/>
  <c r="Q43" i="18"/>
  <c r="P43" i="18"/>
  <c r="O43" i="18"/>
  <c r="N43" i="18"/>
  <c r="M43" i="18"/>
  <c r="L43" i="18"/>
  <c r="K43" i="18"/>
  <c r="J43" i="18"/>
  <c r="I43" i="18"/>
  <c r="H43" i="18"/>
  <c r="G43" i="18"/>
  <c r="F43" i="18"/>
  <c r="Q40" i="18"/>
  <c r="P40" i="18"/>
  <c r="O40" i="18"/>
  <c r="N40" i="18"/>
  <c r="M40" i="18"/>
  <c r="L40" i="18"/>
  <c r="K40" i="18"/>
  <c r="J40" i="18"/>
  <c r="I40" i="18"/>
  <c r="H40" i="18"/>
  <c r="G40" i="18"/>
  <c r="F40" i="18"/>
  <c r="Q38" i="18"/>
  <c r="P38" i="18"/>
  <c r="O38" i="18"/>
  <c r="N38" i="18"/>
  <c r="M38" i="18"/>
  <c r="L38" i="18"/>
  <c r="K38" i="18"/>
  <c r="J38" i="18"/>
  <c r="I38" i="18"/>
  <c r="H38" i="18"/>
  <c r="G38" i="18"/>
  <c r="F38" i="18"/>
  <c r="Q37" i="18"/>
  <c r="P37" i="18"/>
  <c r="O37" i="18"/>
  <c r="N37" i="18"/>
  <c r="M37" i="18"/>
  <c r="L37" i="18"/>
  <c r="K37" i="18"/>
  <c r="J37" i="18"/>
  <c r="I37" i="18"/>
  <c r="H37" i="18"/>
  <c r="G37" i="18"/>
  <c r="F37" i="18"/>
  <c r="Q36" i="18"/>
  <c r="P36" i="18"/>
  <c r="O36" i="18"/>
  <c r="N36" i="18"/>
  <c r="M36" i="18"/>
  <c r="L36" i="18"/>
  <c r="K36" i="18"/>
  <c r="J36" i="18"/>
  <c r="I36" i="18"/>
  <c r="H36" i="18"/>
  <c r="G36" i="18"/>
  <c r="F36" i="18"/>
  <c r="Q35" i="18"/>
  <c r="P35" i="18"/>
  <c r="O35" i="18"/>
  <c r="N35" i="18"/>
  <c r="M35" i="18"/>
  <c r="L35" i="18"/>
  <c r="K35" i="18"/>
  <c r="J35" i="18"/>
  <c r="I35" i="18"/>
  <c r="H35" i="18"/>
  <c r="G35" i="18"/>
  <c r="F35" i="18"/>
  <c r="Q28" i="18"/>
  <c r="P28" i="18"/>
  <c r="O28" i="18"/>
  <c r="N28" i="18"/>
  <c r="M28" i="18"/>
  <c r="L28" i="18"/>
  <c r="K28" i="18"/>
  <c r="J28" i="18"/>
  <c r="I28" i="18"/>
  <c r="H28" i="18"/>
  <c r="G28" i="18"/>
  <c r="F28" i="18"/>
  <c r="Q27" i="18"/>
  <c r="P27" i="18"/>
  <c r="O27" i="18"/>
  <c r="N27" i="18"/>
  <c r="M27" i="18"/>
  <c r="L27" i="18"/>
  <c r="K27" i="18"/>
  <c r="J27" i="18"/>
  <c r="I27" i="18"/>
  <c r="H27" i="18"/>
  <c r="G27" i="18"/>
  <c r="F27" i="18"/>
  <c r="Q26" i="18"/>
  <c r="P26" i="18"/>
  <c r="O26" i="18"/>
  <c r="N26" i="18"/>
  <c r="M26" i="18"/>
  <c r="L26" i="18"/>
  <c r="K26" i="18"/>
  <c r="J26" i="18"/>
  <c r="I26" i="18"/>
  <c r="H26" i="18"/>
  <c r="G26" i="18"/>
  <c r="F26" i="18"/>
  <c r="Q22" i="18"/>
  <c r="P22" i="18"/>
  <c r="O22" i="18"/>
  <c r="N22" i="18"/>
  <c r="M22" i="18"/>
  <c r="L22" i="18"/>
  <c r="K22" i="18"/>
  <c r="J22" i="18"/>
  <c r="I22" i="18"/>
  <c r="H22" i="18"/>
  <c r="G22" i="18"/>
  <c r="F22" i="18"/>
  <c r="Q15" i="18"/>
  <c r="P15" i="18"/>
  <c r="O15" i="18"/>
  <c r="N15" i="18"/>
  <c r="M15" i="18"/>
  <c r="L15" i="18"/>
  <c r="K15" i="18"/>
  <c r="J15" i="18"/>
  <c r="I15" i="18"/>
  <c r="H15" i="18"/>
  <c r="G15" i="18"/>
  <c r="F15" i="18"/>
  <c r="Q14" i="18"/>
  <c r="P14" i="18"/>
  <c r="O14" i="18"/>
  <c r="N14" i="18"/>
  <c r="M14" i="18"/>
  <c r="L14" i="18"/>
  <c r="K14" i="18"/>
  <c r="J14" i="18"/>
  <c r="I14" i="18"/>
  <c r="H14" i="18"/>
  <c r="G14" i="18"/>
  <c r="F14" i="18"/>
  <c r="Q13" i="18"/>
  <c r="P13" i="18"/>
  <c r="O13" i="18"/>
  <c r="N13" i="18"/>
  <c r="M13" i="18"/>
  <c r="L13" i="18"/>
  <c r="K13" i="18"/>
  <c r="J13" i="18"/>
  <c r="I13" i="18"/>
  <c r="H13" i="18"/>
  <c r="G13" i="18"/>
  <c r="F13" i="18"/>
  <c r="Q10" i="18"/>
  <c r="P10" i="18"/>
  <c r="O10" i="18"/>
  <c r="N10" i="18"/>
  <c r="M10" i="18"/>
  <c r="L10" i="18"/>
  <c r="K10" i="18"/>
  <c r="J10" i="18"/>
  <c r="I10" i="18"/>
  <c r="H10" i="18"/>
  <c r="G10" i="18"/>
  <c r="F10" i="18"/>
  <c r="Q9" i="18"/>
  <c r="P9" i="18"/>
  <c r="O9" i="18"/>
  <c r="N9" i="18"/>
  <c r="M9" i="18"/>
  <c r="L9" i="18"/>
  <c r="K9" i="18"/>
  <c r="J9" i="18"/>
  <c r="I9" i="18"/>
  <c r="H9" i="18"/>
  <c r="G9" i="18"/>
  <c r="F9" i="18"/>
  <c r="Q8" i="18"/>
  <c r="P8" i="18"/>
  <c r="O8" i="18"/>
  <c r="N8" i="18"/>
  <c r="M8" i="18"/>
  <c r="L8" i="18"/>
  <c r="K8" i="18"/>
  <c r="J8" i="18"/>
  <c r="I8" i="18"/>
  <c r="H8" i="18"/>
  <c r="G8" i="18"/>
  <c r="F8" i="18"/>
  <c r="Q7" i="18"/>
  <c r="P7" i="18"/>
  <c r="O7" i="18"/>
  <c r="N7" i="18"/>
  <c r="M7" i="18"/>
  <c r="L7" i="18"/>
  <c r="K7" i="18"/>
  <c r="J7" i="18"/>
  <c r="I7" i="18"/>
  <c r="H7" i="18"/>
  <c r="G7" i="18"/>
  <c r="F7" i="18"/>
  <c r="I111" i="21"/>
  <c r="I110" i="21"/>
  <c r="I106" i="21"/>
  <c r="I105" i="21"/>
  <c r="I100" i="21"/>
  <c r="I99" i="21"/>
  <c r="I98" i="21"/>
  <c r="I97" i="21"/>
  <c r="I96" i="21"/>
  <c r="I95" i="21"/>
  <c r="I91" i="21"/>
  <c r="I90" i="21"/>
  <c r="I89" i="21"/>
  <c r="I88" i="21"/>
  <c r="I87" i="21"/>
  <c r="I86" i="21"/>
  <c r="C190" i="13"/>
  <c r="C184" i="13"/>
  <c r="C183" i="13"/>
  <c r="C182" i="13"/>
  <c r="C100" i="13"/>
  <c r="C94" i="13"/>
  <c r="C64" i="13"/>
  <c r="C38" i="13"/>
  <c r="C84" i="11"/>
  <c r="C32" i="11"/>
  <c r="C8" i="11"/>
  <c r="C7" i="11"/>
  <c r="C6" i="11"/>
  <c r="C191" i="19"/>
  <c r="C190" i="19"/>
  <c r="C189" i="19"/>
  <c r="C145" i="19"/>
  <c r="C142" i="19"/>
  <c r="C45" i="19"/>
  <c r="C44" i="19"/>
  <c r="C43" i="19"/>
  <c r="C37" i="19"/>
  <c r="C18" i="10"/>
  <c r="C99" i="20"/>
  <c r="C98" i="20"/>
  <c r="C97" i="20"/>
  <c r="C93" i="20"/>
  <c r="C92" i="20"/>
  <c r="C91" i="20"/>
  <c r="C87" i="20"/>
  <c r="C86" i="20"/>
  <c r="C85" i="20"/>
  <c r="C81" i="20"/>
  <c r="C80" i="20"/>
  <c r="C79" i="20"/>
  <c r="C24" i="20"/>
  <c r="C7" i="20"/>
  <c r="C6" i="20"/>
  <c r="C5" i="20"/>
  <c r="C51" i="9"/>
  <c r="C50" i="9"/>
  <c r="C21" i="9"/>
  <c r="C20" i="9"/>
  <c r="E603" i="5"/>
  <c r="E602" i="5"/>
  <c r="E601" i="5"/>
  <c r="E600" i="5"/>
  <c r="E599" i="5"/>
  <c r="E598" i="5"/>
  <c r="E596" i="5"/>
  <c r="E595" i="5"/>
  <c r="E593" i="5"/>
  <c r="E592" i="5"/>
  <c r="E591" i="5"/>
  <c r="E589" i="5"/>
  <c r="E588" i="5"/>
  <c r="E587" i="5"/>
  <c r="E585" i="5"/>
  <c r="E582" i="5"/>
  <c r="E581" i="5"/>
  <c r="E580" i="5"/>
  <c r="I506" i="5"/>
  <c r="I492" i="5"/>
  <c r="I441" i="5"/>
  <c r="I440" i="5"/>
  <c r="I439" i="5"/>
  <c r="I438" i="5"/>
  <c r="I437" i="5"/>
  <c r="I436" i="5"/>
  <c r="I435" i="5"/>
  <c r="I431" i="5"/>
  <c r="I430" i="5"/>
  <c r="K297" i="5"/>
  <c r="I297" i="5"/>
  <c r="G297" i="5"/>
  <c r="K296" i="5"/>
  <c r="I296" i="5"/>
  <c r="G296" i="5"/>
  <c r="K295" i="5"/>
  <c r="I295" i="5"/>
  <c r="G295" i="5"/>
  <c r="K264" i="5"/>
  <c r="I264" i="5"/>
  <c r="G264" i="5"/>
  <c r="K263" i="5"/>
  <c r="I263" i="5"/>
  <c r="G263" i="5"/>
  <c r="K262" i="5"/>
  <c r="I262" i="5"/>
  <c r="G262" i="5"/>
  <c r="K225" i="5"/>
  <c r="I225" i="5"/>
  <c r="G225" i="5"/>
  <c r="K224" i="5"/>
  <c r="I224" i="5"/>
  <c r="G224" i="5"/>
  <c r="K223" i="5"/>
  <c r="I223" i="5"/>
  <c r="G223" i="5"/>
  <c r="K175" i="5"/>
  <c r="I175" i="5"/>
  <c r="G175" i="5"/>
  <c r="K174" i="5"/>
  <c r="I174" i="5"/>
  <c r="G174" i="5"/>
  <c r="K173" i="5"/>
  <c r="I173" i="5"/>
  <c r="G173" i="5"/>
  <c r="K172" i="5"/>
  <c r="I172" i="5"/>
  <c r="G172" i="5"/>
  <c r="B19" i="5"/>
  <c r="I22" i="4"/>
  <c r="C22" i="9"/>
  <c r="C21" i="17" s="1"/>
  <c r="I123" i="4"/>
  <c r="E58" i="4" l="1"/>
  <c r="E53" i="4"/>
  <c r="C59" i="11"/>
  <c r="AI82" i="3" l="1"/>
  <c r="AE82" i="3"/>
  <c r="W82" i="3" l="1"/>
  <c r="R82" i="3"/>
  <c r="C60" i="20" l="1"/>
  <c r="C59" i="20"/>
  <c r="M395" i="5" l="1"/>
  <c r="M394" i="5"/>
  <c r="M393" i="5"/>
  <c r="M391" i="5"/>
  <c r="M390" i="5"/>
  <c r="M389" i="5"/>
  <c r="W392" i="5"/>
  <c r="X392" i="5" s="1"/>
  <c r="W388" i="5"/>
  <c r="X388" i="5" s="1"/>
  <c r="M342" i="5"/>
  <c r="M341" i="5"/>
  <c r="M339" i="5"/>
  <c r="M338" i="5"/>
  <c r="W337" i="5"/>
  <c r="X337" i="5" s="1"/>
  <c r="W340" i="5"/>
  <c r="X340" i="5" s="1"/>
  <c r="M306" i="5"/>
  <c r="M281" i="5"/>
  <c r="M242" i="5"/>
  <c r="M203" i="5"/>
  <c r="M202" i="5"/>
  <c r="W201" i="5"/>
  <c r="X201" i="5" s="1"/>
  <c r="M135" i="5"/>
  <c r="M134" i="5"/>
  <c r="M133" i="5"/>
  <c r="M132" i="5"/>
  <c r="W131" i="5"/>
  <c r="X131" i="5" s="1"/>
  <c r="M130" i="5"/>
  <c r="M129" i="5"/>
  <c r="M128" i="5"/>
  <c r="M127" i="5"/>
  <c r="M88" i="5"/>
  <c r="M87" i="5"/>
  <c r="W126" i="5"/>
  <c r="X126" i="5" s="1"/>
  <c r="C192" i="19" l="1"/>
  <c r="C9" i="21"/>
  <c r="C6" i="15" l="1"/>
  <c r="C5" i="15"/>
  <c r="C88" i="4" l="1"/>
  <c r="C87" i="4"/>
  <c r="BC82" i="3" l="1"/>
  <c r="BB82" i="3"/>
  <c r="BA82" i="3"/>
  <c r="AZ82" i="3"/>
  <c r="M120" i="5" l="1"/>
  <c r="M119" i="5"/>
  <c r="M115" i="5"/>
  <c r="M114" i="5"/>
  <c r="M105" i="5"/>
  <c r="M104" i="5"/>
  <c r="M100" i="5"/>
  <c r="M99" i="5"/>
  <c r="M94" i="5"/>
  <c r="M93" i="5"/>
  <c r="M98" i="5"/>
  <c r="M83" i="5"/>
  <c r="M82" i="5"/>
  <c r="M77" i="5"/>
  <c r="M76" i="5"/>
  <c r="H3" i="4" l="1"/>
  <c r="C242" i="6" l="1"/>
  <c r="C91" i="6"/>
  <c r="C126" i="6"/>
  <c r="M387" i="5" l="1"/>
  <c r="M386" i="5"/>
  <c r="W505" i="5" l="1"/>
  <c r="X505" i="5" s="1"/>
  <c r="W500" i="5"/>
  <c r="X500" i="5" s="1"/>
  <c r="W498" i="5"/>
  <c r="X498" i="5" s="1"/>
  <c r="W494" i="5"/>
  <c r="X494" i="5" s="1"/>
  <c r="W493" i="5"/>
  <c r="X493" i="5" s="1"/>
  <c r="W489" i="5"/>
  <c r="X489" i="5" s="1"/>
  <c r="W483" i="5"/>
  <c r="X483" i="5" s="1"/>
  <c r="W478" i="5"/>
  <c r="X478" i="5" s="1"/>
  <c r="W475" i="5"/>
  <c r="X475" i="5" s="1"/>
  <c r="W469" i="5"/>
  <c r="X469" i="5" s="1"/>
  <c r="W464" i="5"/>
  <c r="X464" i="5" s="1"/>
  <c r="W463" i="5"/>
  <c r="X463" i="5" s="1"/>
  <c r="W458" i="5"/>
  <c r="X458" i="5" s="1"/>
  <c r="W453" i="5"/>
  <c r="X453" i="5" s="1"/>
  <c r="W443" i="5"/>
  <c r="X443" i="5" s="1"/>
  <c r="W442" i="5"/>
  <c r="X442" i="5" s="1"/>
  <c r="W432" i="5"/>
  <c r="X432" i="5" s="1"/>
  <c r="W422" i="5"/>
  <c r="X422" i="5" s="1"/>
  <c r="W417" i="5"/>
  <c r="X417" i="5" s="1"/>
  <c r="W412" i="5"/>
  <c r="X412" i="5" s="1"/>
  <c r="W407" i="5"/>
  <c r="X407" i="5" s="1"/>
  <c r="W406" i="5"/>
  <c r="X406" i="5" s="1"/>
  <c r="W404" i="5"/>
  <c r="X404" i="5" s="1"/>
  <c r="W400" i="5"/>
  <c r="X400" i="5" s="1"/>
  <c r="W396" i="5"/>
  <c r="X396" i="5" s="1"/>
  <c r="W381" i="5"/>
  <c r="X381" i="5" s="1"/>
  <c r="W377" i="5"/>
  <c r="X377" i="5" s="1"/>
  <c r="W373" i="5"/>
  <c r="X373" i="5" s="1"/>
  <c r="W369" i="5"/>
  <c r="X369" i="5" s="1"/>
  <c r="W365" i="5"/>
  <c r="X365" i="5" s="1"/>
  <c r="W361" i="5"/>
  <c r="X361" i="5" s="1"/>
  <c r="W357" i="5"/>
  <c r="X357" i="5" s="1"/>
  <c r="W353" i="5"/>
  <c r="X353" i="5" s="1"/>
  <c r="W349" i="5"/>
  <c r="X349" i="5" s="1"/>
  <c r="W348" i="5"/>
  <c r="X348" i="5" s="1"/>
  <c r="W343" i="5"/>
  <c r="X343" i="5" s="1"/>
  <c r="W332" i="5"/>
  <c r="X332" i="5" s="1"/>
  <c r="W328" i="5"/>
  <c r="X328" i="5" s="1"/>
  <c r="W325" i="5"/>
  <c r="X325" i="5" s="1"/>
  <c r="W320" i="5"/>
  <c r="X320" i="5" s="1"/>
  <c r="W315" i="5"/>
  <c r="X315" i="5" s="1"/>
  <c r="W310" i="5"/>
  <c r="X310" i="5" s="1"/>
  <c r="W285" i="5"/>
  <c r="X285" i="5" s="1"/>
  <c r="W246" i="5"/>
  <c r="X246" i="5" s="1"/>
  <c r="W210" i="5"/>
  <c r="X210" i="5" s="1"/>
  <c r="W209" i="5"/>
  <c r="X209" i="5" s="1"/>
  <c r="W204" i="5"/>
  <c r="X204" i="5" s="1"/>
  <c r="W196" i="5"/>
  <c r="X196" i="5" s="1"/>
  <c r="W191" i="5"/>
  <c r="X191" i="5" s="1"/>
  <c r="W182" i="5"/>
  <c r="X182" i="5" s="1"/>
  <c r="W176" i="5"/>
  <c r="X176" i="5" s="1"/>
  <c r="W171" i="5"/>
  <c r="X171" i="5" s="1"/>
  <c r="W165" i="5"/>
  <c r="X165" i="5" s="1"/>
  <c r="W160" i="5"/>
  <c r="X160" i="5" s="1"/>
  <c r="W155" i="5"/>
  <c r="X155" i="5" s="1"/>
  <c r="W150" i="5"/>
  <c r="X150" i="5" s="1"/>
  <c r="W145" i="5"/>
  <c r="X145" i="5" s="1"/>
  <c r="W144" i="5"/>
  <c r="X144" i="5" s="1"/>
  <c r="W140" i="5"/>
  <c r="X140" i="5" s="1"/>
  <c r="W136" i="5"/>
  <c r="X136" i="5" s="1"/>
  <c r="W121" i="5"/>
  <c r="X121" i="5" s="1"/>
  <c r="W116" i="5"/>
  <c r="X116" i="5" s="1"/>
  <c r="W111" i="5"/>
  <c r="X111" i="5" s="1"/>
  <c r="W106" i="5"/>
  <c r="X106" i="5" s="1"/>
  <c r="W101" i="5"/>
  <c r="X101" i="5" s="1"/>
  <c r="W95" i="5"/>
  <c r="X95" i="5" s="1"/>
  <c r="W89" i="5"/>
  <c r="X89" i="5" s="1"/>
  <c r="W84" i="5"/>
  <c r="X84" i="5" s="1"/>
  <c r="W78" i="5"/>
  <c r="X78" i="5" s="1"/>
  <c r="W72" i="5"/>
  <c r="X72" i="5" s="1"/>
  <c r="W68" i="5"/>
  <c r="X68" i="5" s="1"/>
  <c r="W67" i="5"/>
  <c r="X67" i="5" s="1"/>
  <c r="W62" i="5"/>
  <c r="X62" i="5" s="1"/>
  <c r="W57" i="5"/>
  <c r="X57" i="5" s="1"/>
  <c r="W50" i="5"/>
  <c r="X50" i="5" s="1"/>
  <c r="W49" i="5"/>
  <c r="X49" i="5" s="1"/>
  <c r="W47" i="5"/>
  <c r="X47" i="5" s="1"/>
  <c r="W40" i="5"/>
  <c r="X40" i="5" s="1"/>
  <c r="M431" i="5" l="1"/>
  <c r="M430" i="5"/>
  <c r="M429" i="5"/>
  <c r="M428" i="5"/>
  <c r="M427" i="5"/>
  <c r="M426" i="5"/>
  <c r="M261" i="5"/>
  <c r="M260" i="5"/>
  <c r="M259" i="5"/>
  <c r="M258" i="5"/>
  <c r="M257" i="5"/>
  <c r="M256" i="5"/>
  <c r="M274" i="5"/>
  <c r="M273" i="5"/>
  <c r="M272" i="5"/>
  <c r="M271" i="5"/>
  <c r="C88" i="20" l="1"/>
  <c r="B572" i="5" s="1"/>
  <c r="E572" i="5" s="1"/>
  <c r="C94" i="20"/>
  <c r="B573" i="5" s="1"/>
  <c r="E573" i="5" s="1"/>
  <c r="C82" i="20"/>
  <c r="B571" i="5" s="1"/>
  <c r="E571" i="5" s="1"/>
  <c r="C14" i="5"/>
  <c r="A27" i="16" l="1"/>
  <c r="A25" i="16"/>
  <c r="C354" i="17"/>
  <c r="C353" i="17"/>
  <c r="C350" i="17"/>
  <c r="C349" i="17"/>
  <c r="C342" i="17"/>
  <c r="C339" i="17"/>
  <c r="C317" i="17"/>
  <c r="C309" i="17"/>
  <c r="C299" i="17"/>
  <c r="C296" i="17"/>
  <c r="C295" i="17"/>
  <c r="C290" i="17"/>
  <c r="C282" i="17"/>
  <c r="C277" i="17"/>
  <c r="C276" i="17"/>
  <c r="C274" i="17"/>
  <c r="C273" i="17"/>
  <c r="C259" i="17"/>
  <c r="C211" i="17"/>
  <c r="C241" i="17" s="1"/>
  <c r="C198" i="17"/>
  <c r="C187" i="17"/>
  <c r="C178" i="17"/>
  <c r="C177" i="17"/>
  <c r="C174" i="17"/>
  <c r="C173" i="17"/>
  <c r="C166" i="17"/>
  <c r="C163" i="17"/>
  <c r="C123" i="17"/>
  <c r="C120" i="17"/>
  <c r="C119" i="17"/>
  <c r="C114" i="17"/>
  <c r="C106" i="17"/>
  <c r="C101" i="17"/>
  <c r="C100" i="17"/>
  <c r="C98" i="17"/>
  <c r="C97" i="17"/>
  <c r="C83" i="17"/>
  <c r="C35" i="17"/>
  <c r="C65" i="17" s="1"/>
  <c r="C22" i="17"/>
  <c r="C415" i="18"/>
  <c r="C409" i="18"/>
  <c r="C405" i="18"/>
  <c r="C401" i="18"/>
  <c r="C395" i="18"/>
  <c r="C391" i="18"/>
  <c r="C390" i="18"/>
  <c r="D28" i="18"/>
  <c r="D15" i="18"/>
  <c r="C53" i="15"/>
  <c r="C77" i="14"/>
  <c r="C136" i="13"/>
  <c r="C93" i="13"/>
  <c r="C8" i="13"/>
  <c r="C5" i="13"/>
  <c r="C84" i="12"/>
  <c r="C83" i="12"/>
  <c r="C82" i="12"/>
  <c r="C81" i="12"/>
  <c r="C76" i="12"/>
  <c r="C441" i="5" s="1"/>
  <c r="C75" i="12"/>
  <c r="C440" i="5" s="1"/>
  <c r="C74" i="12"/>
  <c r="C439" i="5" s="1"/>
  <c r="C48" i="12"/>
  <c r="C32" i="12"/>
  <c r="E20" i="12"/>
  <c r="E18" i="12"/>
  <c r="C5" i="12"/>
  <c r="C17" i="5" s="1"/>
  <c r="C17" i="12"/>
  <c r="C172" i="5"/>
  <c r="C5" i="19"/>
  <c r="B120" i="4" s="1"/>
  <c r="C4" i="19"/>
  <c r="C7" i="10"/>
  <c r="C38" i="20"/>
  <c r="C72" i="11" s="1"/>
  <c r="C33" i="20"/>
  <c r="C4" i="10" s="1"/>
  <c r="C11" i="20"/>
  <c r="C10" i="20"/>
  <c r="C75" i="9"/>
  <c r="D13" i="18" s="1"/>
  <c r="C66" i="9"/>
  <c r="C67" i="9" s="1"/>
  <c r="G41" i="5" s="1"/>
  <c r="C59" i="9"/>
  <c r="C55" i="9"/>
  <c r="C54" i="9"/>
  <c r="C43" i="9"/>
  <c r="C17" i="9"/>
  <c r="C13" i="9"/>
  <c r="C133" i="17" s="1"/>
  <c r="C7" i="9"/>
  <c r="C6" i="9"/>
  <c r="C37" i="7"/>
  <c r="C29" i="8"/>
  <c r="C264" i="6"/>
  <c r="C239" i="6"/>
  <c r="C215" i="6"/>
  <c r="C214" i="6"/>
  <c r="E82" i="6"/>
  <c r="E81" i="6"/>
  <c r="E80" i="6"/>
  <c r="C650" i="5"/>
  <c r="C649" i="5"/>
  <c r="C607" i="5"/>
  <c r="H607" i="5" s="1"/>
  <c r="H585" i="5"/>
  <c r="G585" i="5"/>
  <c r="D536" i="5"/>
  <c r="C639" i="5" s="1"/>
  <c r="D535" i="5"/>
  <c r="C638" i="5" s="1"/>
  <c r="D534" i="5"/>
  <c r="C637" i="5" s="1"/>
  <c r="D531" i="5"/>
  <c r="C634" i="5" s="1"/>
  <c r="D530" i="5"/>
  <c r="D525" i="5"/>
  <c r="C628" i="5" s="1"/>
  <c r="M506" i="5"/>
  <c r="M504" i="5"/>
  <c r="M503" i="5"/>
  <c r="M502" i="5"/>
  <c r="M501" i="5"/>
  <c r="M499" i="5"/>
  <c r="M497" i="5"/>
  <c r="M496" i="5"/>
  <c r="M495" i="5"/>
  <c r="V492" i="5"/>
  <c r="U492" i="5"/>
  <c r="T492" i="5"/>
  <c r="S492" i="5"/>
  <c r="R492" i="5"/>
  <c r="Q492" i="5"/>
  <c r="P492" i="5"/>
  <c r="O492" i="5"/>
  <c r="N492" i="5"/>
  <c r="M492" i="5"/>
  <c r="V482" i="5"/>
  <c r="S482" i="5"/>
  <c r="P482" i="5"/>
  <c r="M482" i="5"/>
  <c r="U481" i="5"/>
  <c r="R481" i="5"/>
  <c r="O481" i="5"/>
  <c r="M481" i="5"/>
  <c r="T480" i="5"/>
  <c r="Q480" i="5"/>
  <c r="N480" i="5"/>
  <c r="M480" i="5"/>
  <c r="V479" i="5"/>
  <c r="U479" i="5"/>
  <c r="T479" i="5"/>
  <c r="S479" i="5"/>
  <c r="R479" i="5"/>
  <c r="Q479" i="5"/>
  <c r="P479" i="5"/>
  <c r="O479" i="5"/>
  <c r="N479" i="5"/>
  <c r="M479" i="5"/>
  <c r="V468" i="5"/>
  <c r="S468" i="5"/>
  <c r="P468" i="5"/>
  <c r="M468" i="5"/>
  <c r="U467" i="5"/>
  <c r="R467" i="5"/>
  <c r="O467" i="5"/>
  <c r="M467" i="5"/>
  <c r="T466" i="5"/>
  <c r="Q466" i="5"/>
  <c r="N466" i="5"/>
  <c r="M466" i="5"/>
  <c r="V465" i="5"/>
  <c r="U465" i="5"/>
  <c r="T465" i="5"/>
  <c r="S465" i="5"/>
  <c r="R465" i="5"/>
  <c r="Q465" i="5"/>
  <c r="P465" i="5"/>
  <c r="O465" i="5"/>
  <c r="N465" i="5"/>
  <c r="M465" i="5"/>
  <c r="M462" i="5"/>
  <c r="M461" i="5"/>
  <c r="M460" i="5"/>
  <c r="M459" i="5"/>
  <c r="M457" i="5"/>
  <c r="M456" i="5"/>
  <c r="M455" i="5"/>
  <c r="M454" i="5"/>
  <c r="M452" i="5"/>
  <c r="M451" i="5"/>
  <c r="M450" i="5"/>
  <c r="M449" i="5"/>
  <c r="M448" i="5"/>
  <c r="M447" i="5"/>
  <c r="M446" i="5"/>
  <c r="M445" i="5"/>
  <c r="M444" i="5"/>
  <c r="M441" i="5"/>
  <c r="M440" i="5"/>
  <c r="M439" i="5"/>
  <c r="M438" i="5"/>
  <c r="M437" i="5"/>
  <c r="C437" i="5"/>
  <c r="M436" i="5"/>
  <c r="C436" i="5"/>
  <c r="M435" i="5"/>
  <c r="C435" i="5"/>
  <c r="M434" i="5"/>
  <c r="M433" i="5"/>
  <c r="C426" i="5"/>
  <c r="M425" i="5"/>
  <c r="C425" i="5"/>
  <c r="M424" i="5"/>
  <c r="C424" i="5"/>
  <c r="M423" i="5"/>
  <c r="C423" i="5"/>
  <c r="M421" i="5"/>
  <c r="C421" i="5"/>
  <c r="M420" i="5"/>
  <c r="C420" i="5"/>
  <c r="M419" i="5"/>
  <c r="C419" i="5"/>
  <c r="M418" i="5"/>
  <c r="C418" i="5"/>
  <c r="M416" i="5"/>
  <c r="M415" i="5"/>
  <c r="M414" i="5"/>
  <c r="M413" i="5"/>
  <c r="M411" i="5"/>
  <c r="C411" i="5"/>
  <c r="M410" i="5"/>
  <c r="C410" i="5"/>
  <c r="M409" i="5"/>
  <c r="C409" i="5"/>
  <c r="M408" i="5"/>
  <c r="C408" i="5"/>
  <c r="B405" i="5"/>
  <c r="M405" i="5" s="1"/>
  <c r="M403" i="5"/>
  <c r="M402" i="5"/>
  <c r="M401" i="5"/>
  <c r="M399" i="5"/>
  <c r="M398" i="5"/>
  <c r="M397" i="5"/>
  <c r="M384" i="5"/>
  <c r="M383" i="5"/>
  <c r="M382" i="5"/>
  <c r="M380" i="5"/>
  <c r="M379" i="5"/>
  <c r="M378" i="5"/>
  <c r="M376" i="5"/>
  <c r="M375" i="5"/>
  <c r="M374" i="5"/>
  <c r="M372" i="5"/>
  <c r="M371" i="5"/>
  <c r="M370" i="5"/>
  <c r="M368" i="5"/>
  <c r="M367" i="5"/>
  <c r="M366" i="5"/>
  <c r="M364" i="5"/>
  <c r="M363" i="5"/>
  <c r="M362" i="5"/>
  <c r="M360" i="5"/>
  <c r="M359" i="5"/>
  <c r="M358" i="5"/>
  <c r="M356" i="5"/>
  <c r="M355" i="5"/>
  <c r="M354" i="5"/>
  <c r="M352" i="5"/>
  <c r="M351" i="5"/>
  <c r="M350" i="5"/>
  <c r="M347" i="5"/>
  <c r="M346" i="5"/>
  <c r="M345" i="5"/>
  <c r="M344" i="5"/>
  <c r="M336" i="5"/>
  <c r="M335" i="5"/>
  <c r="M334" i="5"/>
  <c r="M333" i="5"/>
  <c r="M331" i="5"/>
  <c r="M330" i="5"/>
  <c r="M329" i="5"/>
  <c r="M327" i="5"/>
  <c r="M326" i="5"/>
  <c r="M324" i="5"/>
  <c r="M323" i="5"/>
  <c r="M322" i="5"/>
  <c r="M321" i="5"/>
  <c r="M319" i="5"/>
  <c r="M318" i="5"/>
  <c r="M317" i="5"/>
  <c r="M316" i="5"/>
  <c r="M314" i="5"/>
  <c r="M313" i="5"/>
  <c r="M312" i="5"/>
  <c r="M311" i="5"/>
  <c r="M309" i="5"/>
  <c r="M308" i="5"/>
  <c r="M307" i="5"/>
  <c r="M305" i="5"/>
  <c r="M304" i="5"/>
  <c r="M303" i="5"/>
  <c r="M302" i="5"/>
  <c r="M301" i="5"/>
  <c r="M300" i="5"/>
  <c r="M299" i="5"/>
  <c r="M298" i="5"/>
  <c r="M297" i="5"/>
  <c r="W297" i="5"/>
  <c r="X297" i="5" s="1"/>
  <c r="J297" i="5"/>
  <c r="H297" i="5"/>
  <c r="F297" i="5"/>
  <c r="E297" i="5"/>
  <c r="C297" i="5"/>
  <c r="M296" i="5"/>
  <c r="W296" i="5"/>
  <c r="X296" i="5" s="1"/>
  <c r="J296" i="5"/>
  <c r="H296" i="5"/>
  <c r="F296" i="5"/>
  <c r="E296" i="5"/>
  <c r="C296" i="5"/>
  <c r="M295" i="5"/>
  <c r="W295" i="5"/>
  <c r="X295" i="5" s="1"/>
  <c r="J295" i="5"/>
  <c r="H295" i="5"/>
  <c r="F295" i="5"/>
  <c r="E295" i="5"/>
  <c r="C295" i="5"/>
  <c r="M294" i="5"/>
  <c r="C294" i="5"/>
  <c r="M293" i="5"/>
  <c r="C293" i="5"/>
  <c r="M292" i="5"/>
  <c r="C292" i="5"/>
  <c r="M291" i="5"/>
  <c r="M290" i="5"/>
  <c r="M289" i="5"/>
  <c r="M288" i="5"/>
  <c r="M287" i="5"/>
  <c r="M286" i="5"/>
  <c r="M284" i="5"/>
  <c r="M283" i="5"/>
  <c r="M282" i="5"/>
  <c r="M280" i="5"/>
  <c r="M279" i="5"/>
  <c r="M278" i="5"/>
  <c r="M277" i="5"/>
  <c r="M276" i="5"/>
  <c r="M275" i="5"/>
  <c r="M270" i="5"/>
  <c r="M269" i="5"/>
  <c r="M268" i="5"/>
  <c r="M267" i="5"/>
  <c r="M266" i="5"/>
  <c r="M265" i="5"/>
  <c r="M264" i="5"/>
  <c r="W264" i="5"/>
  <c r="X264" i="5" s="1"/>
  <c r="J264" i="5"/>
  <c r="H264" i="5"/>
  <c r="F264" i="5"/>
  <c r="E264" i="5"/>
  <c r="C264" i="5"/>
  <c r="M263" i="5"/>
  <c r="W263" i="5"/>
  <c r="X263" i="5" s="1"/>
  <c r="J263" i="5"/>
  <c r="H263" i="5"/>
  <c r="F263" i="5"/>
  <c r="E263" i="5"/>
  <c r="C263" i="5"/>
  <c r="M262" i="5"/>
  <c r="W262" i="5"/>
  <c r="X262" i="5" s="1"/>
  <c r="J262" i="5"/>
  <c r="H262" i="5"/>
  <c r="F262" i="5"/>
  <c r="E262" i="5"/>
  <c r="C262" i="5"/>
  <c r="M255" i="5"/>
  <c r="M254" i="5"/>
  <c r="M253" i="5"/>
  <c r="M252" i="5"/>
  <c r="M251" i="5"/>
  <c r="M250" i="5"/>
  <c r="M249" i="5"/>
  <c r="C249" i="5"/>
  <c r="M248" i="5"/>
  <c r="C248" i="5"/>
  <c r="M247" i="5"/>
  <c r="C247" i="5"/>
  <c r="M245" i="5"/>
  <c r="M244" i="5"/>
  <c r="M243" i="5"/>
  <c r="M241" i="5"/>
  <c r="M240" i="5"/>
  <c r="M239" i="5"/>
  <c r="M238" i="5"/>
  <c r="M237" i="5"/>
  <c r="M236" i="5"/>
  <c r="M235" i="5"/>
  <c r="M234" i="5"/>
  <c r="M233" i="5"/>
  <c r="M232" i="5"/>
  <c r="M231" i="5"/>
  <c r="M230" i="5"/>
  <c r="M229" i="5"/>
  <c r="M228" i="5"/>
  <c r="M227" i="5"/>
  <c r="M226" i="5"/>
  <c r="M225" i="5"/>
  <c r="W225" i="5"/>
  <c r="X225" i="5" s="1"/>
  <c r="J225" i="5"/>
  <c r="H225" i="5"/>
  <c r="F225" i="5"/>
  <c r="E225" i="5"/>
  <c r="C225" i="5"/>
  <c r="M224" i="5"/>
  <c r="W224" i="5"/>
  <c r="X224" i="5" s="1"/>
  <c r="J224" i="5"/>
  <c r="H224" i="5"/>
  <c r="F224" i="5"/>
  <c r="E224" i="5"/>
  <c r="C224" i="5"/>
  <c r="M223" i="5"/>
  <c r="W223" i="5"/>
  <c r="X223" i="5" s="1"/>
  <c r="J223" i="5"/>
  <c r="H223" i="5"/>
  <c r="F223" i="5"/>
  <c r="E223" i="5"/>
  <c r="C223" i="5"/>
  <c r="M222" i="5"/>
  <c r="M221" i="5"/>
  <c r="M220" i="5"/>
  <c r="M219" i="5"/>
  <c r="M218" i="5"/>
  <c r="M217" i="5"/>
  <c r="M216" i="5"/>
  <c r="M215" i="5"/>
  <c r="M214" i="5"/>
  <c r="M213" i="5"/>
  <c r="M212" i="5"/>
  <c r="M211" i="5"/>
  <c r="M208" i="5"/>
  <c r="M207" i="5"/>
  <c r="M206" i="5"/>
  <c r="M205" i="5"/>
  <c r="M200" i="5"/>
  <c r="M199" i="5"/>
  <c r="M198" i="5"/>
  <c r="M197" i="5"/>
  <c r="M195" i="5"/>
  <c r="M194" i="5"/>
  <c r="M193" i="5"/>
  <c r="M192" i="5"/>
  <c r="M190" i="5"/>
  <c r="M189" i="5"/>
  <c r="M188" i="5"/>
  <c r="M187" i="5"/>
  <c r="M186" i="5"/>
  <c r="M185" i="5"/>
  <c r="M184" i="5"/>
  <c r="M183" i="5"/>
  <c r="M181" i="5"/>
  <c r="M180" i="5"/>
  <c r="M179" i="5"/>
  <c r="M178" i="5"/>
  <c r="M177" i="5"/>
  <c r="M175" i="5"/>
  <c r="W175" i="5"/>
  <c r="X175" i="5" s="1"/>
  <c r="J175" i="5"/>
  <c r="H175" i="5"/>
  <c r="F175" i="5"/>
  <c r="E175" i="5"/>
  <c r="M174" i="5"/>
  <c r="W174" i="5"/>
  <c r="X174" i="5" s="1"/>
  <c r="J174" i="5"/>
  <c r="H174" i="5"/>
  <c r="F174" i="5"/>
  <c r="E174" i="5"/>
  <c r="M173" i="5"/>
  <c r="W173" i="5"/>
  <c r="X173" i="5" s="1"/>
  <c r="J173" i="5"/>
  <c r="H173" i="5"/>
  <c r="F173" i="5"/>
  <c r="E173" i="5"/>
  <c r="M172" i="5"/>
  <c r="W172" i="5"/>
  <c r="X172" i="5" s="1"/>
  <c r="J172" i="5"/>
  <c r="H172" i="5"/>
  <c r="F172" i="5"/>
  <c r="E172" i="5"/>
  <c r="M170" i="5"/>
  <c r="M169" i="5"/>
  <c r="M168" i="5"/>
  <c r="M167" i="5"/>
  <c r="M166" i="5"/>
  <c r="M164" i="5"/>
  <c r="M163" i="5"/>
  <c r="M162" i="5"/>
  <c r="M161" i="5"/>
  <c r="M159" i="5"/>
  <c r="M158" i="5"/>
  <c r="M157" i="5"/>
  <c r="M156" i="5"/>
  <c r="M154" i="5"/>
  <c r="M153" i="5"/>
  <c r="M152" i="5"/>
  <c r="M151" i="5"/>
  <c r="M149" i="5"/>
  <c r="M148" i="5"/>
  <c r="M147" i="5"/>
  <c r="M146" i="5"/>
  <c r="M143" i="5"/>
  <c r="M142" i="5"/>
  <c r="M141" i="5"/>
  <c r="M139" i="5"/>
  <c r="M138" i="5"/>
  <c r="M137" i="5"/>
  <c r="M125" i="5"/>
  <c r="M124" i="5"/>
  <c r="M123" i="5"/>
  <c r="M122" i="5"/>
  <c r="M118" i="5"/>
  <c r="M117" i="5"/>
  <c r="M113" i="5"/>
  <c r="M112" i="5"/>
  <c r="M110" i="5"/>
  <c r="M109" i="5"/>
  <c r="M108" i="5"/>
  <c r="M107" i="5"/>
  <c r="M103" i="5"/>
  <c r="M102" i="5"/>
  <c r="M97" i="5"/>
  <c r="M96" i="5"/>
  <c r="M92" i="5"/>
  <c r="M91" i="5"/>
  <c r="M90" i="5"/>
  <c r="M86" i="5"/>
  <c r="M85" i="5"/>
  <c r="M81" i="5"/>
  <c r="M80" i="5"/>
  <c r="M79" i="5"/>
  <c r="M75" i="5"/>
  <c r="M74" i="5"/>
  <c r="M73" i="5"/>
  <c r="M71" i="5"/>
  <c r="M70" i="5"/>
  <c r="M69" i="5"/>
  <c r="M66" i="5"/>
  <c r="M65" i="5"/>
  <c r="M64" i="5"/>
  <c r="M63" i="5"/>
  <c r="M61" i="5"/>
  <c r="M60" i="5"/>
  <c r="M59" i="5"/>
  <c r="M58" i="5"/>
  <c r="M56" i="5"/>
  <c r="M55" i="5"/>
  <c r="M54" i="5"/>
  <c r="M53" i="5"/>
  <c r="M52" i="5"/>
  <c r="M51" i="5"/>
  <c r="M48" i="5"/>
  <c r="M46" i="5"/>
  <c r="M45" i="5"/>
  <c r="M44" i="5"/>
  <c r="C44" i="5"/>
  <c r="M43" i="5"/>
  <c r="M42" i="5"/>
  <c r="M41" i="5"/>
  <c r="M39" i="5"/>
  <c r="M38" i="5"/>
  <c r="M37" i="5"/>
  <c r="M36" i="5"/>
  <c r="C16" i="5"/>
  <c r="B16" i="5"/>
  <c r="C15" i="5"/>
  <c r="C13" i="5"/>
  <c r="B12" i="5"/>
  <c r="C9" i="5"/>
  <c r="C6" i="5"/>
  <c r="C5" i="5"/>
  <c r="I122" i="4"/>
  <c r="C121" i="4"/>
  <c r="C120" i="4"/>
  <c r="B118" i="4"/>
  <c r="C118" i="4" s="1"/>
  <c r="B74" i="4"/>
  <c r="C77" i="4" s="1"/>
  <c r="B59" i="4"/>
  <c r="B56" i="4"/>
  <c r="I53" i="4"/>
  <c r="D53" i="4"/>
  <c r="C53" i="4"/>
  <c r="C48" i="4"/>
  <c r="B40" i="4"/>
  <c r="C39" i="4"/>
  <c r="C38" i="4"/>
  <c r="C37" i="4"/>
  <c r="I34" i="4"/>
  <c r="H34" i="4"/>
  <c r="H33" i="4"/>
  <c r="AY82" i="3"/>
  <c r="AX82" i="3"/>
  <c r="AW82" i="3"/>
  <c r="AV82" i="3"/>
  <c r="AU82" i="3"/>
  <c r="AT82" i="3"/>
  <c r="AS82" i="3"/>
  <c r="AR82" i="3"/>
  <c r="AQ82" i="3"/>
  <c r="AP82" i="3"/>
  <c r="AO82" i="3"/>
  <c r="AN82" i="3"/>
  <c r="AM82" i="3"/>
  <c r="AL82" i="3"/>
  <c r="AK82" i="3"/>
  <c r="AJ82" i="3"/>
  <c r="AH82" i="3"/>
  <c r="AG82" i="3"/>
  <c r="AF82" i="3"/>
  <c r="AD82" i="3"/>
  <c r="AC82" i="3"/>
  <c r="AB82" i="3"/>
  <c r="AA82" i="3"/>
  <c r="Z82" i="3"/>
  <c r="Y82" i="3"/>
  <c r="X82" i="3"/>
  <c r="V82" i="3"/>
  <c r="U82" i="3"/>
  <c r="T82" i="3"/>
  <c r="S82" i="3"/>
  <c r="Q82" i="3"/>
  <c r="P82" i="3"/>
  <c r="O82" i="3"/>
  <c r="N82" i="3"/>
  <c r="M82" i="3"/>
  <c r="L82" i="3"/>
  <c r="K82" i="3"/>
  <c r="J82" i="3"/>
  <c r="I82" i="3"/>
  <c r="H82" i="3"/>
  <c r="G82" i="3"/>
  <c r="F82" i="3"/>
  <c r="E82" i="3"/>
  <c r="D82" i="3"/>
  <c r="B82" i="3"/>
  <c r="A82" i="3"/>
  <c r="K44" i="5" l="1"/>
  <c r="I44" i="5"/>
  <c r="C200" i="13"/>
  <c r="C199" i="13"/>
  <c r="C87" i="15"/>
  <c r="C84" i="15"/>
  <c r="C83" i="15"/>
  <c r="C78" i="11"/>
  <c r="C16" i="19"/>
  <c r="C11" i="19"/>
  <c r="E559" i="5"/>
  <c r="C167" i="11"/>
  <c r="E558" i="5"/>
  <c r="E557" i="5"/>
  <c r="C27" i="9"/>
  <c r="C28" i="9" s="1"/>
  <c r="E60" i="4"/>
  <c r="C36" i="12"/>
  <c r="C56" i="11"/>
  <c r="C54" i="11"/>
  <c r="J44" i="5"/>
  <c r="BF80" i="3" a="1"/>
  <c r="BF76" i="3" a="1"/>
  <c r="BF76" i="3" s="1"/>
  <c r="BF72" i="3" a="1"/>
  <c r="BF68" i="3" a="1"/>
  <c r="BF64" i="3" a="1"/>
  <c r="BF56" i="3" a="1"/>
  <c r="BF56" i="3" s="1"/>
  <c r="BF52" i="3" a="1"/>
  <c r="BF44" i="3" a="1"/>
  <c r="BF44" i="3" s="1"/>
  <c r="BF24" i="3" a="1"/>
  <c r="BF79" i="3" a="1"/>
  <c r="BF79" i="3" s="1"/>
  <c r="BF75" i="3" a="1"/>
  <c r="BF71" i="3" a="1"/>
  <c r="BF67" i="3" a="1"/>
  <c r="BF63" i="3" a="1"/>
  <c r="BF63" i="3" s="1"/>
  <c r="BF59" i="3" a="1"/>
  <c r="BF55" i="3" a="1"/>
  <c r="BF51" i="3" a="1"/>
  <c r="BF47" i="3" a="1"/>
  <c r="BF43" i="3" a="1"/>
  <c r="BF39" i="3" a="1"/>
  <c r="BF35" i="3" a="1"/>
  <c r="BF31" i="3" a="1"/>
  <c r="BF27" i="3" a="1"/>
  <c r="BF23" i="3" a="1"/>
  <c r="BF23" i="3" s="1"/>
  <c r="BF19" i="3" a="1"/>
  <c r="BF15" i="3" a="1"/>
  <c r="BF11" i="3" a="1"/>
  <c r="BF40" i="3" a="1"/>
  <c r="BF20" i="3" a="1"/>
  <c r="BF42" i="3" a="1"/>
  <c r="BF26" i="3" a="1"/>
  <c r="BF18" i="3" a="1"/>
  <c r="BF18" i="3" s="1"/>
  <c r="BF28" i="3" a="1"/>
  <c r="BF78" i="3" a="1"/>
  <c r="BF74" i="3" a="1"/>
  <c r="BF70" i="3" a="1"/>
  <c r="BF66" i="3" a="1"/>
  <c r="BF62" i="3" a="1"/>
  <c r="BF62" i="3" s="1"/>
  <c r="BF58" i="3" a="1"/>
  <c r="BF54" i="3" a="1"/>
  <c r="BF54" i="3" s="1"/>
  <c r="BF50" i="3" a="1"/>
  <c r="BF46" i="3" a="1"/>
  <c r="BF38" i="3" a="1"/>
  <c r="BF34" i="3" a="1"/>
  <c r="BF30" i="3" a="1"/>
  <c r="BF22" i="3" a="1"/>
  <c r="BF14" i="3" a="1"/>
  <c r="BF10" i="3" a="1"/>
  <c r="BF10" i="3" s="1"/>
  <c r="BF32" i="3" a="1"/>
  <c r="BF16" i="3" a="1"/>
  <c r="BF16" i="3" s="1"/>
  <c r="BF77" i="3" a="1"/>
  <c r="BF73" i="3" a="1"/>
  <c r="BF69" i="3" a="1"/>
  <c r="BF65" i="3" a="1"/>
  <c r="BF65" i="3" s="1"/>
  <c r="BF61" i="3" a="1"/>
  <c r="BF57" i="3" a="1"/>
  <c r="BF53" i="3" a="1"/>
  <c r="BF49" i="3" a="1"/>
  <c r="BF45" i="3" a="1"/>
  <c r="BF41" i="3" a="1"/>
  <c r="BF37" i="3" a="1"/>
  <c r="BF33" i="3" a="1"/>
  <c r="BF29" i="3" a="1"/>
  <c r="BF25" i="3" a="1"/>
  <c r="BF25" i="3" s="1"/>
  <c r="BF21" i="3" a="1"/>
  <c r="BF17" i="3" a="1"/>
  <c r="BF17" i="3" s="1"/>
  <c r="BF13" i="3" a="1"/>
  <c r="BF60" i="3" a="1"/>
  <c r="BF48" i="3" a="1"/>
  <c r="BF36" i="3" a="1"/>
  <c r="BF12" i="3" a="1"/>
  <c r="BH80" i="3" a="1"/>
  <c r="BH80" i="3" s="1"/>
  <c r="BE80" i="3" s="1" a="1"/>
  <c r="BE80" i="3" s="1"/>
  <c r="BH76" i="3" a="1"/>
  <c r="BH72" i="3" a="1"/>
  <c r="BH68" i="3" a="1"/>
  <c r="BH64" i="3" a="1"/>
  <c r="BH60" i="3" a="1"/>
  <c r="BH56" i="3" a="1"/>
  <c r="BH56" i="3" s="1"/>
  <c r="BH52" i="3" a="1"/>
  <c r="BH48" i="3" a="1"/>
  <c r="BH44" i="3" a="1"/>
  <c r="BH40" i="3" a="1"/>
  <c r="BH36" i="3" a="1"/>
  <c r="BH32" i="3" a="1"/>
  <c r="BH28" i="3" a="1"/>
  <c r="BH24" i="3" a="1"/>
  <c r="BH20" i="3" a="1"/>
  <c r="BH16" i="3" a="1"/>
  <c r="BH16" i="3" s="1"/>
  <c r="BH12" i="3" a="1"/>
  <c r="BH75" i="3" a="1"/>
  <c r="BH75" i="3" s="1"/>
  <c r="BE75" i="3" s="1" a="1"/>
  <c r="BE75" i="3" s="1"/>
  <c r="BH55" i="3" a="1"/>
  <c r="BH43" i="3" a="1"/>
  <c r="BH43" i="3" s="1"/>
  <c r="BH23" i="3" a="1"/>
  <c r="BH49" i="3" a="1"/>
  <c r="BH49" i="3" s="1"/>
  <c r="BH29" i="3" a="1"/>
  <c r="BH17" i="3" a="1"/>
  <c r="BH17" i="3" s="1"/>
  <c r="BH71" i="3" a="1"/>
  <c r="BH47" i="3" a="1"/>
  <c r="BH47" i="3" s="1"/>
  <c r="BH27" i="3" a="1"/>
  <c r="BH78" i="3" a="1"/>
  <c r="BH74" i="3" a="1"/>
  <c r="BH70" i="3" a="1"/>
  <c r="BH70" i="3" s="1"/>
  <c r="BE70" i="3" s="1" a="1"/>
  <c r="BE70" i="3" s="1"/>
  <c r="BH66" i="3" a="1"/>
  <c r="BH62" i="3" a="1"/>
  <c r="BH62" i="3" s="1"/>
  <c r="BE62" i="3" s="1" a="1"/>
  <c r="BE62" i="3" s="1"/>
  <c r="BH58" i="3" a="1"/>
  <c r="BH54" i="3" a="1"/>
  <c r="BH54" i="3" s="1"/>
  <c r="BH50" i="3" a="1"/>
  <c r="BH46" i="3" a="1"/>
  <c r="BH46" i="3" s="1"/>
  <c r="BH42" i="3" a="1"/>
  <c r="BH38" i="3" a="1"/>
  <c r="BH38" i="3" s="1"/>
  <c r="BH34" i="3" a="1"/>
  <c r="BH30" i="3" a="1"/>
  <c r="BH30" i="3" s="1"/>
  <c r="BH26" i="3" a="1"/>
  <c r="BH22" i="3" a="1"/>
  <c r="BH22" i="3" s="1"/>
  <c r="BH18" i="3" a="1"/>
  <c r="BH14" i="3" a="1"/>
  <c r="BH10" i="3" a="1"/>
  <c r="BH77" i="3" a="1"/>
  <c r="BH77" i="3" s="1"/>
  <c r="BE77" i="3" s="1" a="1"/>
  <c r="BE77" i="3" s="1"/>
  <c r="BH69" i="3" a="1"/>
  <c r="BH61" i="3" a="1"/>
  <c r="BH61" i="3" s="1"/>
  <c r="BE61" i="3" s="1" a="1"/>
  <c r="BE61" i="3" s="1"/>
  <c r="BH53" i="3" a="1"/>
  <c r="BH41" i="3" a="1"/>
  <c r="BH41" i="3" s="1"/>
  <c r="BH33" i="3" a="1"/>
  <c r="BH21" i="3" a="1"/>
  <c r="BH9" i="3" a="1"/>
  <c r="BH79" i="3" a="1"/>
  <c r="BH79" i="3" s="1"/>
  <c r="BE79" i="3" s="1" a="1"/>
  <c r="BE79" i="3" s="1"/>
  <c r="BH51" i="3" a="1"/>
  <c r="BH31" i="3" a="1"/>
  <c r="BH31" i="3" s="1"/>
  <c r="BH11" i="3" a="1"/>
  <c r="BH73" i="3" a="1"/>
  <c r="BH73" i="3" s="1"/>
  <c r="BE73" i="3" s="1" a="1"/>
  <c r="BE73" i="3" s="1"/>
  <c r="BH65" i="3" a="1"/>
  <c r="BH57" i="3" a="1"/>
  <c r="BH45" i="3" a="1"/>
  <c r="BH45" i="3" s="1"/>
  <c r="BH37" i="3" a="1"/>
  <c r="BH25" i="3" a="1"/>
  <c r="BH13" i="3" a="1"/>
  <c r="BH13" i="3" s="1"/>
  <c r="BH67" i="3" a="1"/>
  <c r="BH67" i="3" s="1"/>
  <c r="BE67" i="3" s="1" a="1"/>
  <c r="BE67" i="3" s="1"/>
  <c r="BH59" i="3" a="1"/>
  <c r="BH59" i="3" s="1"/>
  <c r="BE59" i="3" s="1" a="1"/>
  <c r="BE59" i="3" s="1"/>
  <c r="BH39" i="3" a="1"/>
  <c r="BH39" i="3" s="1"/>
  <c r="BH19" i="3" a="1"/>
  <c r="BH63" i="3" a="1"/>
  <c r="BH35" i="3" a="1"/>
  <c r="BH35" i="3" s="1"/>
  <c r="BH15" i="3" a="1"/>
  <c r="H122" i="4"/>
  <c r="BH11" i="3"/>
  <c r="BH15" i="3"/>
  <c r="BH55" i="3"/>
  <c r="BH53" i="3"/>
  <c r="BH51" i="3"/>
  <c r="BH19" i="3"/>
  <c r="BH27" i="3"/>
  <c r="BH57" i="3"/>
  <c r="BE57" i="3" s="1" a="1"/>
  <c r="BE57" i="3" s="1"/>
  <c r="BH23" i="3"/>
  <c r="BH21" i="3"/>
  <c r="BH25" i="3"/>
  <c r="BH63" i="3"/>
  <c r="BE63" i="3" s="1" a="1"/>
  <c r="BE63" i="3" s="1"/>
  <c r="BH37" i="3"/>
  <c r="BH65" i="3"/>
  <c r="BE65" i="3" s="1" a="1"/>
  <c r="BE65" i="3" s="1"/>
  <c r="BH29" i="3"/>
  <c r="BH33" i="3"/>
  <c r="BH20" i="3"/>
  <c r="BH18" i="3"/>
  <c r="BH50" i="3"/>
  <c r="BF55" i="3"/>
  <c r="BF30" i="3"/>
  <c r="BF11" i="3"/>
  <c r="BF26" i="3"/>
  <c r="BH72" i="3"/>
  <c r="BE72" i="3" s="1" a="1"/>
  <c r="BE72" i="3" s="1"/>
  <c r="BF46" i="3"/>
  <c r="BH32" i="3"/>
  <c r="BF21" i="3"/>
  <c r="BH52" i="3"/>
  <c r="BF14" i="3"/>
  <c r="BH36" i="3"/>
  <c r="BF59" i="3"/>
  <c r="BF57" i="3"/>
  <c r="BF19" i="3"/>
  <c r="BH42" i="3"/>
  <c r="BF80" i="3"/>
  <c r="BF73" i="3"/>
  <c r="BF38" i="3"/>
  <c r="BF68" i="3"/>
  <c r="BF36" i="3"/>
  <c r="BF45" i="3"/>
  <c r="BF13" i="3"/>
  <c r="BF41" i="3"/>
  <c r="BH34" i="3"/>
  <c r="BH9" i="3"/>
  <c r="BF50" i="3"/>
  <c r="BF60" i="3"/>
  <c r="BF61" i="3"/>
  <c r="BH28" i="3"/>
  <c r="BH48" i="3"/>
  <c r="BF35" i="3"/>
  <c r="BF69" i="3"/>
  <c r="BF31" i="3"/>
  <c r="BH12" i="3"/>
  <c r="BF77" i="3"/>
  <c r="BF40" i="3"/>
  <c r="BH44" i="3"/>
  <c r="BF66" i="3"/>
  <c r="BF32" i="3"/>
  <c r="BF43" i="3"/>
  <c r="BF27" i="3"/>
  <c r="BF37" i="3"/>
  <c r="BF20" i="3"/>
  <c r="BH64" i="3"/>
  <c r="BE64" i="3" s="1" a="1"/>
  <c r="BE64" i="3" s="1"/>
  <c r="BF52" i="3"/>
  <c r="BF67" i="3"/>
  <c r="BH58" i="3"/>
  <c r="BE58" i="3" s="1" a="1"/>
  <c r="BE58" i="3" s="1"/>
  <c r="BF12" i="3"/>
  <c r="BF15" i="3"/>
  <c r="BF64" i="3"/>
  <c r="BH66" i="3"/>
  <c r="BE66" i="3" s="1" a="1"/>
  <c r="BE66" i="3" s="1"/>
  <c r="BH74" i="3"/>
  <c r="BE74" i="3" s="1" a="1"/>
  <c r="BE74" i="3" s="1"/>
  <c r="BF48" i="3"/>
  <c r="BF42" i="3"/>
  <c r="BF49" i="3"/>
  <c r="BH68" i="3"/>
  <c r="BE68" i="3" s="1" a="1"/>
  <c r="BE68" i="3" s="1"/>
  <c r="BF39" i="3"/>
  <c r="BH24" i="3"/>
  <c r="BF53" i="3"/>
  <c r="BH76" i="3"/>
  <c r="BE76" i="3" s="1" a="1"/>
  <c r="BE76" i="3" s="1"/>
  <c r="BF29" i="3"/>
  <c r="BF34" i="3"/>
  <c r="BH71" i="3"/>
  <c r="BE71" i="3" s="1" a="1"/>
  <c r="BE71" i="3" s="1"/>
  <c r="BF78" i="3"/>
  <c r="BH60" i="3"/>
  <c r="BE60" i="3" s="1" a="1"/>
  <c r="BE60" i="3" s="1"/>
  <c r="BH14" i="3"/>
  <c r="BH78" i="3"/>
  <c r="BE78" i="3" s="1" a="1"/>
  <c r="BE78" i="3" s="1"/>
  <c r="BF51" i="3"/>
  <c r="BH10" i="3"/>
  <c r="BF74" i="3"/>
  <c r="BH40" i="3"/>
  <c r="BF22" i="3"/>
  <c r="BF58" i="3"/>
  <c r="BF33" i="3"/>
  <c r="BH69" i="3"/>
  <c r="BE69" i="3" s="1" a="1"/>
  <c r="BE69" i="3" s="1"/>
  <c r="BH26" i="3"/>
  <c r="BF47" i="3"/>
  <c r="BF24" i="3"/>
  <c r="BF75" i="3"/>
  <c r="BF70" i="3"/>
  <c r="BF72" i="3"/>
  <c r="BF71" i="3"/>
  <c r="BF28" i="3"/>
  <c r="BE83" i="3" a="1"/>
  <c r="BE83" i="3" s="1"/>
  <c r="C21" i="19"/>
  <c r="C12" i="20"/>
  <c r="C13" i="20" s="1"/>
  <c r="C61" i="20"/>
  <c r="C63" i="20" s="1"/>
  <c r="H572" i="5"/>
  <c r="C8" i="9"/>
  <c r="C24" i="10" s="1"/>
  <c r="C37" i="11" s="1"/>
  <c r="C41" i="20"/>
  <c r="C42" i="20" s="1"/>
  <c r="C45" i="20" s="1"/>
  <c r="C9" i="9"/>
  <c r="C275" i="17"/>
  <c r="J439" i="5"/>
  <c r="C278" i="17"/>
  <c r="C314" i="17"/>
  <c r="J435" i="5"/>
  <c r="C121" i="17"/>
  <c r="H54" i="4"/>
  <c r="G140" i="4"/>
  <c r="C6" i="12"/>
  <c r="B49" i="4"/>
  <c r="C49" i="4" s="1"/>
  <c r="B50" i="4"/>
  <c r="C50" i="4" s="1"/>
  <c r="H573" i="5"/>
  <c r="C48" i="9"/>
  <c r="C83" i="4"/>
  <c r="E45" i="4"/>
  <c r="F605" i="5"/>
  <c r="H60" i="4"/>
  <c r="C8" i="5"/>
  <c r="G33" i="4"/>
  <c r="H61" i="4"/>
  <c r="H108" i="4"/>
  <c r="H109" i="4"/>
  <c r="B15" i="5"/>
  <c r="B122" i="4"/>
  <c r="C122" i="4" s="1"/>
  <c r="B89" i="4"/>
  <c r="C90" i="4" s="1"/>
  <c r="C56" i="9"/>
  <c r="C60" i="9" s="1"/>
  <c r="C61" i="9" s="1"/>
  <c r="C12" i="5"/>
  <c r="C25" i="9"/>
  <c r="C12" i="17" s="1"/>
  <c r="G45" i="4"/>
  <c r="C35" i="20"/>
  <c r="E44" i="4"/>
  <c r="H45" i="4"/>
  <c r="C26" i="9"/>
  <c r="C41" i="9"/>
  <c r="C8" i="10" s="1"/>
  <c r="C9" i="10" s="1"/>
  <c r="C11" i="13" s="1"/>
  <c r="H44" i="4"/>
  <c r="C34" i="20"/>
  <c r="G44" i="4" s="1"/>
  <c r="H571" i="5"/>
  <c r="D66" i="4"/>
  <c r="C76" i="4"/>
  <c r="C44" i="9"/>
  <c r="C66" i="4"/>
  <c r="E124" i="4"/>
  <c r="C605" i="5"/>
  <c r="H605" i="5"/>
  <c r="C6" i="13"/>
  <c r="B123" i="4" s="1"/>
  <c r="C123" i="4" s="1"/>
  <c r="C135" i="13"/>
  <c r="B119" i="4"/>
  <c r="C119" i="4" s="1"/>
  <c r="B121" i="4"/>
  <c r="C6" i="19"/>
  <c r="H574" i="5"/>
  <c r="C46" i="4"/>
  <c r="C35" i="4"/>
  <c r="C618" i="5"/>
  <c r="D35" i="4"/>
  <c r="C7" i="5"/>
  <c r="E42" i="5"/>
  <c r="G42" i="5"/>
  <c r="E41" i="5"/>
  <c r="C173" i="5"/>
  <c r="BF9" i="3" a="1"/>
  <c r="BF9" i="3" s="1"/>
  <c r="C78" i="4"/>
  <c r="J437" i="5"/>
  <c r="J441" i="5"/>
  <c r="C84" i="4"/>
  <c r="J436" i="5"/>
  <c r="J440" i="5"/>
  <c r="C6" i="21"/>
  <c r="C201" i="13"/>
  <c r="C12" i="10"/>
  <c r="C7" i="19"/>
  <c r="C141" i="17"/>
  <c r="C27" i="19"/>
  <c r="C386" i="5" s="1"/>
  <c r="D14" i="18"/>
  <c r="C138" i="17"/>
  <c r="C5" i="21"/>
  <c r="C517" i="5" s="1"/>
  <c r="C11" i="17"/>
  <c r="C102" i="17"/>
  <c r="C99" i="17"/>
  <c r="C297" i="17"/>
  <c r="C174" i="5"/>
  <c r="C175" i="5"/>
  <c r="D247" i="18"/>
  <c r="D214" i="18"/>
  <c r="D245" i="18"/>
  <c r="D215" i="18"/>
  <c r="D246" i="18"/>
  <c r="D216" i="18"/>
  <c r="D177" i="18"/>
  <c r="D175" i="18"/>
  <c r="D176" i="18"/>
  <c r="C298" i="17"/>
  <c r="C300" i="17" s="1"/>
  <c r="C91" i="17"/>
  <c r="C267" i="17"/>
  <c r="C107" i="17"/>
  <c r="C108" i="17" s="1"/>
  <c r="C283" i="17"/>
  <c r="C284" i="17" s="1"/>
  <c r="C93" i="17"/>
  <c r="C269" i="17"/>
  <c r="C122" i="17"/>
  <c r="C124" i="17" s="1"/>
  <c r="D134" i="18"/>
  <c r="D132" i="18"/>
  <c r="D133" i="18"/>
  <c r="D131" i="18"/>
  <c r="C71" i="19" l="1"/>
  <c r="C188" i="17" s="1"/>
  <c r="C97" i="19"/>
  <c r="C98" i="19"/>
  <c r="I386" i="5"/>
  <c r="G386" i="5"/>
  <c r="K386" i="5"/>
  <c r="G39" i="5"/>
  <c r="G38" i="5"/>
  <c r="G37" i="5"/>
  <c r="G36" i="5"/>
  <c r="C157" i="11"/>
  <c r="C18" i="5"/>
  <c r="I461" i="5"/>
  <c r="I456" i="5"/>
  <c r="I451" i="5"/>
  <c r="I447" i="5"/>
  <c r="I459" i="5"/>
  <c r="I445" i="5"/>
  <c r="I454" i="5"/>
  <c r="I460" i="5"/>
  <c r="I450" i="5"/>
  <c r="I446" i="5"/>
  <c r="I449" i="5"/>
  <c r="I457" i="5"/>
  <c r="I452" i="5"/>
  <c r="I448" i="5"/>
  <c r="I444" i="5"/>
  <c r="C38" i="11"/>
  <c r="D296" i="18" s="1"/>
  <c r="B124" i="4"/>
  <c r="H124" i="4" s="1"/>
  <c r="C13" i="11"/>
  <c r="C47" i="12" s="1"/>
  <c r="C271" i="5" s="1"/>
  <c r="C89" i="4"/>
  <c r="C91" i="4" s="1"/>
  <c r="H386" i="5"/>
  <c r="F386" i="5"/>
  <c r="C387" i="5"/>
  <c r="C64" i="20"/>
  <c r="C28" i="11"/>
  <c r="C22" i="19"/>
  <c r="C18" i="14" s="1"/>
  <c r="C577" i="5" s="1"/>
  <c r="C24" i="19"/>
  <c r="C46" i="19" s="1"/>
  <c r="B577" i="5" s="1"/>
  <c r="E577" i="5" s="1"/>
  <c r="C34" i="12"/>
  <c r="C236" i="5" s="1"/>
  <c r="C65" i="11"/>
  <c r="C66" i="11" s="1"/>
  <c r="C330" i="5"/>
  <c r="C78" i="14"/>
  <c r="C79" i="14" s="1"/>
  <c r="C80" i="14" s="1"/>
  <c r="C36" i="9"/>
  <c r="C68" i="20"/>
  <c r="C16" i="14"/>
  <c r="C573" i="5" s="1"/>
  <c r="C43" i="20"/>
  <c r="C170" i="17"/>
  <c r="C10" i="17"/>
  <c r="C139" i="17"/>
  <c r="C16" i="17"/>
  <c r="C78" i="17" s="1"/>
  <c r="C92" i="17" s="1"/>
  <c r="C94" i="17" s="1"/>
  <c r="C20" i="17" s="1"/>
  <c r="C186" i="17"/>
  <c r="C15" i="17"/>
  <c r="C346" i="17"/>
  <c r="C140" i="17"/>
  <c r="C15" i="19"/>
  <c r="C41" i="11" s="1"/>
  <c r="C169" i="17"/>
  <c r="C10" i="9"/>
  <c r="G34" i="4" s="1"/>
  <c r="C193" i="17"/>
  <c r="C263" i="17" s="1"/>
  <c r="C340" i="17"/>
  <c r="C341" i="17" s="1"/>
  <c r="C164" i="17"/>
  <c r="C165" i="17" s="1"/>
  <c r="C10" i="19"/>
  <c r="C12" i="19" s="1"/>
  <c r="C122" i="5" s="1"/>
  <c r="C143" i="19"/>
  <c r="C141" i="5" s="1"/>
  <c r="C132" i="17"/>
  <c r="C17" i="17"/>
  <c r="C87" i="17" s="1"/>
  <c r="C308" i="17"/>
  <c r="C316" i="17"/>
  <c r="C345" i="17"/>
  <c r="C192" i="17"/>
  <c r="C254" i="17" s="1"/>
  <c r="C268" i="17" s="1"/>
  <c r="C270" i="17" s="1"/>
  <c r="C196" i="17" s="1"/>
  <c r="C135" i="17"/>
  <c r="C142" i="17" s="1"/>
  <c r="C315" i="17"/>
  <c r="C311" i="17"/>
  <c r="C318" i="17" s="1"/>
  <c r="C64" i="9"/>
  <c r="C65" i="9" s="1"/>
  <c r="C69" i="9" s="1"/>
  <c r="G81" i="4" s="1"/>
  <c r="C191" i="17"/>
  <c r="C253" i="17" s="1"/>
  <c r="C264" i="17" s="1"/>
  <c r="C62" i="20"/>
  <c r="C17" i="14" s="1"/>
  <c r="C95" i="19"/>
  <c r="C87" i="14"/>
  <c r="C41" i="12"/>
  <c r="C51" i="4"/>
  <c r="D51" i="4" s="1"/>
  <c r="H51" i="4" s="1"/>
  <c r="C452" i="5"/>
  <c r="C25" i="12"/>
  <c r="C455" i="5"/>
  <c r="C449" i="5"/>
  <c r="C82" i="4"/>
  <c r="C50" i="12"/>
  <c r="C277" i="5" s="1"/>
  <c r="C445" i="5"/>
  <c r="G141" i="4"/>
  <c r="C102" i="19"/>
  <c r="C113" i="19"/>
  <c r="C114" i="19" s="1"/>
  <c r="E51" i="5" s="1"/>
  <c r="C90" i="19"/>
  <c r="C91" i="19" s="1"/>
  <c r="C106" i="19"/>
  <c r="C121" i="19"/>
  <c r="D27" i="18" s="1"/>
  <c r="C13" i="17"/>
  <c r="D8" i="18"/>
  <c r="D7" i="18"/>
  <c r="D10" i="18"/>
  <c r="E38" i="5"/>
  <c r="E36" i="5"/>
  <c r="H66" i="4"/>
  <c r="E39" i="5"/>
  <c r="C79" i="9"/>
  <c r="C29" i="9" s="1"/>
  <c r="D9" i="18"/>
  <c r="E37" i="5"/>
  <c r="H123" i="4"/>
  <c r="C7" i="13"/>
  <c r="C69" i="19"/>
  <c r="C72" i="19" s="1"/>
  <c r="C101" i="19"/>
  <c r="C110" i="19"/>
  <c r="C112" i="19" s="1"/>
  <c r="B93" i="4"/>
  <c r="C54" i="5"/>
  <c r="B104" i="4"/>
  <c r="D46" i="4"/>
  <c r="H46" i="4" s="1"/>
  <c r="H35" i="4"/>
  <c r="C103" i="11"/>
  <c r="C121" i="11"/>
  <c r="C17" i="10"/>
  <c r="D537" i="5"/>
  <c r="C640" i="5" s="1"/>
  <c r="C642" i="5" s="1"/>
  <c r="D533" i="5"/>
  <c r="D523" i="5"/>
  <c r="C16" i="10"/>
  <c r="C4" i="5"/>
  <c r="K460" i="5" s="1"/>
  <c r="C134" i="19"/>
  <c r="C136" i="19" s="1"/>
  <c r="C135" i="19"/>
  <c r="C137" i="19" s="1"/>
  <c r="C161" i="19" s="1"/>
  <c r="C162" i="19" s="1"/>
  <c r="D82" i="4"/>
  <c r="D83" i="4"/>
  <c r="H83" i="4" s="1"/>
  <c r="C32" i="17"/>
  <c r="E216" i="18"/>
  <c r="E214" i="18"/>
  <c r="E175" i="18"/>
  <c r="C208" i="17"/>
  <c r="K54" i="5" l="1"/>
  <c r="W54" i="5" s="1"/>
  <c r="I54" i="5"/>
  <c r="J54" i="5" s="1"/>
  <c r="G61" i="5"/>
  <c r="G60" i="5"/>
  <c r="G59" i="5"/>
  <c r="G58" i="5"/>
  <c r="G387" i="5"/>
  <c r="K387" i="5"/>
  <c r="I387" i="5"/>
  <c r="I462" i="5"/>
  <c r="K444" i="5"/>
  <c r="W444" i="5" s="1"/>
  <c r="K445" i="5"/>
  <c r="W445" i="5" s="1"/>
  <c r="K448" i="5"/>
  <c r="W448" i="5" s="1"/>
  <c r="K449" i="5"/>
  <c r="W449" i="5" s="1"/>
  <c r="K446" i="5"/>
  <c r="W446" i="5" s="1"/>
  <c r="K452" i="5"/>
  <c r="W452" i="5" s="1"/>
  <c r="K454" i="5"/>
  <c r="W454" i="5" s="1"/>
  <c r="K450" i="5"/>
  <c r="W450" i="5" s="1"/>
  <c r="K457" i="5"/>
  <c r="W457" i="5" s="1"/>
  <c r="K459" i="5"/>
  <c r="W459" i="5" s="1"/>
  <c r="K455" i="5"/>
  <c r="W455" i="5" s="1"/>
  <c r="K462" i="5"/>
  <c r="W462" i="5" s="1"/>
  <c r="K492" i="5"/>
  <c r="W492" i="5" s="1"/>
  <c r="K435" i="5"/>
  <c r="W435" i="5" s="1"/>
  <c r="X435" i="5" s="1"/>
  <c r="K440" i="5"/>
  <c r="W440" i="5" s="1"/>
  <c r="X440" i="5" s="1"/>
  <c r="K436" i="5"/>
  <c r="W436" i="5" s="1"/>
  <c r="X436" i="5" s="1"/>
  <c r="K430" i="5"/>
  <c r="W430" i="5" s="1"/>
  <c r="K439" i="5"/>
  <c r="W439" i="5" s="1"/>
  <c r="X439" i="5" s="1"/>
  <c r="K437" i="5"/>
  <c r="W437" i="5" s="1"/>
  <c r="X437" i="5" s="1"/>
  <c r="K438" i="5"/>
  <c r="W438" i="5" s="1"/>
  <c r="K431" i="5"/>
  <c r="W431" i="5" s="1"/>
  <c r="K48" i="5"/>
  <c r="W48" i="5" s="1"/>
  <c r="K441" i="5"/>
  <c r="W441" i="5" s="1"/>
  <c r="X441" i="5" s="1"/>
  <c r="K451" i="5"/>
  <c r="W451" i="5" s="1"/>
  <c r="K447" i="5"/>
  <c r="W447" i="5" s="1"/>
  <c r="K461" i="5"/>
  <c r="W461" i="5" s="1"/>
  <c r="I455" i="5"/>
  <c r="J455" i="5" s="1"/>
  <c r="K456" i="5"/>
  <c r="W456" i="5" s="1"/>
  <c r="M175" i="18"/>
  <c r="L175" i="18"/>
  <c r="H175" i="18"/>
  <c r="K175" i="18"/>
  <c r="G175" i="18"/>
  <c r="J175" i="18"/>
  <c r="P175" i="18"/>
  <c r="Q175" i="18"/>
  <c r="I175" i="18"/>
  <c r="O175" i="18"/>
  <c r="N175" i="18"/>
  <c r="F175" i="18"/>
  <c r="Q216" i="18"/>
  <c r="I216" i="18"/>
  <c r="P216" i="18"/>
  <c r="H216" i="18"/>
  <c r="K216" i="18"/>
  <c r="O216" i="18"/>
  <c r="G216" i="18"/>
  <c r="N216" i="18"/>
  <c r="F216" i="18"/>
  <c r="M216" i="18"/>
  <c r="L216" i="18"/>
  <c r="J216" i="18"/>
  <c r="Q214" i="18"/>
  <c r="I214" i="18"/>
  <c r="P214" i="18"/>
  <c r="H214" i="18"/>
  <c r="L214" i="18"/>
  <c r="O214" i="18"/>
  <c r="G214" i="18"/>
  <c r="K214" i="18"/>
  <c r="N214" i="18"/>
  <c r="F214" i="18"/>
  <c r="M214" i="18"/>
  <c r="J214" i="18"/>
  <c r="C135" i="11"/>
  <c r="K330" i="5"/>
  <c r="W330" i="5" s="1"/>
  <c r="G330" i="5"/>
  <c r="K277" i="5"/>
  <c r="I277" i="5"/>
  <c r="G277" i="5"/>
  <c r="G271" i="5"/>
  <c r="I271" i="5"/>
  <c r="C23" i="17"/>
  <c r="C26" i="17" s="1"/>
  <c r="C77" i="17"/>
  <c r="C88" i="17" s="1"/>
  <c r="C25" i="17"/>
  <c r="G573" i="5"/>
  <c r="H577" i="5"/>
  <c r="D35" i="18"/>
  <c r="C11" i="12"/>
  <c r="W460" i="5"/>
  <c r="H330" i="5"/>
  <c r="H141" i="5"/>
  <c r="C51" i="12"/>
  <c r="C280" i="5" s="1"/>
  <c r="H236" i="5"/>
  <c r="F277" i="5"/>
  <c r="C138" i="19"/>
  <c r="C139" i="19"/>
  <c r="C124" i="4"/>
  <c r="C125" i="4" s="1"/>
  <c r="D125" i="4" s="1"/>
  <c r="H125" i="4" s="1"/>
  <c r="G577" i="5"/>
  <c r="F271" i="5"/>
  <c r="H271" i="5"/>
  <c r="C29" i="11"/>
  <c r="K327" i="5" s="1"/>
  <c r="C132" i="5"/>
  <c r="C133" i="5"/>
  <c r="C163" i="19"/>
  <c r="C100" i="11" s="1"/>
  <c r="C164" i="19"/>
  <c r="C165" i="19" s="1"/>
  <c r="C166" i="19" s="1"/>
  <c r="C312" i="5"/>
  <c r="C69" i="14"/>
  <c r="C70" i="14" s="1"/>
  <c r="C71" i="14" s="1"/>
  <c r="C10" i="15" s="1"/>
  <c r="C27" i="12"/>
  <c r="C232" i="5" s="1"/>
  <c r="C14" i="11"/>
  <c r="C130" i="11" s="1"/>
  <c r="C149" i="19"/>
  <c r="D91" i="4"/>
  <c r="H91" i="4" s="1"/>
  <c r="C44" i="20"/>
  <c r="C24" i="11"/>
  <c r="H387" i="5"/>
  <c r="F387" i="5"/>
  <c r="C327" i="5"/>
  <c r="C237" i="5"/>
  <c r="C238" i="5"/>
  <c r="C28" i="19"/>
  <c r="C29" i="19" s="1"/>
  <c r="C147" i="11" s="1"/>
  <c r="C40" i="19"/>
  <c r="C77" i="11" s="1"/>
  <c r="C23" i="19"/>
  <c r="C39" i="19"/>
  <c r="E330" i="5"/>
  <c r="F330" i="5"/>
  <c r="C272" i="5"/>
  <c r="F236" i="5"/>
  <c r="C574" i="5"/>
  <c r="C48" i="20"/>
  <c r="C49" i="20" s="1"/>
  <c r="C145" i="11" s="1"/>
  <c r="C83" i="11"/>
  <c r="C71" i="11"/>
  <c r="C13" i="12" s="1"/>
  <c r="C35" i="12"/>
  <c r="C240" i="5" s="1"/>
  <c r="C5" i="11"/>
  <c r="C10" i="11" s="1"/>
  <c r="C11" i="11" s="1"/>
  <c r="C129" i="11" s="1"/>
  <c r="C42" i="11"/>
  <c r="D297" i="18" s="1"/>
  <c r="C331" i="5"/>
  <c r="C17" i="19"/>
  <c r="C18" i="19" s="1"/>
  <c r="G125" i="5" s="1"/>
  <c r="C144" i="17"/>
  <c r="C61" i="11"/>
  <c r="C62" i="11" s="1"/>
  <c r="C320" i="17"/>
  <c r="F141" i="5"/>
  <c r="C143" i="5"/>
  <c r="C322" i="17"/>
  <c r="C142" i="5"/>
  <c r="C146" i="17"/>
  <c r="C144" i="19"/>
  <c r="K141" i="5" s="1"/>
  <c r="C68" i="9"/>
  <c r="C70" i="9" s="1"/>
  <c r="C65" i="20"/>
  <c r="C100" i="20" s="1"/>
  <c r="C66" i="20"/>
  <c r="C124" i="5"/>
  <c r="C75" i="11"/>
  <c r="C76" i="11" s="1"/>
  <c r="C123" i="5"/>
  <c r="C13" i="19"/>
  <c r="C87" i="11" s="1"/>
  <c r="C14" i="19" s="1"/>
  <c r="C82" i="14" s="1"/>
  <c r="C83" i="14" s="1"/>
  <c r="C49" i="21" s="1"/>
  <c r="C50" i="21" s="1"/>
  <c r="J452" i="5"/>
  <c r="J445" i="5"/>
  <c r="J449" i="5"/>
  <c r="C74" i="19"/>
  <c r="C88" i="19"/>
  <c r="C73" i="19" s="1"/>
  <c r="C275" i="5"/>
  <c r="H82" i="4"/>
  <c r="C276" i="5"/>
  <c r="H277" i="5"/>
  <c r="C75" i="19"/>
  <c r="C103" i="19"/>
  <c r="C107" i="19" s="1"/>
  <c r="C27" i="17"/>
  <c r="C36" i="17"/>
  <c r="C67" i="17" s="1"/>
  <c r="C111" i="19"/>
  <c r="C326" i="5"/>
  <c r="C58" i="12"/>
  <c r="C303" i="5" s="1"/>
  <c r="C69" i="20"/>
  <c r="C73" i="11"/>
  <c r="C74" i="11" s="1"/>
  <c r="G52" i="5"/>
  <c r="E52" i="5"/>
  <c r="D26" i="18"/>
  <c r="D38" i="18"/>
  <c r="D36" i="18"/>
  <c r="E60" i="5"/>
  <c r="C30" i="9"/>
  <c r="C63" i="11"/>
  <c r="C64" i="11" s="1"/>
  <c r="C31" i="9"/>
  <c r="G63" i="4" s="1"/>
  <c r="C189" i="17"/>
  <c r="C203" i="17" s="1"/>
  <c r="G51" i="5"/>
  <c r="E108" i="4"/>
  <c r="C76" i="19"/>
  <c r="C83" i="19"/>
  <c r="C80" i="9"/>
  <c r="C82" i="9"/>
  <c r="C70" i="4" s="1"/>
  <c r="C125" i="13"/>
  <c r="D384" i="18" s="1"/>
  <c r="C124" i="13"/>
  <c r="C126" i="13"/>
  <c r="C105" i="13"/>
  <c r="E59" i="5"/>
  <c r="E61" i="5"/>
  <c r="D37" i="18"/>
  <c r="C115" i="19"/>
  <c r="C116" i="19" s="1"/>
  <c r="G99" i="4" s="1"/>
  <c r="E58" i="5"/>
  <c r="C97" i="4"/>
  <c r="C95" i="4"/>
  <c r="C101" i="4"/>
  <c r="C96" i="4"/>
  <c r="C102" i="4"/>
  <c r="C114" i="4"/>
  <c r="D114" i="4"/>
  <c r="C145" i="17"/>
  <c r="C156" i="17"/>
  <c r="E156" i="17" s="1"/>
  <c r="C321" i="17"/>
  <c r="C332" i="17"/>
  <c r="E332" i="17" s="1"/>
  <c r="C104" i="11"/>
  <c r="K433" i="5"/>
  <c r="W433" i="5" s="1"/>
  <c r="K434" i="5"/>
  <c r="W434" i="5" s="1"/>
  <c r="W44" i="5"/>
  <c r="X44" i="5" s="1"/>
  <c r="C459" i="5"/>
  <c r="J459" i="5" s="1"/>
  <c r="H122" i="5"/>
  <c r="F122" i="5"/>
  <c r="K495" i="5" l="1"/>
  <c r="W495" i="5" s="1"/>
  <c r="X495" i="5" s="1"/>
  <c r="G181" i="5"/>
  <c r="G177" i="5"/>
  <c r="K179" i="5"/>
  <c r="K181" i="5"/>
  <c r="K180" i="5"/>
  <c r="K177" i="5"/>
  <c r="G180" i="5"/>
  <c r="G179" i="5"/>
  <c r="K178" i="5"/>
  <c r="G178" i="5"/>
  <c r="G168" i="5"/>
  <c r="K167" i="5"/>
  <c r="G170" i="5"/>
  <c r="G167" i="5"/>
  <c r="K169" i="5"/>
  <c r="K170" i="5"/>
  <c r="K166" i="5"/>
  <c r="G166" i="5"/>
  <c r="G169" i="5"/>
  <c r="K168" i="5"/>
  <c r="G326" i="5"/>
  <c r="K142" i="5"/>
  <c r="W142" i="5" s="1"/>
  <c r="K143" i="5"/>
  <c r="W143" i="5" s="1"/>
  <c r="G122" i="5"/>
  <c r="C133" i="11"/>
  <c r="K301" i="5"/>
  <c r="W301" i="5" s="1"/>
  <c r="X301" i="5" s="1"/>
  <c r="G301" i="5"/>
  <c r="K220" i="5"/>
  <c r="W220" i="5" s="1"/>
  <c r="X220" i="5" s="1"/>
  <c r="K219" i="5"/>
  <c r="W219" i="5" s="1"/>
  <c r="K300" i="5"/>
  <c r="W300" i="5" s="1"/>
  <c r="G220" i="5"/>
  <c r="G300" i="5"/>
  <c r="K259" i="5"/>
  <c r="W259" i="5" s="1"/>
  <c r="X259" i="5" s="1"/>
  <c r="G219" i="5"/>
  <c r="G259" i="5"/>
  <c r="K258" i="5"/>
  <c r="W258" i="5" s="1"/>
  <c r="X258" i="5" s="1"/>
  <c r="G258" i="5"/>
  <c r="K272" i="5"/>
  <c r="W272" i="5" s="1"/>
  <c r="X272" i="5" s="1"/>
  <c r="G233" i="5"/>
  <c r="K232" i="5"/>
  <c r="W232" i="5" s="1"/>
  <c r="K233" i="5"/>
  <c r="W233" i="5" s="1"/>
  <c r="G232" i="5"/>
  <c r="K271" i="5"/>
  <c r="W271" i="5" s="1"/>
  <c r="X271" i="5" s="1"/>
  <c r="H280" i="5"/>
  <c r="G280" i="5"/>
  <c r="K276" i="5"/>
  <c r="I276" i="5"/>
  <c r="G276" i="5"/>
  <c r="I275" i="5"/>
  <c r="K275" i="5"/>
  <c r="G275" i="5"/>
  <c r="K331" i="5"/>
  <c r="W331" i="5" s="1"/>
  <c r="G331" i="5"/>
  <c r="G327" i="5"/>
  <c r="K326" i="5"/>
  <c r="W326" i="5" s="1"/>
  <c r="K324" i="5"/>
  <c r="W324" i="5" s="1"/>
  <c r="X324" i="5" s="1"/>
  <c r="K323" i="5"/>
  <c r="K321" i="5"/>
  <c r="K322" i="5"/>
  <c r="K312" i="5"/>
  <c r="W312" i="5" s="1"/>
  <c r="G312" i="5"/>
  <c r="I272" i="5"/>
  <c r="G272" i="5"/>
  <c r="K124" i="5"/>
  <c r="W124" i="5" s="1"/>
  <c r="G124" i="5"/>
  <c r="K123" i="5"/>
  <c r="W123" i="5" s="1"/>
  <c r="G123" i="5"/>
  <c r="K122" i="5"/>
  <c r="W122" i="5" s="1"/>
  <c r="K132" i="5"/>
  <c r="G132" i="5"/>
  <c r="G133" i="5"/>
  <c r="K133" i="5"/>
  <c r="C28" i="17"/>
  <c r="C54" i="17" s="1"/>
  <c r="T86" i="3" s="1"/>
  <c r="C57" i="17"/>
  <c r="C216" i="18"/>
  <c r="C122" i="11"/>
  <c r="E271" i="5"/>
  <c r="B574" i="5"/>
  <c r="E574" i="5" s="1"/>
  <c r="D129" i="18"/>
  <c r="D128" i="18"/>
  <c r="D126" i="18"/>
  <c r="D127" i="18"/>
  <c r="C279" i="5"/>
  <c r="C278" i="5"/>
  <c r="D207" i="18"/>
  <c r="D168" i="18"/>
  <c r="E232" i="5"/>
  <c r="D206" i="18"/>
  <c r="E206" i="18" s="1"/>
  <c r="D167" i="18"/>
  <c r="E167" i="18" s="1"/>
  <c r="E233" i="5"/>
  <c r="C10" i="12"/>
  <c r="D118" i="18"/>
  <c r="C179" i="19"/>
  <c r="D138" i="18"/>
  <c r="X54" i="5"/>
  <c r="F123" i="5"/>
  <c r="F142" i="5"/>
  <c r="H331" i="5"/>
  <c r="C25" i="11"/>
  <c r="H312" i="5"/>
  <c r="C15" i="12"/>
  <c r="C20" i="12" s="1"/>
  <c r="K280" i="5" s="1"/>
  <c r="H326" i="5"/>
  <c r="F124" i="5"/>
  <c r="H143" i="5"/>
  <c r="H238" i="5"/>
  <c r="H276" i="5"/>
  <c r="F240" i="5"/>
  <c r="F237" i="5"/>
  <c r="D262" i="18"/>
  <c r="F275" i="5"/>
  <c r="H327" i="5"/>
  <c r="F280" i="5"/>
  <c r="C333" i="17"/>
  <c r="C334" i="17" s="1"/>
  <c r="C335" i="17" s="1"/>
  <c r="E335" i="17" s="1"/>
  <c r="AH86" i="3" s="1"/>
  <c r="AG86" i="3"/>
  <c r="AF86" i="3"/>
  <c r="C157" i="17"/>
  <c r="C158" i="17" s="1"/>
  <c r="C159" i="17" s="1"/>
  <c r="E159" i="17" s="1"/>
  <c r="Z86" i="3" s="1"/>
  <c r="Y86" i="3"/>
  <c r="X86" i="3"/>
  <c r="C45" i="21"/>
  <c r="C46" i="21" s="1"/>
  <c r="F272" i="5"/>
  <c r="H272" i="5"/>
  <c r="E272" i="5"/>
  <c r="D344" i="18"/>
  <c r="C394" i="5"/>
  <c r="C393" i="5"/>
  <c r="C395" i="5"/>
  <c r="F312" i="5"/>
  <c r="E133" i="5"/>
  <c r="E132" i="5"/>
  <c r="D89" i="18"/>
  <c r="D88" i="18"/>
  <c r="C150" i="19"/>
  <c r="E312" i="5"/>
  <c r="C233" i="5"/>
  <c r="C588" i="5"/>
  <c r="H588" i="5" s="1"/>
  <c r="C311" i="5"/>
  <c r="C42" i="9"/>
  <c r="G65" i="4" s="1"/>
  <c r="C32" i="9"/>
  <c r="G130" i="4" s="1"/>
  <c r="C86" i="5"/>
  <c r="C85" i="5"/>
  <c r="C67" i="20"/>
  <c r="C143" i="20" s="1"/>
  <c r="C70" i="20"/>
  <c r="C95" i="11" s="1"/>
  <c r="C98" i="5"/>
  <c r="C30" i="19"/>
  <c r="C96" i="11" s="1"/>
  <c r="C50" i="20"/>
  <c r="C94" i="11" s="1"/>
  <c r="X452" i="5"/>
  <c r="C34" i="19"/>
  <c r="C35" i="19" s="1"/>
  <c r="C71" i="20"/>
  <c r="C72" i="20" s="1"/>
  <c r="C54" i="20"/>
  <c r="C55" i="20" s="1"/>
  <c r="C56" i="20" s="1"/>
  <c r="C74" i="20"/>
  <c r="C75" i="20" s="1"/>
  <c r="C76" i="20" s="1"/>
  <c r="C117" i="5"/>
  <c r="D95" i="18"/>
  <c r="X449" i="5"/>
  <c r="X445" i="5"/>
  <c r="X459" i="5"/>
  <c r="X455" i="5"/>
  <c r="F327" i="5"/>
  <c r="H237" i="5"/>
  <c r="C118" i="5"/>
  <c r="F238" i="5"/>
  <c r="C45" i="11"/>
  <c r="C25" i="19"/>
  <c r="D149" i="18"/>
  <c r="C38" i="19"/>
  <c r="C21" i="12"/>
  <c r="D150" i="18"/>
  <c r="D148" i="18"/>
  <c r="D147" i="18"/>
  <c r="D250" i="18"/>
  <c r="E258" i="5"/>
  <c r="D110" i="18"/>
  <c r="H240" i="5"/>
  <c r="E220" i="5"/>
  <c r="C239" i="5"/>
  <c r="C241" i="5"/>
  <c r="D112" i="18"/>
  <c r="D111" i="18"/>
  <c r="D211" i="18"/>
  <c r="E219" i="5"/>
  <c r="D172" i="18"/>
  <c r="E301" i="5"/>
  <c r="E300" i="5"/>
  <c r="D251" i="18"/>
  <c r="E259" i="5"/>
  <c r="D171" i="18"/>
  <c r="E171" i="18" s="1"/>
  <c r="D210" i="18"/>
  <c r="E210" i="18" s="1"/>
  <c r="D113" i="18"/>
  <c r="C125" i="5"/>
  <c r="K125" i="5" s="1"/>
  <c r="D261" i="18"/>
  <c r="G128" i="4"/>
  <c r="C142" i="4"/>
  <c r="H142" i="4" s="1"/>
  <c r="H143" i="4" s="1"/>
  <c r="D142" i="4"/>
  <c r="C65" i="14"/>
  <c r="C66" i="14" s="1"/>
  <c r="C67" i="14" s="1"/>
  <c r="C9" i="15" s="1"/>
  <c r="F331" i="5"/>
  <c r="E331" i="5"/>
  <c r="C46" i="20"/>
  <c r="C323" i="5"/>
  <c r="C321" i="5"/>
  <c r="C57" i="12"/>
  <c r="C322" i="5"/>
  <c r="C324" i="5"/>
  <c r="C96" i="5"/>
  <c r="C97" i="5"/>
  <c r="W141" i="5"/>
  <c r="F143" i="5"/>
  <c r="H142" i="5"/>
  <c r="C147" i="17"/>
  <c r="C323" i="17"/>
  <c r="D96" i="18"/>
  <c r="C102" i="11"/>
  <c r="C120" i="11" s="1"/>
  <c r="C128" i="11" s="1"/>
  <c r="E141" i="5"/>
  <c r="E142" i="5"/>
  <c r="D97" i="18"/>
  <c r="C146" i="19"/>
  <c r="C147" i="19" s="1"/>
  <c r="C402" i="5" s="1"/>
  <c r="E143" i="5"/>
  <c r="H124" i="5"/>
  <c r="E124" i="5"/>
  <c r="H123" i="5"/>
  <c r="C105" i="11"/>
  <c r="C126" i="11" s="1"/>
  <c r="D49" i="18"/>
  <c r="D47" i="18"/>
  <c r="E123" i="5"/>
  <c r="D48" i="18"/>
  <c r="E122" i="5"/>
  <c r="C84" i="14"/>
  <c r="C23" i="10"/>
  <c r="C33" i="11" s="1"/>
  <c r="C13" i="10"/>
  <c r="C16" i="11" s="1"/>
  <c r="H275" i="5"/>
  <c r="F276" i="5"/>
  <c r="C126" i="19"/>
  <c r="E327" i="5"/>
  <c r="W327" i="5"/>
  <c r="D276" i="18"/>
  <c r="D277" i="18"/>
  <c r="E326" i="5"/>
  <c r="F326" i="5"/>
  <c r="C102" i="5"/>
  <c r="C302" i="5"/>
  <c r="C103" i="5"/>
  <c r="C12" i="13"/>
  <c r="C13" i="13" s="1"/>
  <c r="C14" i="13" s="1"/>
  <c r="C134" i="13" s="1"/>
  <c r="C33" i="14"/>
  <c r="C199" i="17"/>
  <c r="C233" i="17" s="1"/>
  <c r="C37" i="9"/>
  <c r="C19" i="14"/>
  <c r="C15" i="13"/>
  <c r="C191" i="13" s="1"/>
  <c r="C25" i="13"/>
  <c r="C212" i="17"/>
  <c r="C243" i="17" s="1"/>
  <c r="D100" i="4"/>
  <c r="C69" i="4"/>
  <c r="D69" i="4"/>
  <c r="D70" i="4"/>
  <c r="H70" i="4" s="1"/>
  <c r="C124" i="19"/>
  <c r="C127" i="19"/>
  <c r="C125" i="19"/>
  <c r="H114" i="4"/>
  <c r="C78" i="19"/>
  <c r="C84" i="19" s="1"/>
  <c r="C77" i="19"/>
  <c r="C89" i="19" s="1"/>
  <c r="G113" i="4" s="1"/>
  <c r="C495" i="5"/>
  <c r="C499" i="5"/>
  <c r="C153" i="11"/>
  <c r="C120" i="19"/>
  <c r="C53" i="5" s="1"/>
  <c r="D101" i="4"/>
  <c r="H101" i="4" s="1"/>
  <c r="C51" i="5"/>
  <c r="C118" i="19"/>
  <c r="C119" i="19" s="1"/>
  <c r="C56" i="5" s="1"/>
  <c r="C117" i="19"/>
  <c r="C151" i="11"/>
  <c r="C52" i="5"/>
  <c r="K52" i="5" s="1"/>
  <c r="C100" i="4"/>
  <c r="C42" i="5"/>
  <c r="K42" i="5" s="1"/>
  <c r="D51" i="18"/>
  <c r="E125" i="5"/>
  <c r="C71" i="9"/>
  <c r="D85" i="4"/>
  <c r="G80" i="4"/>
  <c r="C72" i="9"/>
  <c r="C73" i="9" s="1"/>
  <c r="C46" i="5" s="1"/>
  <c r="C74" i="9"/>
  <c r="C43" i="5" s="1"/>
  <c r="C47" i="14"/>
  <c r="C41" i="5"/>
  <c r="C85" i="4"/>
  <c r="D84" i="4"/>
  <c r="H84" i="4" s="1"/>
  <c r="K51" i="5" l="1"/>
  <c r="W51" i="5" s="1"/>
  <c r="I51" i="5"/>
  <c r="K41" i="5"/>
  <c r="I41" i="5"/>
  <c r="K53" i="5"/>
  <c r="W53" i="5" s="1"/>
  <c r="I53" i="5"/>
  <c r="J53" i="5" s="1"/>
  <c r="K43" i="5"/>
  <c r="W43" i="5" s="1"/>
  <c r="I43" i="5"/>
  <c r="I46" i="5"/>
  <c r="K46" i="5"/>
  <c r="W46" i="5" s="1"/>
  <c r="I56" i="5"/>
  <c r="K56" i="5"/>
  <c r="W56" i="5" s="1"/>
  <c r="C137" i="13"/>
  <c r="C138" i="13" s="1"/>
  <c r="C140" i="13" s="1"/>
  <c r="C139" i="13" s="1"/>
  <c r="C142" i="13" s="1"/>
  <c r="K185" i="5"/>
  <c r="W185" i="5" s="1"/>
  <c r="K184" i="5"/>
  <c r="W184" i="5" s="1"/>
  <c r="G184" i="5"/>
  <c r="G186" i="5"/>
  <c r="G183" i="5"/>
  <c r="K183" i="5"/>
  <c r="W183" i="5" s="1"/>
  <c r="X183" i="5" s="1"/>
  <c r="K186" i="5"/>
  <c r="W186" i="5" s="1"/>
  <c r="X186" i="5" s="1"/>
  <c r="G185" i="5"/>
  <c r="M167" i="18"/>
  <c r="L167" i="18"/>
  <c r="H167" i="18"/>
  <c r="K167" i="18"/>
  <c r="O167" i="18"/>
  <c r="J167" i="18"/>
  <c r="G167" i="18"/>
  <c r="Q167" i="18"/>
  <c r="I167" i="18"/>
  <c r="P167" i="18"/>
  <c r="N167" i="18"/>
  <c r="F167" i="18"/>
  <c r="Q210" i="18"/>
  <c r="I210" i="18"/>
  <c r="P210" i="18"/>
  <c r="H210" i="18"/>
  <c r="O210" i="18"/>
  <c r="G210" i="18"/>
  <c r="N210" i="18"/>
  <c r="F210" i="18"/>
  <c r="L210" i="18"/>
  <c r="M210" i="18"/>
  <c r="K210" i="18"/>
  <c r="J210" i="18"/>
  <c r="M171" i="18"/>
  <c r="L171" i="18"/>
  <c r="P171" i="18"/>
  <c r="O171" i="18"/>
  <c r="K171" i="18"/>
  <c r="J171" i="18"/>
  <c r="Q171" i="18"/>
  <c r="I171" i="18"/>
  <c r="H171" i="18"/>
  <c r="G171" i="18"/>
  <c r="F171" i="18"/>
  <c r="N171" i="18"/>
  <c r="Q206" i="18"/>
  <c r="I206" i="18"/>
  <c r="P206" i="18"/>
  <c r="H206" i="18"/>
  <c r="K206" i="18"/>
  <c r="O206" i="18"/>
  <c r="G206" i="18"/>
  <c r="L206" i="18"/>
  <c r="N206" i="18"/>
  <c r="F206" i="18"/>
  <c r="M206" i="18"/>
  <c r="J206" i="18"/>
  <c r="G499" i="5"/>
  <c r="K499" i="5"/>
  <c r="W499" i="5" s="1"/>
  <c r="X499" i="5" s="1"/>
  <c r="I499" i="5"/>
  <c r="K274" i="5"/>
  <c r="W274" i="5" s="1"/>
  <c r="X274" i="5" s="1"/>
  <c r="G305" i="5"/>
  <c r="G235" i="5"/>
  <c r="K235" i="5"/>
  <c r="K304" i="5"/>
  <c r="W304" i="5" s="1"/>
  <c r="K234" i="5"/>
  <c r="W234" i="5" s="1"/>
  <c r="G304" i="5"/>
  <c r="G234" i="5"/>
  <c r="K273" i="5"/>
  <c r="W273" i="5" s="1"/>
  <c r="X273" i="5" s="1"/>
  <c r="G252" i="5"/>
  <c r="K212" i="5"/>
  <c r="W212" i="5" s="1"/>
  <c r="G212" i="5"/>
  <c r="G250" i="5"/>
  <c r="K211" i="5"/>
  <c r="W211" i="5" s="1"/>
  <c r="G211" i="5"/>
  <c r="K252" i="5"/>
  <c r="W252" i="5" s="1"/>
  <c r="X252" i="5" s="1"/>
  <c r="K213" i="5"/>
  <c r="W213" i="5" s="1"/>
  <c r="K251" i="5"/>
  <c r="W251" i="5" s="1"/>
  <c r="G213" i="5"/>
  <c r="G251" i="5"/>
  <c r="K250" i="5"/>
  <c r="W250" i="5" s="1"/>
  <c r="G278" i="5"/>
  <c r="K278" i="5"/>
  <c r="W278" i="5" s="1"/>
  <c r="X278" i="5" s="1"/>
  <c r="K279" i="5"/>
  <c r="W279" i="5" s="1"/>
  <c r="X279" i="5" s="1"/>
  <c r="G279" i="5"/>
  <c r="G322" i="5"/>
  <c r="I322" i="5"/>
  <c r="I321" i="5"/>
  <c r="G321" i="5"/>
  <c r="I324" i="5"/>
  <c r="G324" i="5"/>
  <c r="I323" i="5"/>
  <c r="G323" i="5"/>
  <c r="K334" i="5"/>
  <c r="W334" i="5" s="1"/>
  <c r="K333" i="5"/>
  <c r="W333" i="5" s="1"/>
  <c r="X333" i="5" s="1"/>
  <c r="K336" i="5"/>
  <c r="W336" i="5" s="1"/>
  <c r="X336" i="5" s="1"/>
  <c r="K335" i="5"/>
  <c r="W335" i="5" s="1"/>
  <c r="G311" i="5"/>
  <c r="K311" i="5"/>
  <c r="W311" i="5" s="1"/>
  <c r="W280" i="5"/>
  <c r="X280" i="5" s="1"/>
  <c r="G241" i="5"/>
  <c r="K240" i="5"/>
  <c r="W240" i="5" s="1"/>
  <c r="G240" i="5"/>
  <c r="G239" i="5"/>
  <c r="K239" i="5"/>
  <c r="W239" i="5" s="1"/>
  <c r="K241" i="5"/>
  <c r="W241" i="5" s="1"/>
  <c r="X241" i="5" s="1"/>
  <c r="K118" i="5"/>
  <c r="W118" i="5" s="1"/>
  <c r="I118" i="5"/>
  <c r="G118" i="5"/>
  <c r="G117" i="5"/>
  <c r="I117" i="5"/>
  <c r="K117" i="5"/>
  <c r="W117" i="5" s="1"/>
  <c r="G395" i="5"/>
  <c r="K395" i="5"/>
  <c r="I395" i="5"/>
  <c r="K85" i="5"/>
  <c r="W85" i="5" s="1"/>
  <c r="G85" i="5"/>
  <c r="K394" i="5"/>
  <c r="I394" i="5"/>
  <c r="G394" i="5"/>
  <c r="K393" i="5"/>
  <c r="I393" i="5"/>
  <c r="G393" i="5"/>
  <c r="K86" i="5"/>
  <c r="W86" i="5" s="1"/>
  <c r="G86" i="5"/>
  <c r="G102" i="5"/>
  <c r="K102" i="5"/>
  <c r="W102" i="5" s="1"/>
  <c r="K103" i="5"/>
  <c r="W103" i="5" s="1"/>
  <c r="G103" i="5"/>
  <c r="K97" i="5"/>
  <c r="W97" i="5" s="1"/>
  <c r="X97" i="5" s="1"/>
  <c r="I97" i="5"/>
  <c r="G97" i="5"/>
  <c r="G96" i="5"/>
  <c r="I96" i="5"/>
  <c r="K96" i="5"/>
  <c r="W96" i="5" s="1"/>
  <c r="X96" i="5" s="1"/>
  <c r="K98" i="5"/>
  <c r="W98" i="5" s="1"/>
  <c r="X98" i="5" s="1"/>
  <c r="I98" i="5"/>
  <c r="G98" i="5"/>
  <c r="E177" i="5"/>
  <c r="C9" i="12"/>
  <c r="E280" i="5"/>
  <c r="C63" i="12"/>
  <c r="D136" i="18"/>
  <c r="E179" i="5"/>
  <c r="E178" i="5"/>
  <c r="D140" i="18"/>
  <c r="E181" i="5"/>
  <c r="E180" i="5"/>
  <c r="D139" i="18"/>
  <c r="H278" i="5"/>
  <c r="F278" i="5"/>
  <c r="E278" i="5"/>
  <c r="E279" i="5"/>
  <c r="H279" i="5"/>
  <c r="F279" i="5"/>
  <c r="E169" i="5"/>
  <c r="C64" i="12"/>
  <c r="D117" i="18"/>
  <c r="W167" i="5"/>
  <c r="X167" i="5" s="1"/>
  <c r="W170" i="5"/>
  <c r="X170" i="5" s="1"/>
  <c r="W169" i="5"/>
  <c r="W168" i="5"/>
  <c r="W166" i="5"/>
  <c r="X166" i="5" s="1"/>
  <c r="E168" i="5"/>
  <c r="D115" i="18"/>
  <c r="W180" i="5"/>
  <c r="W181" i="5"/>
  <c r="X181" i="5" s="1"/>
  <c r="W179" i="5"/>
  <c r="W177" i="5"/>
  <c r="X177" i="5" s="1"/>
  <c r="W178" i="5"/>
  <c r="X178" i="5" s="1"/>
  <c r="E166" i="5"/>
  <c r="C59" i="19"/>
  <c r="C14" i="12"/>
  <c r="D123" i="18"/>
  <c r="D122" i="18"/>
  <c r="D116" i="18"/>
  <c r="D137" i="18"/>
  <c r="C133" i="20"/>
  <c r="E167" i="5"/>
  <c r="E170" i="5"/>
  <c r="D120" i="18"/>
  <c r="D124" i="18"/>
  <c r="D121" i="18"/>
  <c r="W42" i="5"/>
  <c r="J46" i="5"/>
  <c r="W52" i="5"/>
  <c r="J56" i="5"/>
  <c r="J51" i="5"/>
  <c r="J43" i="5"/>
  <c r="W41" i="5"/>
  <c r="J41" i="5"/>
  <c r="D189" i="18"/>
  <c r="D226" i="18"/>
  <c r="E226" i="18" s="1"/>
  <c r="D225" i="18"/>
  <c r="D187" i="18"/>
  <c r="E187" i="18" s="1"/>
  <c r="D188" i="18"/>
  <c r="D227" i="18"/>
  <c r="H118" i="5"/>
  <c r="H239" i="5"/>
  <c r="C46" i="11"/>
  <c r="D282" i="18" s="1"/>
  <c r="F402" i="5"/>
  <c r="H311" i="5"/>
  <c r="H117" i="5"/>
  <c r="W235" i="5"/>
  <c r="X235" i="5" s="1"/>
  <c r="H102" i="5"/>
  <c r="C313" i="5"/>
  <c r="C329" i="5"/>
  <c r="W125" i="5"/>
  <c r="G574" i="5"/>
  <c r="C159" i="13"/>
  <c r="BG67" i="3" a="1"/>
  <c r="BG67" i="3" s="1"/>
  <c r="BG20" i="3" a="1"/>
  <c r="BG20" i="3" s="1"/>
  <c r="BE20" i="3" s="1" a="1"/>
  <c r="BE20" i="3" s="1"/>
  <c r="BG72" i="3" a="1"/>
  <c r="BG72" i="3" s="1"/>
  <c r="BG24" i="3" a="1"/>
  <c r="BG24" i="3" s="1"/>
  <c r="BE24" i="3" s="1" a="1"/>
  <c r="BE24" i="3" s="1"/>
  <c r="BG22" i="3" a="1"/>
  <c r="BG22" i="3" s="1"/>
  <c r="BE22" i="3" s="1" a="1"/>
  <c r="BE22" i="3" s="1"/>
  <c r="BG69" i="3" a="1"/>
  <c r="BG69" i="3" s="1"/>
  <c r="BG43" i="3" a="1"/>
  <c r="BG43" i="3" s="1"/>
  <c r="BE43" i="3" s="1" a="1"/>
  <c r="BE43" i="3" s="1"/>
  <c r="BG41" i="3" a="1"/>
  <c r="BG41" i="3" s="1"/>
  <c r="BE41" i="3" s="1" a="1"/>
  <c r="BE41" i="3" s="1"/>
  <c r="BG17" i="3" a="1"/>
  <c r="BG17" i="3" s="1"/>
  <c r="BE17" i="3" s="1" a="1"/>
  <c r="BE17" i="3" s="1"/>
  <c r="BG46" i="3" a="1"/>
  <c r="BG46" i="3" s="1"/>
  <c r="BE46" i="3" s="1" a="1"/>
  <c r="BE46" i="3" s="1"/>
  <c r="BG66" i="3" a="1"/>
  <c r="BG66" i="3" s="1"/>
  <c r="BG47" i="3" a="1"/>
  <c r="BG47" i="3" s="1"/>
  <c r="BE47" i="3" s="1" a="1"/>
  <c r="BE47" i="3" s="1"/>
  <c r="BG45" i="3" a="1"/>
  <c r="BG45" i="3" s="1"/>
  <c r="BE45" i="3" s="1" a="1"/>
  <c r="BE45" i="3" s="1"/>
  <c r="BG18" i="3" a="1"/>
  <c r="BG18" i="3" s="1"/>
  <c r="BE18" i="3" s="1" a="1"/>
  <c r="BE18" i="3" s="1"/>
  <c r="BG71" i="3" a="1"/>
  <c r="BG71" i="3" s="1"/>
  <c r="BG19" i="3" a="1"/>
  <c r="BG19" i="3" s="1"/>
  <c r="BE19" i="3" s="1" a="1"/>
  <c r="BE19" i="3" s="1"/>
  <c r="BG68" i="3" a="1"/>
  <c r="BG68" i="3" s="1"/>
  <c r="BG42" i="3" a="1"/>
  <c r="BG42" i="3" s="1"/>
  <c r="BE42" i="3" s="1" a="1"/>
  <c r="BE42" i="3" s="1"/>
  <c r="BG23" i="3" a="1"/>
  <c r="BG23" i="3" s="1"/>
  <c r="BE23" i="3" s="1" a="1"/>
  <c r="BE23" i="3" s="1"/>
  <c r="BG21" i="3" a="1"/>
  <c r="BG21" i="3" s="1"/>
  <c r="BE21" i="3" s="1" a="1"/>
  <c r="BE21" i="3" s="1"/>
  <c r="BG48" i="3" a="1"/>
  <c r="BG48" i="3" s="1"/>
  <c r="BE48" i="3" s="1" a="1"/>
  <c r="BE48" i="3" s="1"/>
  <c r="BG44" i="3" a="1"/>
  <c r="BG44" i="3" s="1"/>
  <c r="BE44" i="3" s="1" a="1"/>
  <c r="BE44" i="3" s="1"/>
  <c r="BG70" i="3" a="1"/>
  <c r="BG70" i="3" s="1"/>
  <c r="BG65" i="3" a="1"/>
  <c r="BG65" i="3" s="1"/>
  <c r="D345" i="18"/>
  <c r="E395" i="5"/>
  <c r="E393" i="5"/>
  <c r="E394" i="5"/>
  <c r="C151" i="19"/>
  <c r="D285" i="18" s="1"/>
  <c r="C338" i="5"/>
  <c r="C339" i="5"/>
  <c r="C118" i="11"/>
  <c r="C149" i="11" s="1"/>
  <c r="C113" i="11"/>
  <c r="C146" i="11" s="1"/>
  <c r="F311" i="5"/>
  <c r="E311" i="5"/>
  <c r="G588" i="5"/>
  <c r="C11" i="5"/>
  <c r="F86" i="5"/>
  <c r="D78" i="18"/>
  <c r="E98" i="5"/>
  <c r="H98" i="5"/>
  <c r="F98" i="5"/>
  <c r="C47" i="20"/>
  <c r="D58" i="18" s="1"/>
  <c r="C26" i="19"/>
  <c r="C49" i="19" s="1"/>
  <c r="C153" i="20"/>
  <c r="H86" i="5"/>
  <c r="C36" i="19"/>
  <c r="D330" i="18" s="1"/>
  <c r="C384" i="5"/>
  <c r="C73" i="20"/>
  <c r="D318" i="18" s="1"/>
  <c r="C367" i="5"/>
  <c r="C51" i="20"/>
  <c r="C52" i="20" s="1"/>
  <c r="C53" i="20" s="1"/>
  <c r="C31" i="19"/>
  <c r="C32" i="19" s="1"/>
  <c r="C33" i="19" s="1"/>
  <c r="F117" i="5"/>
  <c r="C148" i="19"/>
  <c r="D353" i="18" s="1"/>
  <c r="E117" i="5"/>
  <c r="W386" i="5"/>
  <c r="E386" i="5"/>
  <c r="W387" i="5"/>
  <c r="X387" i="5" s="1"/>
  <c r="E387" i="5"/>
  <c r="D337" i="18"/>
  <c r="D79" i="18"/>
  <c r="F118" i="5"/>
  <c r="E118" i="5"/>
  <c r="C383" i="5"/>
  <c r="D254" i="18"/>
  <c r="E304" i="5"/>
  <c r="D229" i="18"/>
  <c r="E229" i="18" s="1"/>
  <c r="E235" i="5"/>
  <c r="D190" i="18"/>
  <c r="E190" i="18" s="1"/>
  <c r="E234" i="5"/>
  <c r="E305" i="5"/>
  <c r="D255" i="18"/>
  <c r="D230" i="18"/>
  <c r="D191" i="18"/>
  <c r="C113" i="5"/>
  <c r="C112" i="5"/>
  <c r="C382" i="5"/>
  <c r="D336" i="18"/>
  <c r="C52" i="12"/>
  <c r="C60" i="12"/>
  <c r="C334" i="5"/>
  <c r="C336" i="5"/>
  <c r="C335" i="5"/>
  <c r="C333" i="5"/>
  <c r="H241" i="5"/>
  <c r="F241" i="5"/>
  <c r="F239" i="5"/>
  <c r="C43" i="21"/>
  <c r="C44" i="21" s="1"/>
  <c r="C587" i="5"/>
  <c r="G587" i="5" s="1"/>
  <c r="C362" i="5"/>
  <c r="D73" i="18"/>
  <c r="D72" i="18"/>
  <c r="D71" i="18"/>
  <c r="D271" i="18"/>
  <c r="D272" i="18"/>
  <c r="D274" i="18"/>
  <c r="D273" i="18"/>
  <c r="W322" i="5"/>
  <c r="X322" i="5" s="1"/>
  <c r="C301" i="5"/>
  <c r="I301" i="5" s="1"/>
  <c r="C300" i="5"/>
  <c r="I300" i="5" s="1"/>
  <c r="H323" i="5"/>
  <c r="E323" i="5"/>
  <c r="F323" i="5"/>
  <c r="E97" i="5"/>
  <c r="H97" i="5"/>
  <c r="F97" i="5"/>
  <c r="F324" i="5"/>
  <c r="H324" i="5"/>
  <c r="E324" i="5"/>
  <c r="E321" i="5"/>
  <c r="H321" i="5"/>
  <c r="F321" i="5"/>
  <c r="F96" i="5"/>
  <c r="E96" i="5"/>
  <c r="H96" i="5"/>
  <c r="F322" i="5"/>
  <c r="E322" i="5"/>
  <c r="H322" i="5"/>
  <c r="D314" i="18"/>
  <c r="D313" i="18"/>
  <c r="W323" i="5"/>
  <c r="W321" i="5"/>
  <c r="X321" i="5" s="1"/>
  <c r="C79" i="5"/>
  <c r="C80" i="5"/>
  <c r="C81" i="5"/>
  <c r="H402" i="5"/>
  <c r="C403" i="5"/>
  <c r="C401" i="5"/>
  <c r="E86" i="5"/>
  <c r="E85" i="5"/>
  <c r="C49" i="12"/>
  <c r="C268" i="5" s="1"/>
  <c r="C33" i="12"/>
  <c r="C231" i="5" s="1"/>
  <c r="C14" i="10"/>
  <c r="C18" i="13" s="1"/>
  <c r="C39" i="13" s="1"/>
  <c r="C19" i="10"/>
  <c r="C34" i="11"/>
  <c r="D295" i="18" s="1"/>
  <c r="C67" i="11"/>
  <c r="C68" i="11" s="1"/>
  <c r="C85" i="14"/>
  <c r="C11" i="15" s="1"/>
  <c r="C73" i="14"/>
  <c r="C47" i="21" s="1"/>
  <c r="C48" i="21" s="1"/>
  <c r="C88" i="14"/>
  <c r="C51" i="21" s="1"/>
  <c r="C52" i="21" s="1"/>
  <c r="D62" i="18"/>
  <c r="C368" i="5"/>
  <c r="H85" i="5"/>
  <c r="D75" i="18"/>
  <c r="D76" i="18"/>
  <c r="F85" i="5"/>
  <c r="C91" i="11"/>
  <c r="C366" i="5"/>
  <c r="D61" i="18"/>
  <c r="E103" i="5"/>
  <c r="C19" i="12"/>
  <c r="C17" i="11"/>
  <c r="D263" i="18" s="1"/>
  <c r="G133" i="4"/>
  <c r="C59" i="12"/>
  <c r="C288" i="5" s="1"/>
  <c r="E102" i="5"/>
  <c r="F102" i="5"/>
  <c r="H103" i="5"/>
  <c r="F103" i="5"/>
  <c r="E250" i="5"/>
  <c r="D162" i="18"/>
  <c r="D202" i="18"/>
  <c r="E212" i="5"/>
  <c r="C33" i="9"/>
  <c r="D201" i="18"/>
  <c r="E252" i="5"/>
  <c r="E211" i="5"/>
  <c r="D163" i="18"/>
  <c r="D200" i="18"/>
  <c r="E200" i="18" s="1"/>
  <c r="D161" i="18"/>
  <c r="E161" i="18" s="1"/>
  <c r="E213" i="5"/>
  <c r="E251" i="5"/>
  <c r="C18" i="12"/>
  <c r="C38" i="9"/>
  <c r="C49" i="9" s="1"/>
  <c r="C68" i="4" s="1"/>
  <c r="C579" i="5"/>
  <c r="C55" i="5"/>
  <c r="H69" i="4"/>
  <c r="H100" i="4"/>
  <c r="D102" i="4" s="1"/>
  <c r="H102" i="4" s="1"/>
  <c r="C21" i="14"/>
  <c r="C581" i="5" s="1"/>
  <c r="G581" i="5" s="1"/>
  <c r="E186" i="5"/>
  <c r="E184" i="5"/>
  <c r="C144" i="13"/>
  <c r="C145" i="13" s="1"/>
  <c r="C151" i="13"/>
  <c r="E183" i="5"/>
  <c r="E185" i="5"/>
  <c r="D142" i="18"/>
  <c r="C141" i="13"/>
  <c r="C156" i="13"/>
  <c r="D144" i="18"/>
  <c r="D143" i="18"/>
  <c r="C147" i="13"/>
  <c r="C148" i="13" s="1"/>
  <c r="C188" i="5" s="1"/>
  <c r="I188" i="5" s="1"/>
  <c r="D145" i="18"/>
  <c r="C85" i="19"/>
  <c r="C96" i="19" s="1"/>
  <c r="C116" i="4" s="1"/>
  <c r="C79" i="19"/>
  <c r="C80" i="19" s="1"/>
  <c r="C22" i="14"/>
  <c r="C582" i="5" s="1"/>
  <c r="C20" i="14"/>
  <c r="C580" i="5" s="1"/>
  <c r="C19" i="13"/>
  <c r="C43" i="13" s="1"/>
  <c r="C44" i="13" s="1"/>
  <c r="C34" i="14"/>
  <c r="C23" i="14"/>
  <c r="E583" i="5" s="1"/>
  <c r="G111" i="4"/>
  <c r="J499" i="5"/>
  <c r="H499" i="5"/>
  <c r="F499" i="5"/>
  <c r="E499" i="5"/>
  <c r="F495" i="5"/>
  <c r="H495" i="5"/>
  <c r="H85" i="4"/>
  <c r="C45" i="5"/>
  <c r="C131" i="11" l="1"/>
  <c r="K107" i="5"/>
  <c r="W107" i="5" s="1"/>
  <c r="K45" i="5"/>
  <c r="I45" i="5"/>
  <c r="K55" i="5"/>
  <c r="W55" i="5" s="1"/>
  <c r="I55" i="5"/>
  <c r="J55" i="5" s="1"/>
  <c r="G338" i="5"/>
  <c r="M229" i="18"/>
  <c r="L229" i="18"/>
  <c r="K229" i="18"/>
  <c r="O229" i="18"/>
  <c r="J229" i="18"/>
  <c r="H229" i="18"/>
  <c r="G229" i="18"/>
  <c r="Q229" i="18"/>
  <c r="I229" i="18"/>
  <c r="P229" i="18"/>
  <c r="N229" i="18"/>
  <c r="F229" i="18"/>
  <c r="G148" i="5"/>
  <c r="K147" i="5"/>
  <c r="G147" i="5"/>
  <c r="G146" i="5"/>
  <c r="K146" i="5"/>
  <c r="K149" i="5"/>
  <c r="G149" i="5"/>
  <c r="K148" i="5"/>
  <c r="Q200" i="18"/>
  <c r="I200" i="18"/>
  <c r="P200" i="18"/>
  <c r="H200" i="18"/>
  <c r="O200" i="18"/>
  <c r="G200" i="18"/>
  <c r="L200" i="18"/>
  <c r="N200" i="18"/>
  <c r="F200" i="18"/>
  <c r="M200" i="18"/>
  <c r="K200" i="18"/>
  <c r="J200" i="18"/>
  <c r="M190" i="18"/>
  <c r="G190" i="18"/>
  <c r="L190" i="18"/>
  <c r="O190" i="18"/>
  <c r="K190" i="18"/>
  <c r="H190" i="18"/>
  <c r="J190" i="18"/>
  <c r="P190" i="18"/>
  <c r="Q190" i="18"/>
  <c r="I190" i="18"/>
  <c r="N190" i="18"/>
  <c r="F190" i="18"/>
  <c r="M161" i="18"/>
  <c r="L161" i="18"/>
  <c r="H161" i="18"/>
  <c r="G161" i="18"/>
  <c r="K161" i="18"/>
  <c r="P161" i="18"/>
  <c r="J161" i="18"/>
  <c r="Q161" i="18"/>
  <c r="I161" i="18"/>
  <c r="O161" i="18"/>
  <c r="N161" i="18"/>
  <c r="F161" i="18"/>
  <c r="Q187" i="18"/>
  <c r="I187" i="18"/>
  <c r="P187" i="18"/>
  <c r="H187" i="18"/>
  <c r="O187" i="18"/>
  <c r="G187" i="18"/>
  <c r="N187" i="18"/>
  <c r="F187" i="18"/>
  <c r="M187" i="18"/>
  <c r="L187" i="18"/>
  <c r="K187" i="18"/>
  <c r="J187" i="18"/>
  <c r="G339" i="5"/>
  <c r="Q226" i="18"/>
  <c r="I226" i="18"/>
  <c r="P226" i="18"/>
  <c r="H226" i="18"/>
  <c r="O226" i="18"/>
  <c r="G226" i="18"/>
  <c r="N226" i="18"/>
  <c r="F226" i="18"/>
  <c r="M226" i="18"/>
  <c r="L226" i="18"/>
  <c r="K226" i="18"/>
  <c r="J226" i="18"/>
  <c r="C134" i="11"/>
  <c r="C139" i="11" s="1"/>
  <c r="K424" i="5"/>
  <c r="W424" i="5" s="1"/>
  <c r="G424" i="5"/>
  <c r="K423" i="5"/>
  <c r="W423" i="5" s="1"/>
  <c r="X423" i="5" s="1"/>
  <c r="G423" i="5"/>
  <c r="K426" i="5"/>
  <c r="W426" i="5" s="1"/>
  <c r="G426" i="5"/>
  <c r="K425" i="5"/>
  <c r="W425" i="5" s="1"/>
  <c r="G425" i="5"/>
  <c r="G142" i="5"/>
  <c r="G141" i="5"/>
  <c r="G143" i="5"/>
  <c r="G302" i="5"/>
  <c r="G260" i="5"/>
  <c r="K221" i="5"/>
  <c r="W221" i="5" s="1"/>
  <c r="K305" i="5"/>
  <c r="W305" i="5" s="1"/>
  <c r="X305" i="5" s="1"/>
  <c r="G221" i="5"/>
  <c r="G303" i="5"/>
  <c r="K222" i="5"/>
  <c r="W222" i="5" s="1"/>
  <c r="G222" i="5"/>
  <c r="K303" i="5"/>
  <c r="W303" i="5" s="1"/>
  <c r="K261" i="5"/>
  <c r="W261" i="5" s="1"/>
  <c r="X261" i="5" s="1"/>
  <c r="G261" i="5"/>
  <c r="K302" i="5"/>
  <c r="W302" i="5" s="1"/>
  <c r="K260" i="5"/>
  <c r="W260" i="5" s="1"/>
  <c r="X260" i="5" s="1"/>
  <c r="D367" i="18"/>
  <c r="K415" i="5"/>
  <c r="W415" i="5" s="1"/>
  <c r="X415" i="5" s="1"/>
  <c r="K413" i="5"/>
  <c r="W413" i="5" s="1"/>
  <c r="X413" i="5" s="1"/>
  <c r="G413" i="5"/>
  <c r="K414" i="5"/>
  <c r="W414" i="5" s="1"/>
  <c r="X414" i="5" s="1"/>
  <c r="K416" i="5"/>
  <c r="W416" i="5" s="1"/>
  <c r="X416" i="5" s="1"/>
  <c r="G414" i="5"/>
  <c r="G416" i="5"/>
  <c r="G415" i="5"/>
  <c r="K236" i="5"/>
  <c r="W236" i="5" s="1"/>
  <c r="G236" i="5"/>
  <c r="K237" i="5"/>
  <c r="W237" i="5" s="1"/>
  <c r="G237" i="5"/>
  <c r="K238" i="5"/>
  <c r="W238" i="5" s="1"/>
  <c r="X238" i="5" s="1"/>
  <c r="G238" i="5"/>
  <c r="G293" i="5"/>
  <c r="G247" i="5"/>
  <c r="G292" i="5"/>
  <c r="K294" i="5"/>
  <c r="W294" i="5" s="1"/>
  <c r="G249" i="5"/>
  <c r="G294" i="5"/>
  <c r="G248" i="5"/>
  <c r="K249" i="5"/>
  <c r="W249" i="5" s="1"/>
  <c r="K248" i="5"/>
  <c r="W248" i="5" s="1"/>
  <c r="K293" i="5"/>
  <c r="W293" i="5" s="1"/>
  <c r="K247" i="5"/>
  <c r="W247" i="5" s="1"/>
  <c r="K292" i="5"/>
  <c r="W292" i="5" s="1"/>
  <c r="G410" i="5"/>
  <c r="K411" i="5"/>
  <c r="W411" i="5" s="1"/>
  <c r="K408" i="5"/>
  <c r="W408" i="5" s="1"/>
  <c r="G408" i="5"/>
  <c r="G411" i="5"/>
  <c r="K410" i="5"/>
  <c r="W410" i="5" s="1"/>
  <c r="K409" i="5"/>
  <c r="W409" i="5" s="1"/>
  <c r="G409" i="5"/>
  <c r="G231" i="5"/>
  <c r="K231" i="5"/>
  <c r="W231" i="5" s="1"/>
  <c r="H329" i="5"/>
  <c r="G329" i="5"/>
  <c r="K329" i="5"/>
  <c r="W329" i="5" s="1"/>
  <c r="K268" i="5"/>
  <c r="W268" i="5" s="1"/>
  <c r="X268" i="5" s="1"/>
  <c r="G268" i="5"/>
  <c r="K338" i="5"/>
  <c r="K339" i="5"/>
  <c r="G335" i="5"/>
  <c r="I335" i="5"/>
  <c r="I336" i="5"/>
  <c r="G336" i="5"/>
  <c r="I334" i="5"/>
  <c r="G334" i="5"/>
  <c r="I333" i="5"/>
  <c r="G333" i="5"/>
  <c r="F313" i="5"/>
  <c r="G313" i="5"/>
  <c r="K313" i="5"/>
  <c r="W313" i="5" s="1"/>
  <c r="K401" i="5"/>
  <c r="W401" i="5" s="1"/>
  <c r="X401" i="5" s="1"/>
  <c r="I401" i="5"/>
  <c r="J401" i="5" s="1"/>
  <c r="G401" i="5"/>
  <c r="K403" i="5"/>
  <c r="W403" i="5" s="1"/>
  <c r="G403" i="5"/>
  <c r="G402" i="5"/>
  <c r="K402" i="5"/>
  <c r="W402" i="5" s="1"/>
  <c r="G383" i="5"/>
  <c r="I383" i="5"/>
  <c r="K383" i="5"/>
  <c r="W383" i="5" s="1"/>
  <c r="X383" i="5" s="1"/>
  <c r="K384" i="5"/>
  <c r="W384" i="5" s="1"/>
  <c r="I384" i="5"/>
  <c r="G384" i="5"/>
  <c r="K382" i="5"/>
  <c r="W382" i="5" s="1"/>
  <c r="X382" i="5" s="1"/>
  <c r="I382" i="5"/>
  <c r="G382" i="5"/>
  <c r="K112" i="5"/>
  <c r="W112" i="5" s="1"/>
  <c r="I112" i="5"/>
  <c r="G112" i="5"/>
  <c r="G113" i="5"/>
  <c r="K113" i="5"/>
  <c r="W113" i="5" s="1"/>
  <c r="I113" i="5"/>
  <c r="G366" i="5"/>
  <c r="K366" i="5"/>
  <c r="W366" i="5" s="1"/>
  <c r="X366" i="5" s="1"/>
  <c r="I366" i="5"/>
  <c r="I367" i="5"/>
  <c r="K367" i="5"/>
  <c r="W367" i="5" s="1"/>
  <c r="G367" i="5"/>
  <c r="I368" i="5"/>
  <c r="G368" i="5"/>
  <c r="K368" i="5"/>
  <c r="W368" i="5" s="1"/>
  <c r="X368" i="5" s="1"/>
  <c r="I81" i="5"/>
  <c r="G81" i="5"/>
  <c r="K81" i="5"/>
  <c r="W81" i="5" s="1"/>
  <c r="X81" i="5" s="1"/>
  <c r="K80" i="5"/>
  <c r="W80" i="5" s="1"/>
  <c r="X80" i="5" s="1"/>
  <c r="I80" i="5"/>
  <c r="G80" i="5"/>
  <c r="I362" i="5"/>
  <c r="G362" i="5"/>
  <c r="K362" i="5"/>
  <c r="W362" i="5" s="1"/>
  <c r="X362" i="5" s="1"/>
  <c r="G79" i="5"/>
  <c r="K79" i="5"/>
  <c r="W79" i="5" s="1"/>
  <c r="I79" i="5"/>
  <c r="D197" i="18"/>
  <c r="E197" i="18" s="1"/>
  <c r="D199" i="18"/>
  <c r="E199" i="18" s="1"/>
  <c r="E202" i="18"/>
  <c r="E225" i="18"/>
  <c r="E292" i="5"/>
  <c r="D242" i="18"/>
  <c r="D198" i="18"/>
  <c r="E293" i="5"/>
  <c r="D243" i="18"/>
  <c r="E248" i="5"/>
  <c r="E249" i="5"/>
  <c r="E247" i="5"/>
  <c r="D244" i="18"/>
  <c r="E294" i="5"/>
  <c r="E411" i="5"/>
  <c r="D359" i="18"/>
  <c r="D361" i="18"/>
  <c r="W277" i="5"/>
  <c r="X277" i="5" s="1"/>
  <c r="W276" i="5"/>
  <c r="X276" i="5" s="1"/>
  <c r="W275" i="5"/>
  <c r="X275" i="5" s="1"/>
  <c r="D280" i="18"/>
  <c r="E408" i="5"/>
  <c r="D360" i="18"/>
  <c r="E409" i="5"/>
  <c r="D362" i="18"/>
  <c r="E410" i="5"/>
  <c r="C163" i="13"/>
  <c r="C503" i="5" s="1"/>
  <c r="D365" i="18"/>
  <c r="D366" i="18"/>
  <c r="D281" i="18"/>
  <c r="D279" i="18"/>
  <c r="E415" i="5"/>
  <c r="E416" i="5"/>
  <c r="E414" i="5"/>
  <c r="E413" i="5"/>
  <c r="D364" i="18"/>
  <c r="D252" i="18"/>
  <c r="E260" i="5"/>
  <c r="E302" i="5"/>
  <c r="C52" i="15"/>
  <c r="D174" i="18"/>
  <c r="D173" i="18"/>
  <c r="E173" i="18" s="1"/>
  <c r="E221" i="5"/>
  <c r="E222" i="5"/>
  <c r="D213" i="18"/>
  <c r="D212" i="18"/>
  <c r="E212" i="18" s="1"/>
  <c r="E261" i="5"/>
  <c r="E303" i="5"/>
  <c r="D253" i="18"/>
  <c r="D101" i="18"/>
  <c r="C107" i="5"/>
  <c r="F107" i="5" s="1"/>
  <c r="X53" i="5"/>
  <c r="F329" i="5"/>
  <c r="H313" i="5"/>
  <c r="W45" i="5"/>
  <c r="J45" i="5"/>
  <c r="X41" i="5"/>
  <c r="X43" i="5"/>
  <c r="F401" i="5"/>
  <c r="H403" i="5"/>
  <c r="F367" i="5"/>
  <c r="C40" i="13"/>
  <c r="F384" i="5"/>
  <c r="H368" i="5"/>
  <c r="H383" i="5"/>
  <c r="C161" i="13"/>
  <c r="D284" i="18"/>
  <c r="E339" i="5"/>
  <c r="E338" i="5"/>
  <c r="C184" i="19"/>
  <c r="C158" i="20"/>
  <c r="C180" i="19"/>
  <c r="C181" i="19" s="1"/>
  <c r="C182" i="19" s="1"/>
  <c r="C183" i="19" s="1"/>
  <c r="X46" i="5"/>
  <c r="C114" i="11"/>
  <c r="C64" i="19" s="1"/>
  <c r="C109" i="11"/>
  <c r="C39" i="5"/>
  <c r="K39" i="5" s="1"/>
  <c r="C29" i="12"/>
  <c r="C44" i="12"/>
  <c r="C112" i="11"/>
  <c r="C138" i="20"/>
  <c r="C123" i="20"/>
  <c r="H384" i="5"/>
  <c r="H367" i="5"/>
  <c r="X51" i="5"/>
  <c r="D329" i="18"/>
  <c r="C90" i="11"/>
  <c r="C81" i="9"/>
  <c r="C48" i="5" s="1"/>
  <c r="D57" i="18"/>
  <c r="D59" i="18"/>
  <c r="E384" i="5"/>
  <c r="X56" i="5"/>
  <c r="F383" i="5"/>
  <c r="E383" i="5"/>
  <c r="J382" i="5"/>
  <c r="F113" i="5"/>
  <c r="H113" i="5"/>
  <c r="E113" i="5"/>
  <c r="F335" i="5"/>
  <c r="H335" i="5"/>
  <c r="E335" i="5"/>
  <c r="F334" i="5"/>
  <c r="E334" i="5"/>
  <c r="H334" i="5"/>
  <c r="H382" i="5"/>
  <c r="H336" i="5"/>
  <c r="E336" i="5"/>
  <c r="F336" i="5"/>
  <c r="C234" i="5"/>
  <c r="I234" i="5" s="1"/>
  <c r="C235" i="5"/>
  <c r="I235" i="5" s="1"/>
  <c r="D64" i="18"/>
  <c r="C92" i="11"/>
  <c r="D65" i="18"/>
  <c r="H112" i="5"/>
  <c r="E112" i="5"/>
  <c r="F112" i="5"/>
  <c r="C273" i="5"/>
  <c r="C274" i="5"/>
  <c r="E382" i="5"/>
  <c r="F382" i="5"/>
  <c r="E333" i="5"/>
  <c r="F333" i="5"/>
  <c r="H333" i="5"/>
  <c r="C304" i="5"/>
  <c r="I304" i="5" s="1"/>
  <c r="C305" i="5"/>
  <c r="I305" i="5" s="1"/>
  <c r="C26" i="13"/>
  <c r="D116" i="4"/>
  <c r="H116" i="4" s="1"/>
  <c r="C363" i="5"/>
  <c r="D352" i="18"/>
  <c r="C364" i="5"/>
  <c r="H587" i="5"/>
  <c r="D310" i="18"/>
  <c r="H81" i="5"/>
  <c r="E81" i="5"/>
  <c r="F81" i="5"/>
  <c r="C358" i="5"/>
  <c r="C360" i="5"/>
  <c r="C359" i="5"/>
  <c r="H79" i="5"/>
  <c r="F79" i="5"/>
  <c r="E79" i="5"/>
  <c r="H80" i="5"/>
  <c r="F80" i="5"/>
  <c r="E80" i="5"/>
  <c r="F362" i="5"/>
  <c r="E362" i="5"/>
  <c r="H362" i="5"/>
  <c r="J362" i="5"/>
  <c r="E401" i="5"/>
  <c r="E403" i="5"/>
  <c r="F403" i="5"/>
  <c r="H401" i="5"/>
  <c r="E402" i="5"/>
  <c r="H579" i="5"/>
  <c r="C372" i="5"/>
  <c r="C109" i="5"/>
  <c r="C22" i="13"/>
  <c r="C27" i="13" s="1"/>
  <c r="C110" i="5"/>
  <c r="C108" i="5"/>
  <c r="D317" i="18"/>
  <c r="E367" i="5"/>
  <c r="E329" i="5"/>
  <c r="C270" i="5"/>
  <c r="C269" i="5"/>
  <c r="C230" i="5"/>
  <c r="C229" i="5"/>
  <c r="C20" i="10"/>
  <c r="C71" i="5"/>
  <c r="C69" i="12"/>
  <c r="C428" i="5" s="1"/>
  <c r="C70" i="5"/>
  <c r="G134" i="4"/>
  <c r="C69" i="5"/>
  <c r="F368" i="5"/>
  <c r="E368" i="5"/>
  <c r="E313" i="5"/>
  <c r="D181" i="18"/>
  <c r="E181" i="18" s="1"/>
  <c r="E275" i="5"/>
  <c r="E276" i="5"/>
  <c r="E277" i="5"/>
  <c r="E239" i="5"/>
  <c r="H366" i="5"/>
  <c r="J366" i="5"/>
  <c r="E366" i="5"/>
  <c r="F366" i="5"/>
  <c r="D186" i="18"/>
  <c r="D223" i="18"/>
  <c r="D184" i="18"/>
  <c r="D222" i="18"/>
  <c r="E236" i="5"/>
  <c r="D224" i="18"/>
  <c r="D185" i="18"/>
  <c r="E238" i="5"/>
  <c r="E237" i="5"/>
  <c r="C286" i="5"/>
  <c r="C287" i="5"/>
  <c r="D221" i="18"/>
  <c r="E240" i="5"/>
  <c r="D183" i="18"/>
  <c r="C38" i="5"/>
  <c r="K38" i="5" s="1"/>
  <c r="C10" i="5"/>
  <c r="D182" i="18"/>
  <c r="D228" i="18"/>
  <c r="D68" i="4"/>
  <c r="H68" i="4" s="1"/>
  <c r="D220" i="18"/>
  <c r="E220" i="18" s="1"/>
  <c r="E241" i="5"/>
  <c r="H72" i="4"/>
  <c r="C36" i="5"/>
  <c r="K36" i="5" s="1"/>
  <c r="C124" i="11"/>
  <c r="C68" i="12"/>
  <c r="C427" i="5" s="1"/>
  <c r="C37" i="5"/>
  <c r="K37" i="5" s="1"/>
  <c r="C72" i="12"/>
  <c r="C430" i="5" s="1"/>
  <c r="J430" i="5" s="1"/>
  <c r="X430" i="5" s="1"/>
  <c r="C66" i="12"/>
  <c r="C123" i="11"/>
  <c r="C45" i="12"/>
  <c r="C261" i="5" s="1"/>
  <c r="I261" i="5" s="1"/>
  <c r="C73" i="12"/>
  <c r="C431" i="5" s="1"/>
  <c r="J431" i="5" s="1"/>
  <c r="X431" i="5" s="1"/>
  <c r="C30" i="12"/>
  <c r="D71" i="4"/>
  <c r="C71" i="4"/>
  <c r="G64" i="4"/>
  <c r="H581" i="5"/>
  <c r="C57" i="13"/>
  <c r="C178" i="13" s="1"/>
  <c r="C24" i="14" s="1"/>
  <c r="C45" i="13"/>
  <c r="C46" i="13" s="1"/>
  <c r="C47" i="13" s="1"/>
  <c r="C50" i="13" s="1"/>
  <c r="D376" i="18"/>
  <c r="D377" i="18"/>
  <c r="E424" i="5"/>
  <c r="C143" i="13"/>
  <c r="E423" i="5"/>
  <c r="D374" i="18"/>
  <c r="D375" i="18"/>
  <c r="E426" i="5"/>
  <c r="E425" i="5"/>
  <c r="D240" i="18"/>
  <c r="D178" i="18"/>
  <c r="E178" i="18" s="1"/>
  <c r="D179" i="18"/>
  <c r="D217" i="18"/>
  <c r="E217" i="18" s="1"/>
  <c r="D241" i="18"/>
  <c r="D218" i="18"/>
  <c r="D180" i="18"/>
  <c r="D219" i="18"/>
  <c r="K188" i="5"/>
  <c r="W188" i="5" s="1"/>
  <c r="J188" i="5"/>
  <c r="D239" i="18"/>
  <c r="C58" i="5"/>
  <c r="K58" i="5" s="1"/>
  <c r="C59" i="5"/>
  <c r="K59" i="5" s="1"/>
  <c r="C60" i="5"/>
  <c r="K60" i="5" s="1"/>
  <c r="C61" i="5"/>
  <c r="K61" i="5" s="1"/>
  <c r="C155" i="11"/>
  <c r="C154" i="11"/>
  <c r="G112" i="4"/>
  <c r="C31" i="12"/>
  <c r="C42" i="12"/>
  <c r="C130" i="19"/>
  <c r="I65" i="5" s="1"/>
  <c r="K65" i="5" s="1"/>
  <c r="C128" i="19"/>
  <c r="I64" i="5" s="1"/>
  <c r="K64" i="5" s="1"/>
  <c r="C129" i="19"/>
  <c r="I63" i="5" s="1"/>
  <c r="K63" i="5" s="1"/>
  <c r="C77" i="12"/>
  <c r="C26" i="12"/>
  <c r="C46" i="12"/>
  <c r="C131" i="19"/>
  <c r="I66" i="5" s="1"/>
  <c r="K66" i="5" s="1"/>
  <c r="C71" i="12"/>
  <c r="C20" i="13"/>
  <c r="C21" i="13" s="1"/>
  <c r="H580" i="5"/>
  <c r="G580" i="5"/>
  <c r="C583" i="5"/>
  <c r="G582" i="5"/>
  <c r="H582" i="5"/>
  <c r="C74" i="14"/>
  <c r="C75" i="14" s="1"/>
  <c r="C589" i="5" s="1"/>
  <c r="C89" i="14"/>
  <c r="C90" i="14" s="1"/>
  <c r="C591" i="5" s="1"/>
  <c r="G591" i="5" s="1"/>
  <c r="C48" i="14"/>
  <c r="H268" i="5"/>
  <c r="E268" i="5"/>
  <c r="F268" i="5"/>
  <c r="D321" i="18"/>
  <c r="D322" i="18"/>
  <c r="F231" i="5"/>
  <c r="E231" i="5"/>
  <c r="H231" i="5"/>
  <c r="H288" i="5"/>
  <c r="F288" i="5"/>
  <c r="K503" i="5" l="1"/>
  <c r="W503" i="5" s="1"/>
  <c r="X503" i="5" s="1"/>
  <c r="K427" i="5"/>
  <c r="W427" i="5" s="1"/>
  <c r="I427" i="5"/>
  <c r="J427" i="5" s="1"/>
  <c r="M181" i="18"/>
  <c r="L181" i="18"/>
  <c r="K181" i="18"/>
  <c r="H181" i="18"/>
  <c r="J181" i="18"/>
  <c r="P181" i="18"/>
  <c r="G181" i="18"/>
  <c r="Q181" i="18"/>
  <c r="I181" i="18"/>
  <c r="O181" i="18"/>
  <c r="F181" i="18"/>
  <c r="N181" i="18"/>
  <c r="M173" i="18"/>
  <c r="O173" i="18"/>
  <c r="L173" i="18"/>
  <c r="K173" i="18"/>
  <c r="P173" i="18"/>
  <c r="J173" i="18"/>
  <c r="H173" i="18"/>
  <c r="G173" i="18"/>
  <c r="Q173" i="18"/>
  <c r="I173" i="18"/>
  <c r="N173" i="18"/>
  <c r="F173" i="18"/>
  <c r="M199" i="18"/>
  <c r="G199" i="18"/>
  <c r="L199" i="18"/>
  <c r="P199" i="18"/>
  <c r="K199" i="18"/>
  <c r="O199" i="18"/>
  <c r="J199" i="18"/>
  <c r="Q199" i="18"/>
  <c r="I199" i="18"/>
  <c r="H199" i="18"/>
  <c r="F199" i="18"/>
  <c r="N199" i="18"/>
  <c r="Q220" i="18"/>
  <c r="I220" i="18"/>
  <c r="P220" i="18"/>
  <c r="H220" i="18"/>
  <c r="O220" i="18"/>
  <c r="G220" i="18"/>
  <c r="L220" i="18"/>
  <c r="N220" i="18"/>
  <c r="F220" i="18"/>
  <c r="M220" i="18"/>
  <c r="K220" i="18"/>
  <c r="J220" i="18"/>
  <c r="M197" i="18"/>
  <c r="L197" i="18"/>
  <c r="G197" i="18"/>
  <c r="K197" i="18"/>
  <c r="H197" i="18"/>
  <c r="J197" i="18"/>
  <c r="O197" i="18"/>
  <c r="Q197" i="18"/>
  <c r="I197" i="18"/>
  <c r="P197" i="18"/>
  <c r="N197" i="18"/>
  <c r="F197" i="18"/>
  <c r="Q178" i="18"/>
  <c r="I178" i="18"/>
  <c r="K178" i="18"/>
  <c r="P178" i="18"/>
  <c r="H178" i="18"/>
  <c r="O178" i="18"/>
  <c r="G178" i="18"/>
  <c r="N178" i="18"/>
  <c r="F178" i="18"/>
  <c r="M178" i="18"/>
  <c r="L178" i="18"/>
  <c r="J178" i="18"/>
  <c r="M217" i="18"/>
  <c r="L217" i="18"/>
  <c r="H217" i="18"/>
  <c r="K217" i="18"/>
  <c r="P217" i="18"/>
  <c r="J217" i="18"/>
  <c r="O217" i="18"/>
  <c r="Q217" i="18"/>
  <c r="I217" i="18"/>
  <c r="G217" i="18"/>
  <c r="N217" i="18"/>
  <c r="F217" i="18"/>
  <c r="Q212" i="18"/>
  <c r="I212" i="18"/>
  <c r="P212" i="18"/>
  <c r="H212" i="18"/>
  <c r="K212" i="18"/>
  <c r="O212" i="18"/>
  <c r="G212" i="18"/>
  <c r="N212" i="18"/>
  <c r="F212" i="18"/>
  <c r="M212" i="18"/>
  <c r="L212" i="18"/>
  <c r="J212" i="18"/>
  <c r="Q202" i="18"/>
  <c r="I202" i="18"/>
  <c r="P202" i="18"/>
  <c r="H202" i="18"/>
  <c r="O202" i="18"/>
  <c r="G202" i="18"/>
  <c r="N202" i="18"/>
  <c r="F202" i="18"/>
  <c r="L202" i="18"/>
  <c r="K202" i="18"/>
  <c r="M202" i="18"/>
  <c r="J202" i="18"/>
  <c r="C68" i="15"/>
  <c r="C54" i="15"/>
  <c r="C55" i="15" s="1"/>
  <c r="C57" i="15" s="1"/>
  <c r="C56" i="15" s="1"/>
  <c r="C59" i="15" s="1"/>
  <c r="M225" i="18"/>
  <c r="L225" i="18"/>
  <c r="K225" i="18"/>
  <c r="J225" i="18"/>
  <c r="Q225" i="18"/>
  <c r="I225" i="18"/>
  <c r="P225" i="18"/>
  <c r="H225" i="18"/>
  <c r="O225" i="18"/>
  <c r="G225" i="18"/>
  <c r="N225" i="18"/>
  <c r="F225" i="18"/>
  <c r="G108" i="5"/>
  <c r="G109" i="5"/>
  <c r="K108" i="5"/>
  <c r="W108" i="5" s="1"/>
  <c r="K109" i="5"/>
  <c r="W109" i="5" s="1"/>
  <c r="G110" i="5"/>
  <c r="K110" i="5"/>
  <c r="W110" i="5" s="1"/>
  <c r="K229" i="5"/>
  <c r="W229" i="5" s="1"/>
  <c r="G229" i="5"/>
  <c r="K230" i="5"/>
  <c r="W230" i="5" s="1"/>
  <c r="G230" i="5"/>
  <c r="K269" i="5"/>
  <c r="W269" i="5" s="1"/>
  <c r="X269" i="5" s="1"/>
  <c r="G269" i="5"/>
  <c r="G270" i="5"/>
  <c r="I270" i="5"/>
  <c r="K270" i="5"/>
  <c r="W270" i="5" s="1"/>
  <c r="X270" i="5" s="1"/>
  <c r="K69" i="5"/>
  <c r="W69" i="5" s="1"/>
  <c r="G69" i="5"/>
  <c r="K70" i="5"/>
  <c r="W70" i="5" s="1"/>
  <c r="G70" i="5"/>
  <c r="K428" i="5"/>
  <c r="W428" i="5" s="1"/>
  <c r="I428" i="5"/>
  <c r="J428" i="5" s="1"/>
  <c r="K71" i="5"/>
  <c r="W71" i="5" s="1"/>
  <c r="G71" i="5"/>
  <c r="I274" i="5"/>
  <c r="J274" i="5" s="1"/>
  <c r="G274" i="5"/>
  <c r="I273" i="5"/>
  <c r="J273" i="5" s="1"/>
  <c r="G273" i="5"/>
  <c r="G372" i="5"/>
  <c r="I372" i="5"/>
  <c r="K372" i="5"/>
  <c r="W372" i="5" s="1"/>
  <c r="X372" i="5" s="1"/>
  <c r="K358" i="5"/>
  <c r="W358" i="5" s="1"/>
  <c r="X358" i="5" s="1"/>
  <c r="I358" i="5"/>
  <c r="G358" i="5"/>
  <c r="K363" i="5"/>
  <c r="W363" i="5" s="1"/>
  <c r="X363" i="5" s="1"/>
  <c r="I363" i="5"/>
  <c r="G363" i="5"/>
  <c r="K359" i="5"/>
  <c r="W359" i="5" s="1"/>
  <c r="X359" i="5" s="1"/>
  <c r="I359" i="5"/>
  <c r="G359" i="5"/>
  <c r="K364" i="5"/>
  <c r="W364" i="5" s="1"/>
  <c r="X364" i="5" s="1"/>
  <c r="I364" i="5"/>
  <c r="G364" i="5"/>
  <c r="K360" i="5"/>
  <c r="W360" i="5" s="1"/>
  <c r="X360" i="5" s="1"/>
  <c r="I360" i="5"/>
  <c r="G360" i="5"/>
  <c r="E219" i="18"/>
  <c r="E228" i="18"/>
  <c r="X45" i="5"/>
  <c r="F503" i="5"/>
  <c r="C501" i="5"/>
  <c r="C502" i="5"/>
  <c r="C504" i="5"/>
  <c r="C164" i="13"/>
  <c r="C164" i="11" s="1"/>
  <c r="C97" i="11"/>
  <c r="C115" i="11" s="1"/>
  <c r="D81" i="18"/>
  <c r="E109" i="5"/>
  <c r="C58" i="15"/>
  <c r="C61" i="15"/>
  <c r="C65" i="15" s="1"/>
  <c r="E108" i="5"/>
  <c r="D83" i="18"/>
  <c r="E110" i="5"/>
  <c r="D82" i="18"/>
  <c r="D102" i="18"/>
  <c r="E149" i="5"/>
  <c r="W146" i="5"/>
  <c r="X146" i="5" s="1"/>
  <c r="W147" i="5"/>
  <c r="W149" i="5"/>
  <c r="X149" i="5" s="1"/>
  <c r="W148" i="5"/>
  <c r="D103" i="18"/>
  <c r="E146" i="5"/>
  <c r="C65" i="12"/>
  <c r="C16" i="12"/>
  <c r="K286" i="5" s="1"/>
  <c r="E147" i="5"/>
  <c r="H107" i="5"/>
  <c r="D100" i="18"/>
  <c r="E148" i="5"/>
  <c r="W59" i="5"/>
  <c r="X59" i="5" s="1"/>
  <c r="W61" i="5"/>
  <c r="W58" i="5"/>
  <c r="X58" i="5" s="1"/>
  <c r="W39" i="5"/>
  <c r="W60" i="5"/>
  <c r="W38" i="5"/>
  <c r="X55" i="5"/>
  <c r="F229" i="5"/>
  <c r="E364" i="5"/>
  <c r="E230" i="5"/>
  <c r="H269" i="5"/>
  <c r="F363" i="5"/>
  <c r="H270" i="5"/>
  <c r="X188" i="5"/>
  <c r="C185" i="19"/>
  <c r="F273" i="5"/>
  <c r="H273" i="5"/>
  <c r="E273" i="5"/>
  <c r="H274" i="5"/>
  <c r="E274" i="5"/>
  <c r="F274" i="5"/>
  <c r="C186" i="19"/>
  <c r="C80" i="13"/>
  <c r="C72" i="13"/>
  <c r="C79" i="13"/>
  <c r="C81" i="13" s="1"/>
  <c r="C82" i="13" s="1"/>
  <c r="C70" i="13"/>
  <c r="C71" i="13" s="1"/>
  <c r="C78" i="13"/>
  <c r="C142" i="11"/>
  <c r="C144" i="20" s="1"/>
  <c r="C145" i="20" s="1"/>
  <c r="C146" i="20" s="1"/>
  <c r="C147" i="20" s="1"/>
  <c r="C148" i="20"/>
  <c r="C154" i="20"/>
  <c r="C259" i="5"/>
  <c r="I259" i="5" s="1"/>
  <c r="C258" i="5"/>
  <c r="I258" i="5" s="1"/>
  <c r="C219" i="5"/>
  <c r="I219" i="5" s="1"/>
  <c r="C220" i="5"/>
  <c r="I220" i="5" s="1"/>
  <c r="C108" i="11"/>
  <c r="C128" i="20" s="1"/>
  <c r="C110" i="11"/>
  <c r="C28" i="13"/>
  <c r="C29" i="13" s="1"/>
  <c r="C160" i="13" s="1"/>
  <c r="C162" i="13" s="1"/>
  <c r="C190" i="5"/>
  <c r="I190" i="5" s="1"/>
  <c r="F364" i="5"/>
  <c r="D309" i="18"/>
  <c r="H363" i="5"/>
  <c r="E363" i="5"/>
  <c r="H364" i="5"/>
  <c r="J358" i="5"/>
  <c r="E358" i="5"/>
  <c r="H358" i="5"/>
  <c r="F358" i="5"/>
  <c r="E360" i="5"/>
  <c r="F360" i="5"/>
  <c r="H360" i="5"/>
  <c r="F359" i="5"/>
  <c r="E359" i="5"/>
  <c r="H359" i="5"/>
  <c r="C370" i="5"/>
  <c r="C371" i="5"/>
  <c r="H109" i="5"/>
  <c r="F109" i="5"/>
  <c r="F110" i="5"/>
  <c r="H110" i="5"/>
  <c r="F108" i="5"/>
  <c r="H108" i="5"/>
  <c r="E270" i="5"/>
  <c r="F270" i="5"/>
  <c r="E269" i="5"/>
  <c r="F269" i="5"/>
  <c r="F230" i="5"/>
  <c r="H230" i="5"/>
  <c r="H229" i="5"/>
  <c r="E229" i="5"/>
  <c r="E70" i="5"/>
  <c r="F70" i="5"/>
  <c r="H70" i="5"/>
  <c r="E69" i="5"/>
  <c r="F69" i="5"/>
  <c r="H69" i="5"/>
  <c r="H71" i="5"/>
  <c r="E71" i="5"/>
  <c r="F71" i="5"/>
  <c r="C88" i="11"/>
  <c r="C106" i="11" s="1"/>
  <c r="C127" i="11" s="1"/>
  <c r="D45" i="18"/>
  <c r="D43" i="18"/>
  <c r="D44" i="18"/>
  <c r="C156" i="11"/>
  <c r="H287" i="5"/>
  <c r="H71" i="4"/>
  <c r="C125" i="11"/>
  <c r="E222" i="18"/>
  <c r="E184" i="18"/>
  <c r="E223" i="18"/>
  <c r="H286" i="5"/>
  <c r="F286" i="5"/>
  <c r="F287" i="5"/>
  <c r="W37" i="5"/>
  <c r="X37" i="5" s="1"/>
  <c r="C414" i="5"/>
  <c r="C413" i="5"/>
  <c r="C415" i="5"/>
  <c r="C416" i="5"/>
  <c r="W36" i="5"/>
  <c r="C260" i="5"/>
  <c r="I260" i="5" s="1"/>
  <c r="C222" i="5"/>
  <c r="C221" i="5"/>
  <c r="C31" i="13"/>
  <c r="C34" i="15"/>
  <c r="C35" i="15" s="1"/>
  <c r="C48" i="13"/>
  <c r="C49" i="13" s="1"/>
  <c r="C138" i="11" s="1"/>
  <c r="B606" i="5"/>
  <c r="F606" i="5" s="1"/>
  <c r="C60" i="13"/>
  <c r="C155" i="13"/>
  <c r="C429" i="5" s="1"/>
  <c r="C179" i="13"/>
  <c r="C185" i="13"/>
  <c r="C146" i="13"/>
  <c r="C189" i="5" s="1"/>
  <c r="I189" i="5" s="1"/>
  <c r="H591" i="5"/>
  <c r="H589" i="5"/>
  <c r="G589" i="5"/>
  <c r="J66" i="5"/>
  <c r="C66" i="5"/>
  <c r="W66" i="5"/>
  <c r="X66" i="5" s="1"/>
  <c r="C63" i="5"/>
  <c r="W63" i="5"/>
  <c r="C216" i="5"/>
  <c r="C214" i="5"/>
  <c r="C215" i="5"/>
  <c r="G583" i="5"/>
  <c r="H583" i="5"/>
  <c r="C253" i="5"/>
  <c r="C255" i="5"/>
  <c r="C254" i="5"/>
  <c r="C64" i="5"/>
  <c r="W64" i="5"/>
  <c r="C212" i="5"/>
  <c r="C213" i="5"/>
  <c r="C211" i="5"/>
  <c r="C65" i="5"/>
  <c r="W65" i="5"/>
  <c r="X65" i="5" s="1"/>
  <c r="J65" i="5"/>
  <c r="C438" i="5"/>
  <c r="J438" i="5" s="1"/>
  <c r="X438" i="5" s="1"/>
  <c r="C27" i="14"/>
  <c r="C36" i="14" s="1"/>
  <c r="C28" i="14"/>
  <c r="C37" i="14" s="1"/>
  <c r="C434" i="5"/>
  <c r="J434" i="5" s="1"/>
  <c r="X434" i="5" s="1"/>
  <c r="C433" i="5"/>
  <c r="J433" i="5" s="1"/>
  <c r="X433" i="5" s="1"/>
  <c r="C252" i="5"/>
  <c r="C250" i="5"/>
  <c r="C251" i="5"/>
  <c r="F372" i="5"/>
  <c r="H372" i="5"/>
  <c r="E372" i="5"/>
  <c r="K504" i="5" l="1"/>
  <c r="W504" i="5" s="1"/>
  <c r="X504" i="5" s="1"/>
  <c r="F502" i="5"/>
  <c r="K502" i="5"/>
  <c r="W502" i="5" s="1"/>
  <c r="X502" i="5" s="1"/>
  <c r="F501" i="5"/>
  <c r="K501" i="5"/>
  <c r="W501" i="5" s="1"/>
  <c r="X501" i="5" s="1"/>
  <c r="G286" i="5"/>
  <c r="M223" i="18"/>
  <c r="L223" i="18"/>
  <c r="H223" i="18"/>
  <c r="K223" i="18"/>
  <c r="G223" i="18"/>
  <c r="J223" i="18"/>
  <c r="P223" i="18"/>
  <c r="Q223" i="18"/>
  <c r="I223" i="18"/>
  <c r="O223" i="18"/>
  <c r="F223" i="18"/>
  <c r="N223" i="18"/>
  <c r="Q184" i="18"/>
  <c r="I184" i="18"/>
  <c r="P184" i="18"/>
  <c r="H184" i="18"/>
  <c r="L184" i="18"/>
  <c r="O184" i="18"/>
  <c r="G184" i="18"/>
  <c r="K184" i="18"/>
  <c r="N184" i="18"/>
  <c r="F184" i="18"/>
  <c r="M184" i="18"/>
  <c r="J184" i="18"/>
  <c r="Q228" i="18"/>
  <c r="I228" i="18"/>
  <c r="P228" i="18"/>
  <c r="H228" i="18"/>
  <c r="L228" i="18"/>
  <c r="K228" i="18"/>
  <c r="O228" i="18"/>
  <c r="G228" i="18"/>
  <c r="N228" i="18"/>
  <c r="F228" i="18"/>
  <c r="M228" i="18"/>
  <c r="J228" i="18"/>
  <c r="Q222" i="18"/>
  <c r="I222" i="18"/>
  <c r="P222" i="18"/>
  <c r="H222" i="18"/>
  <c r="O222" i="18"/>
  <c r="G222" i="18"/>
  <c r="N222" i="18"/>
  <c r="F222" i="18"/>
  <c r="K222" i="18"/>
  <c r="M222" i="18"/>
  <c r="L222" i="18"/>
  <c r="J222" i="18"/>
  <c r="M219" i="18"/>
  <c r="L219" i="18"/>
  <c r="O219" i="18"/>
  <c r="K219" i="18"/>
  <c r="G219" i="18"/>
  <c r="J219" i="18"/>
  <c r="H219" i="18"/>
  <c r="Q219" i="18"/>
  <c r="I219" i="18"/>
  <c r="P219" i="18"/>
  <c r="F219" i="18"/>
  <c r="N219" i="18"/>
  <c r="I429" i="5"/>
  <c r="J429" i="5" s="1"/>
  <c r="K429" i="5"/>
  <c r="W429" i="5" s="1"/>
  <c r="G216" i="5"/>
  <c r="G255" i="5"/>
  <c r="K215" i="5"/>
  <c r="W215" i="5" s="1"/>
  <c r="K254" i="5"/>
  <c r="W254" i="5" s="1"/>
  <c r="X254" i="5" s="1"/>
  <c r="G215" i="5"/>
  <c r="G254" i="5"/>
  <c r="K214" i="5"/>
  <c r="W214" i="5" s="1"/>
  <c r="K253" i="5"/>
  <c r="W253" i="5" s="1"/>
  <c r="X253" i="5" s="1"/>
  <c r="G214" i="5"/>
  <c r="G253" i="5"/>
  <c r="K255" i="5"/>
  <c r="W255" i="5" s="1"/>
  <c r="X255" i="5" s="1"/>
  <c r="K216" i="5"/>
  <c r="W216" i="5" s="1"/>
  <c r="K288" i="5"/>
  <c r="W288" i="5" s="1"/>
  <c r="G288" i="5"/>
  <c r="K421" i="5"/>
  <c r="W421" i="5" s="1"/>
  <c r="K418" i="5"/>
  <c r="W418" i="5" s="1"/>
  <c r="X418" i="5" s="1"/>
  <c r="G421" i="5"/>
  <c r="K420" i="5"/>
  <c r="W420" i="5" s="1"/>
  <c r="G420" i="5"/>
  <c r="K419" i="5"/>
  <c r="W419" i="5" s="1"/>
  <c r="G419" i="5"/>
  <c r="G418" i="5"/>
  <c r="G287" i="5"/>
  <c r="K287" i="5"/>
  <c r="W287" i="5" s="1"/>
  <c r="K370" i="5"/>
  <c r="W370" i="5" s="1"/>
  <c r="X370" i="5" s="1"/>
  <c r="I370" i="5"/>
  <c r="G370" i="5"/>
  <c r="G371" i="5"/>
  <c r="K371" i="5"/>
  <c r="W371" i="5" s="1"/>
  <c r="I371" i="5"/>
  <c r="C225" i="18"/>
  <c r="C167" i="13"/>
  <c r="G504" i="5" s="1"/>
  <c r="C168" i="13"/>
  <c r="F504" i="5"/>
  <c r="C137" i="11"/>
  <c r="C62" i="15"/>
  <c r="C60" i="15"/>
  <c r="C75" i="15" s="1"/>
  <c r="D165" i="18"/>
  <c r="D237" i="18"/>
  <c r="E287" i="5"/>
  <c r="D205" i="18"/>
  <c r="E253" i="5"/>
  <c r="E286" i="5"/>
  <c r="E216" i="5"/>
  <c r="D164" i="18"/>
  <c r="E164" i="18" s="1"/>
  <c r="W286" i="5"/>
  <c r="D204" i="18"/>
  <c r="E215" i="5"/>
  <c r="D236" i="18"/>
  <c r="E214" i="5"/>
  <c r="D238" i="18"/>
  <c r="D166" i="18"/>
  <c r="E288" i="5"/>
  <c r="E255" i="5"/>
  <c r="E254" i="5"/>
  <c r="D203" i="18"/>
  <c r="E203" i="18" s="1"/>
  <c r="D372" i="18"/>
  <c r="E421" i="5"/>
  <c r="D369" i="18"/>
  <c r="D371" i="18"/>
  <c r="E420" i="5"/>
  <c r="D370" i="18"/>
  <c r="E418" i="5"/>
  <c r="E419" i="5"/>
  <c r="F370" i="5"/>
  <c r="J259" i="5"/>
  <c r="F371" i="5"/>
  <c r="K190" i="5"/>
  <c r="W190" i="5" s="1"/>
  <c r="X190" i="5" s="1"/>
  <c r="J190" i="5"/>
  <c r="J258" i="5"/>
  <c r="C172" i="13"/>
  <c r="C173" i="13" s="1"/>
  <c r="C174" i="13" s="1"/>
  <c r="C590" i="5" s="1"/>
  <c r="E590" i="5" s="1"/>
  <c r="C86" i="13"/>
  <c r="C81" i="11" s="1"/>
  <c r="C82" i="11" s="1"/>
  <c r="C154" i="19"/>
  <c r="C73" i="13"/>
  <c r="C79" i="11" s="1"/>
  <c r="C80" i="11" s="1"/>
  <c r="X427" i="5"/>
  <c r="X428" i="5"/>
  <c r="C155" i="20"/>
  <c r="C156" i="20" s="1"/>
  <c r="C149" i="20"/>
  <c r="C60" i="19"/>
  <c r="C61" i="19" s="1"/>
  <c r="C62" i="19" s="1"/>
  <c r="C63" i="19" s="1"/>
  <c r="C65" i="19" s="1"/>
  <c r="C54" i="19"/>
  <c r="C150" i="20"/>
  <c r="C141" i="11"/>
  <c r="C83" i="13"/>
  <c r="C84" i="13" s="1"/>
  <c r="C139" i="5"/>
  <c r="C188" i="13"/>
  <c r="C189" i="13" s="1"/>
  <c r="C192" i="13" s="1"/>
  <c r="C165" i="13"/>
  <c r="I501" i="5" s="1"/>
  <c r="C30" i="13"/>
  <c r="C32" i="13" s="1"/>
  <c r="C143" i="11"/>
  <c r="C379" i="5"/>
  <c r="C378" i="5"/>
  <c r="C380" i="5"/>
  <c r="D326" i="18"/>
  <c r="D325" i="18"/>
  <c r="B576" i="5"/>
  <c r="E576" i="5" s="1"/>
  <c r="B575" i="5"/>
  <c r="E575" i="5" s="1"/>
  <c r="C576" i="5"/>
  <c r="C575" i="5"/>
  <c r="E370" i="5"/>
  <c r="H370" i="5"/>
  <c r="J370" i="5"/>
  <c r="E371" i="5"/>
  <c r="H371" i="5"/>
  <c r="C51" i="13"/>
  <c r="C53" i="13"/>
  <c r="C54" i="13" s="1"/>
  <c r="C55" i="13"/>
  <c r="C52" i="13"/>
  <c r="D606" i="5"/>
  <c r="C153" i="13"/>
  <c r="C265" i="5" s="1"/>
  <c r="C154" i="13"/>
  <c r="C291" i="5" s="1"/>
  <c r="C61" i="13"/>
  <c r="K314" i="5" s="1"/>
  <c r="C30" i="14"/>
  <c r="C39" i="14" s="1"/>
  <c r="C314" i="5"/>
  <c r="H314" i="5" s="1"/>
  <c r="C152" i="13"/>
  <c r="C228" i="5" s="1"/>
  <c r="C138" i="5"/>
  <c r="J63" i="5"/>
  <c r="X63" i="5" s="1"/>
  <c r="J64" i="5"/>
  <c r="X64" i="5" s="1"/>
  <c r="C137" i="5"/>
  <c r="C187" i="5"/>
  <c r="I187" i="5" s="1"/>
  <c r="K189" i="5"/>
  <c r="W189" i="5" s="1"/>
  <c r="J189" i="5"/>
  <c r="I502" i="5" l="1"/>
  <c r="G503" i="5"/>
  <c r="I503" i="5"/>
  <c r="I504" i="5"/>
  <c r="J107" i="5"/>
  <c r="Q164" i="18"/>
  <c r="I164" i="18"/>
  <c r="P164" i="18"/>
  <c r="H164" i="18"/>
  <c r="K164" i="18"/>
  <c r="O164" i="18"/>
  <c r="G164" i="18"/>
  <c r="N164" i="18"/>
  <c r="F164" i="18"/>
  <c r="M164" i="18"/>
  <c r="L164" i="18"/>
  <c r="J164" i="18"/>
  <c r="M203" i="18"/>
  <c r="L203" i="18"/>
  <c r="H203" i="18"/>
  <c r="K203" i="18"/>
  <c r="P203" i="18"/>
  <c r="G203" i="18"/>
  <c r="J203" i="18"/>
  <c r="Q203" i="18"/>
  <c r="I203" i="18"/>
  <c r="O203" i="18"/>
  <c r="F203" i="18"/>
  <c r="N203" i="18"/>
  <c r="C132" i="11"/>
  <c r="C136" i="11" s="1"/>
  <c r="G314" i="5"/>
  <c r="K291" i="5"/>
  <c r="W291" i="5" s="1"/>
  <c r="X291" i="5" s="1"/>
  <c r="G291" i="5"/>
  <c r="K265" i="5"/>
  <c r="W265" i="5" s="1"/>
  <c r="X265" i="5" s="1"/>
  <c r="I265" i="5"/>
  <c r="G265" i="5"/>
  <c r="G228" i="5"/>
  <c r="K228" i="5"/>
  <c r="W228" i="5" s="1"/>
  <c r="X228" i="5" s="1"/>
  <c r="K378" i="5"/>
  <c r="W378" i="5" s="1"/>
  <c r="X378" i="5" s="1"/>
  <c r="I378" i="5"/>
  <c r="G378" i="5"/>
  <c r="I379" i="5"/>
  <c r="G379" i="5"/>
  <c r="K379" i="5"/>
  <c r="W379" i="5" s="1"/>
  <c r="X379" i="5" s="1"/>
  <c r="K380" i="5"/>
  <c r="W380" i="5" s="1"/>
  <c r="I380" i="5"/>
  <c r="G380" i="5"/>
  <c r="K137" i="5"/>
  <c r="W137" i="5" s="1"/>
  <c r="G137" i="5"/>
  <c r="K139" i="5"/>
  <c r="W139" i="5" s="1"/>
  <c r="X139" i="5" s="1"/>
  <c r="G139" i="5"/>
  <c r="K138" i="5"/>
  <c r="W138" i="5" s="1"/>
  <c r="G138" i="5"/>
  <c r="C219" i="18"/>
  <c r="E205" i="18"/>
  <c r="C222" i="18"/>
  <c r="E504" i="5"/>
  <c r="H504" i="5" s="1"/>
  <c r="J503" i="5"/>
  <c r="J504" i="5"/>
  <c r="E503" i="5"/>
  <c r="H503" i="5" s="1"/>
  <c r="H576" i="5"/>
  <c r="H575" i="5"/>
  <c r="C119" i="5"/>
  <c r="J501" i="5"/>
  <c r="J502" i="5"/>
  <c r="C193" i="13"/>
  <c r="G605" i="5" s="1"/>
  <c r="E605" i="5" s="1"/>
  <c r="D157" i="18"/>
  <c r="X429" i="5"/>
  <c r="H138" i="5"/>
  <c r="F265" i="5"/>
  <c r="H228" i="5"/>
  <c r="H139" i="5"/>
  <c r="G590" i="5"/>
  <c r="K187" i="5"/>
  <c r="W187" i="5" s="1"/>
  <c r="J187" i="5"/>
  <c r="W314" i="5"/>
  <c r="E291" i="5"/>
  <c r="X189" i="5"/>
  <c r="F590" i="5"/>
  <c r="H590" i="5"/>
  <c r="C74" i="13"/>
  <c r="C85" i="13"/>
  <c r="W338" i="5"/>
  <c r="W339" i="5"/>
  <c r="C88" i="5"/>
  <c r="C87" i="5"/>
  <c r="C22" i="12"/>
  <c r="D152" i="18"/>
  <c r="D153" i="18"/>
  <c r="C155" i="19"/>
  <c r="C156" i="19"/>
  <c r="C87" i="13"/>
  <c r="G107" i="5"/>
  <c r="C65" i="13"/>
  <c r="C66" i="13" s="1"/>
  <c r="C157" i="20"/>
  <c r="C160" i="20" s="1"/>
  <c r="C105" i="5" s="1"/>
  <c r="C50" i="19"/>
  <c r="C51" i="19" s="1"/>
  <c r="C52" i="19" s="1"/>
  <c r="C53" i="19" s="1"/>
  <c r="C56" i="19" s="1"/>
  <c r="C115" i="5" s="1"/>
  <c r="C66" i="19"/>
  <c r="C120" i="5" s="1"/>
  <c r="C134" i="20"/>
  <c r="C135" i="20" s="1"/>
  <c r="C136" i="20" s="1"/>
  <c r="C137" i="20" s="1"/>
  <c r="C139" i="20" s="1"/>
  <c r="C124" i="20"/>
  <c r="C125" i="20" s="1"/>
  <c r="C126" i="20" s="1"/>
  <c r="C127" i="20" s="1"/>
  <c r="C129" i="20" s="1"/>
  <c r="G501" i="5"/>
  <c r="F139" i="5"/>
  <c r="E501" i="5"/>
  <c r="H501" i="5" s="1"/>
  <c r="C166" i="13"/>
  <c r="E502" i="5" s="1"/>
  <c r="H502" i="5" s="1"/>
  <c r="H378" i="5"/>
  <c r="J378" i="5"/>
  <c r="E378" i="5"/>
  <c r="F378" i="5"/>
  <c r="H380" i="5"/>
  <c r="E380" i="5"/>
  <c r="F380" i="5"/>
  <c r="E379" i="5"/>
  <c r="F379" i="5"/>
  <c r="H379" i="5"/>
  <c r="G576" i="5"/>
  <c r="G575" i="5"/>
  <c r="J270" i="5"/>
  <c r="E107" i="5"/>
  <c r="C33" i="13"/>
  <c r="C34" i="13" s="1"/>
  <c r="C119" i="13" s="1"/>
  <c r="F138" i="5"/>
  <c r="E139" i="5"/>
  <c r="C290" i="5"/>
  <c r="D91" i="18"/>
  <c r="C267" i="5"/>
  <c r="H265" i="5"/>
  <c r="E265" i="5"/>
  <c r="C266" i="5"/>
  <c r="C101" i="11"/>
  <c r="F291" i="5"/>
  <c r="F314" i="5"/>
  <c r="C289" i="5"/>
  <c r="H291" i="5"/>
  <c r="E314" i="5"/>
  <c r="C399" i="5"/>
  <c r="D264" i="18"/>
  <c r="E138" i="5"/>
  <c r="D93" i="18"/>
  <c r="F228" i="5"/>
  <c r="C226" i="5"/>
  <c r="C227" i="5"/>
  <c r="E228" i="5"/>
  <c r="D92" i="18"/>
  <c r="E137" i="5"/>
  <c r="F137" i="5"/>
  <c r="H137" i="5"/>
  <c r="M205" i="18" l="1"/>
  <c r="O205" i="18"/>
  <c r="L205" i="18"/>
  <c r="P205" i="18"/>
  <c r="K205" i="18"/>
  <c r="J205" i="18"/>
  <c r="H205" i="18"/>
  <c r="G205" i="18"/>
  <c r="Q205" i="18"/>
  <c r="I205" i="18"/>
  <c r="F205" i="18"/>
  <c r="N205" i="18"/>
  <c r="K341" i="5"/>
  <c r="K342" i="5"/>
  <c r="K226" i="5"/>
  <c r="W226" i="5" s="1"/>
  <c r="G226" i="5"/>
  <c r="K227" i="5"/>
  <c r="W227" i="5" s="1"/>
  <c r="G227" i="5"/>
  <c r="K267" i="5"/>
  <c r="W267" i="5" s="1"/>
  <c r="X267" i="5" s="1"/>
  <c r="I267" i="5"/>
  <c r="J267" i="5" s="1"/>
  <c r="G267" i="5"/>
  <c r="G289" i="5"/>
  <c r="K289" i="5"/>
  <c r="W289" i="5" s="1"/>
  <c r="K290" i="5"/>
  <c r="W290" i="5" s="1"/>
  <c r="G290" i="5"/>
  <c r="G266" i="5"/>
  <c r="K266" i="5"/>
  <c r="W266" i="5" s="1"/>
  <c r="X266" i="5" s="1"/>
  <c r="I266" i="5"/>
  <c r="I120" i="5"/>
  <c r="K120" i="5"/>
  <c r="W120" i="5" s="1"/>
  <c r="K119" i="5"/>
  <c r="W119" i="5" s="1"/>
  <c r="X119" i="5" s="1"/>
  <c r="I119" i="5"/>
  <c r="K115" i="5"/>
  <c r="W115" i="5" s="1"/>
  <c r="I115" i="5"/>
  <c r="I88" i="5"/>
  <c r="J88" i="5" s="1"/>
  <c r="K88" i="5"/>
  <c r="W88" i="5" s="1"/>
  <c r="K105" i="5"/>
  <c r="W105" i="5" s="1"/>
  <c r="I105" i="5"/>
  <c r="J105" i="5" s="1"/>
  <c r="K87" i="5"/>
  <c r="W87" i="5" s="1"/>
  <c r="I87" i="5"/>
  <c r="J87" i="5" s="1"/>
  <c r="K399" i="5"/>
  <c r="I399" i="5"/>
  <c r="G399" i="5"/>
  <c r="J119" i="5"/>
  <c r="C82" i="5"/>
  <c r="C99" i="5"/>
  <c r="C23" i="12"/>
  <c r="D259" i="18" s="1"/>
  <c r="D156" i="18"/>
  <c r="D158" i="18"/>
  <c r="D155" i="18"/>
  <c r="X187" i="5"/>
  <c r="C341" i="5"/>
  <c r="F266" i="5"/>
  <c r="H267" i="5"/>
  <c r="F227" i="5"/>
  <c r="E226" i="5"/>
  <c r="C342" i="5"/>
  <c r="C61" i="12"/>
  <c r="C306" i="5" s="1"/>
  <c r="C37" i="12"/>
  <c r="C242" i="5" s="1"/>
  <c r="C53" i="12"/>
  <c r="C281" i="5" s="1"/>
  <c r="C75" i="13"/>
  <c r="F338" i="5"/>
  <c r="H338" i="5"/>
  <c r="F339" i="5"/>
  <c r="H339" i="5"/>
  <c r="C135" i="5"/>
  <c r="C134" i="5"/>
  <c r="C128" i="5"/>
  <c r="C127" i="5"/>
  <c r="C119" i="11"/>
  <c r="C150" i="11" s="1"/>
  <c r="C346" i="5"/>
  <c r="D256" i="18"/>
  <c r="D231" i="18"/>
  <c r="D192" i="18"/>
  <c r="C38" i="12"/>
  <c r="C245" i="5" s="1"/>
  <c r="C54" i="12"/>
  <c r="C284" i="5" s="1"/>
  <c r="C347" i="5"/>
  <c r="C344" i="5"/>
  <c r="C345" i="5"/>
  <c r="C62" i="12"/>
  <c r="C309" i="5" s="1"/>
  <c r="C88" i="13"/>
  <c r="D292" i="18" s="1"/>
  <c r="C374" i="5"/>
  <c r="C376" i="5"/>
  <c r="C375" i="5"/>
  <c r="C67" i="13"/>
  <c r="C157" i="19"/>
  <c r="C99" i="11" s="1"/>
  <c r="C158" i="19"/>
  <c r="C159" i="19" s="1"/>
  <c r="C159" i="20"/>
  <c r="J120" i="5"/>
  <c r="J115" i="5"/>
  <c r="C55" i="19"/>
  <c r="C140" i="20"/>
  <c r="C100" i="5" s="1"/>
  <c r="C130" i="20"/>
  <c r="C83" i="5" s="1"/>
  <c r="I107" i="5"/>
  <c r="X107" i="5"/>
  <c r="G502" i="5"/>
  <c r="C196" i="13"/>
  <c r="C197" i="13" s="1"/>
  <c r="C49" i="14"/>
  <c r="I606" i="5"/>
  <c r="C606" i="5"/>
  <c r="H606" i="5" s="1"/>
  <c r="C398" i="5"/>
  <c r="H290" i="5"/>
  <c r="C129" i="13"/>
  <c r="C506" i="5" s="1"/>
  <c r="K506" i="5" s="1"/>
  <c r="C91" i="13"/>
  <c r="C118" i="13" s="1"/>
  <c r="F290" i="5"/>
  <c r="E290" i="5"/>
  <c r="H266" i="5"/>
  <c r="C397" i="5"/>
  <c r="D349" i="18"/>
  <c r="F267" i="5"/>
  <c r="E267" i="5"/>
  <c r="E266" i="5"/>
  <c r="F289" i="5"/>
  <c r="E289" i="5"/>
  <c r="H289" i="5"/>
  <c r="H226" i="5"/>
  <c r="H227" i="5"/>
  <c r="E227" i="5"/>
  <c r="F226" i="5"/>
  <c r="H399" i="5"/>
  <c r="F399" i="5"/>
  <c r="G376" i="5" l="1"/>
  <c r="K375" i="5"/>
  <c r="W375" i="5" s="1"/>
  <c r="G375" i="5"/>
  <c r="G374" i="5"/>
  <c r="K374" i="5"/>
  <c r="W374" i="5" s="1"/>
  <c r="X374" i="5" s="1"/>
  <c r="I374" i="5"/>
  <c r="J374" i="5" s="1"/>
  <c r="F341" i="5"/>
  <c r="I341" i="5"/>
  <c r="G341" i="5"/>
  <c r="K306" i="5"/>
  <c r="G306" i="5"/>
  <c r="G342" i="5"/>
  <c r="I342" i="5"/>
  <c r="K309" i="5"/>
  <c r="W309" i="5" s="1"/>
  <c r="X309" i="5" s="1"/>
  <c r="G309" i="5"/>
  <c r="K345" i="5"/>
  <c r="W345" i="5" s="1"/>
  <c r="G345" i="5"/>
  <c r="G344" i="5"/>
  <c r="K344" i="5"/>
  <c r="W344" i="5" s="1"/>
  <c r="G346" i="5"/>
  <c r="K346" i="5"/>
  <c r="W346" i="5" s="1"/>
  <c r="K347" i="5"/>
  <c r="W347" i="5" s="1"/>
  <c r="G347" i="5"/>
  <c r="G284" i="5"/>
  <c r="K284" i="5"/>
  <c r="W284" i="5" s="1"/>
  <c r="X284" i="5" s="1"/>
  <c r="K245" i="5"/>
  <c r="W245" i="5" s="1"/>
  <c r="X245" i="5" s="1"/>
  <c r="G245" i="5"/>
  <c r="G281" i="5"/>
  <c r="K281" i="5"/>
  <c r="W281" i="5" s="1"/>
  <c r="X281" i="5" s="1"/>
  <c r="G127" i="5"/>
  <c r="K127" i="5"/>
  <c r="W127" i="5" s="1"/>
  <c r="K128" i="5"/>
  <c r="W128" i="5" s="1"/>
  <c r="G128" i="5"/>
  <c r="K134" i="5"/>
  <c r="I134" i="5"/>
  <c r="K242" i="5"/>
  <c r="W242" i="5" s="1"/>
  <c r="G242" i="5"/>
  <c r="I135" i="5"/>
  <c r="K135" i="5"/>
  <c r="I99" i="5"/>
  <c r="K99" i="5"/>
  <c r="W99" i="5" s="1"/>
  <c r="X99" i="5" s="1"/>
  <c r="K100" i="5"/>
  <c r="W100" i="5" s="1"/>
  <c r="X100" i="5" s="1"/>
  <c r="I100" i="5"/>
  <c r="J82" i="5"/>
  <c r="I82" i="5"/>
  <c r="K82" i="5"/>
  <c r="W82" i="5" s="1"/>
  <c r="X82" i="5" s="1"/>
  <c r="K83" i="5"/>
  <c r="W83" i="5" s="1"/>
  <c r="I83" i="5"/>
  <c r="K397" i="5"/>
  <c r="W397" i="5" s="1"/>
  <c r="X397" i="5" s="1"/>
  <c r="I397" i="5"/>
  <c r="G397" i="5"/>
  <c r="K398" i="5"/>
  <c r="W398" i="5" s="1"/>
  <c r="I398" i="5"/>
  <c r="G398" i="5"/>
  <c r="J99" i="5"/>
  <c r="C104" i="5"/>
  <c r="C114" i="5"/>
  <c r="D193" i="18"/>
  <c r="E193" i="18" s="1"/>
  <c r="D234" i="18"/>
  <c r="D195" i="18"/>
  <c r="D232" i="18"/>
  <c r="E232" i="18" s="1"/>
  <c r="D233" i="18"/>
  <c r="H341" i="5"/>
  <c r="D257" i="18"/>
  <c r="D194" i="18"/>
  <c r="D258" i="18"/>
  <c r="X88" i="5"/>
  <c r="X105" i="5"/>
  <c r="F345" i="5"/>
  <c r="H397" i="5"/>
  <c r="F398" i="5"/>
  <c r="H344" i="5"/>
  <c r="F245" i="5"/>
  <c r="W506" i="5"/>
  <c r="F347" i="5"/>
  <c r="F342" i="5"/>
  <c r="E309" i="5"/>
  <c r="X87" i="5"/>
  <c r="H342" i="5"/>
  <c r="E342" i="5"/>
  <c r="E306" i="5"/>
  <c r="D288" i="18"/>
  <c r="D287" i="18"/>
  <c r="W342" i="5"/>
  <c r="W341" i="5"/>
  <c r="X341" i="5" s="1"/>
  <c r="F281" i="5"/>
  <c r="H281" i="5"/>
  <c r="E281" i="5"/>
  <c r="F242" i="5"/>
  <c r="H242" i="5"/>
  <c r="E341" i="5"/>
  <c r="H306" i="5"/>
  <c r="F306" i="5"/>
  <c r="E242" i="5"/>
  <c r="C390" i="5"/>
  <c r="C389" i="5"/>
  <c r="C391" i="5"/>
  <c r="W132" i="5"/>
  <c r="H132" i="5"/>
  <c r="F132" i="5"/>
  <c r="H133" i="5"/>
  <c r="W133" i="5"/>
  <c r="F133" i="5"/>
  <c r="E127" i="5"/>
  <c r="F127" i="5"/>
  <c r="H127" i="5"/>
  <c r="E128" i="5"/>
  <c r="H128" i="5"/>
  <c r="F128" i="5"/>
  <c r="C243" i="5"/>
  <c r="C244" i="5"/>
  <c r="E346" i="5"/>
  <c r="E245" i="5"/>
  <c r="C307" i="5"/>
  <c r="C308" i="5"/>
  <c r="F309" i="5"/>
  <c r="D291" i="18"/>
  <c r="F344" i="5"/>
  <c r="H309" i="5"/>
  <c r="H347" i="5"/>
  <c r="H245" i="5"/>
  <c r="E284" i="5"/>
  <c r="E192" i="18"/>
  <c r="E231" i="18"/>
  <c r="C169" i="19"/>
  <c r="D86" i="18"/>
  <c r="D85" i="18"/>
  <c r="F346" i="5"/>
  <c r="H346" i="5"/>
  <c r="E347" i="5"/>
  <c r="D293" i="18"/>
  <c r="E344" i="5"/>
  <c r="D290" i="18"/>
  <c r="H345" i="5"/>
  <c r="E345" i="5"/>
  <c r="C283" i="5"/>
  <c r="H284" i="5"/>
  <c r="C282" i="5"/>
  <c r="F284" i="5"/>
  <c r="D334" i="18"/>
  <c r="D333" i="18"/>
  <c r="E375" i="5"/>
  <c r="H375" i="5"/>
  <c r="F375" i="5"/>
  <c r="E376" i="5"/>
  <c r="K376" i="5" s="1"/>
  <c r="F376" i="5"/>
  <c r="H376" i="5"/>
  <c r="F374" i="5"/>
  <c r="H374" i="5"/>
  <c r="E374" i="5"/>
  <c r="C160" i="19"/>
  <c r="X115" i="5"/>
  <c r="X120" i="5"/>
  <c r="J100" i="5"/>
  <c r="J83" i="5"/>
  <c r="D348" i="18"/>
  <c r="C198" i="13"/>
  <c r="C130" i="13"/>
  <c r="H398" i="5"/>
  <c r="C92" i="13"/>
  <c r="D355" i="18"/>
  <c r="E399" i="5"/>
  <c r="W399" i="5"/>
  <c r="X399" i="5" s="1"/>
  <c r="F397" i="5"/>
  <c r="E398" i="5"/>
  <c r="J397" i="5"/>
  <c r="E397" i="5"/>
  <c r="M231" i="18" l="1"/>
  <c r="L231" i="18"/>
  <c r="G231" i="18"/>
  <c r="K231" i="18"/>
  <c r="O231" i="18"/>
  <c r="J231" i="18"/>
  <c r="P231" i="18"/>
  <c r="Q231" i="18"/>
  <c r="I231" i="18"/>
  <c r="H231" i="18"/>
  <c r="N231" i="18"/>
  <c r="F231" i="18"/>
  <c r="M192" i="18"/>
  <c r="L192" i="18"/>
  <c r="H192" i="18"/>
  <c r="K192" i="18"/>
  <c r="G192" i="18"/>
  <c r="J192" i="18"/>
  <c r="P192" i="18"/>
  <c r="Q192" i="18"/>
  <c r="I192" i="18"/>
  <c r="O192" i="18"/>
  <c r="N192" i="18"/>
  <c r="F192" i="18"/>
  <c r="Q193" i="18"/>
  <c r="I193" i="18"/>
  <c r="P193" i="18"/>
  <c r="H193" i="18"/>
  <c r="O193" i="18"/>
  <c r="G193" i="18"/>
  <c r="N193" i="18"/>
  <c r="F193" i="18"/>
  <c r="K193" i="18"/>
  <c r="M193" i="18"/>
  <c r="L193" i="18"/>
  <c r="J193" i="18"/>
  <c r="Q232" i="18"/>
  <c r="I232" i="18"/>
  <c r="P232" i="18"/>
  <c r="H232" i="18"/>
  <c r="L232" i="18"/>
  <c r="O232" i="18"/>
  <c r="G232" i="18"/>
  <c r="N232" i="18"/>
  <c r="F232" i="18"/>
  <c r="M232" i="18"/>
  <c r="K232" i="18"/>
  <c r="J232" i="18"/>
  <c r="K244" i="5"/>
  <c r="W244" i="5" s="1"/>
  <c r="G244" i="5"/>
  <c r="K243" i="5"/>
  <c r="W243" i="5" s="1"/>
  <c r="G243" i="5"/>
  <c r="G282" i="5"/>
  <c r="K282" i="5"/>
  <c r="W282" i="5" s="1"/>
  <c r="X282" i="5" s="1"/>
  <c r="K283" i="5"/>
  <c r="W283" i="5" s="1"/>
  <c r="X283" i="5" s="1"/>
  <c r="G283" i="5"/>
  <c r="K307" i="5"/>
  <c r="W307" i="5" s="1"/>
  <c r="G307" i="5"/>
  <c r="G308" i="5"/>
  <c r="K308" i="5"/>
  <c r="W308" i="5" s="1"/>
  <c r="J114" i="5"/>
  <c r="K114" i="5"/>
  <c r="W114" i="5" s="1"/>
  <c r="X114" i="5" s="1"/>
  <c r="I114" i="5"/>
  <c r="K389" i="5"/>
  <c r="W389" i="5" s="1"/>
  <c r="X389" i="5" s="1"/>
  <c r="I389" i="5"/>
  <c r="G389" i="5"/>
  <c r="K390" i="5"/>
  <c r="W390" i="5" s="1"/>
  <c r="X390" i="5" s="1"/>
  <c r="I390" i="5"/>
  <c r="G390" i="5"/>
  <c r="I104" i="5"/>
  <c r="J104" i="5" s="1"/>
  <c r="K104" i="5"/>
  <c r="W104" i="5" s="1"/>
  <c r="G391" i="5"/>
  <c r="K391" i="5"/>
  <c r="W391" i="5" s="1"/>
  <c r="I391" i="5"/>
  <c r="E234" i="18"/>
  <c r="H283" i="5"/>
  <c r="E307" i="5"/>
  <c r="W376" i="5"/>
  <c r="E244" i="5"/>
  <c r="H394" i="5"/>
  <c r="F394" i="5"/>
  <c r="W394" i="5"/>
  <c r="X394" i="5" s="1"/>
  <c r="J394" i="5"/>
  <c r="F395" i="5"/>
  <c r="W395" i="5"/>
  <c r="X395" i="5" s="1"/>
  <c r="J395" i="5"/>
  <c r="H395" i="5"/>
  <c r="W393" i="5"/>
  <c r="X393" i="5" s="1"/>
  <c r="J393" i="5"/>
  <c r="H393" i="5"/>
  <c r="F393" i="5"/>
  <c r="E391" i="5"/>
  <c r="H391" i="5"/>
  <c r="F391" i="5"/>
  <c r="J389" i="5"/>
  <c r="E389" i="5"/>
  <c r="F389" i="5"/>
  <c r="H389" i="5"/>
  <c r="E390" i="5"/>
  <c r="F390" i="5"/>
  <c r="H390" i="5"/>
  <c r="F243" i="5"/>
  <c r="H243" i="5"/>
  <c r="E243" i="5"/>
  <c r="F244" i="5"/>
  <c r="H244" i="5"/>
  <c r="C117" i="11"/>
  <c r="C174" i="19" s="1"/>
  <c r="E308" i="5"/>
  <c r="H308" i="5"/>
  <c r="H307" i="5"/>
  <c r="F308" i="5"/>
  <c r="F307" i="5"/>
  <c r="E283" i="5"/>
  <c r="D340" i="18"/>
  <c r="J390" i="5" s="1"/>
  <c r="D341" i="18"/>
  <c r="J391" i="5" s="1"/>
  <c r="E282" i="5"/>
  <c r="H282" i="5"/>
  <c r="F283" i="5"/>
  <c r="F282" i="5"/>
  <c r="X83" i="5"/>
  <c r="E506" i="5"/>
  <c r="J506" i="5" s="1"/>
  <c r="X506" i="5" s="1"/>
  <c r="C202" i="13"/>
  <c r="C95" i="13"/>
  <c r="C106" i="13"/>
  <c r="C101" i="13"/>
  <c r="G506" i="5"/>
  <c r="Q234" i="18" l="1"/>
  <c r="I234" i="18"/>
  <c r="P234" i="18"/>
  <c r="H234" i="18"/>
  <c r="O234" i="18"/>
  <c r="G234" i="18"/>
  <c r="L234" i="18"/>
  <c r="N234" i="18"/>
  <c r="F234" i="18"/>
  <c r="K234" i="18"/>
  <c r="M234" i="18"/>
  <c r="J234" i="18"/>
  <c r="X104" i="5"/>
  <c r="C203" i="13"/>
  <c r="G606" i="5" s="1"/>
  <c r="E606" i="5" s="1"/>
  <c r="X391" i="5"/>
  <c r="C148" i="11"/>
  <c r="C170" i="19" s="1"/>
  <c r="C171" i="19" s="1"/>
  <c r="C172" i="19" s="1"/>
  <c r="C173" i="19" s="1"/>
  <c r="C175" i="19" s="1"/>
  <c r="C96" i="13"/>
  <c r="C97" i="13" s="1"/>
  <c r="C405" i="5"/>
  <c r="C107" i="13"/>
  <c r="C110" i="13" s="1"/>
  <c r="C102" i="13"/>
  <c r="I496" i="5" l="1"/>
  <c r="K496" i="5"/>
  <c r="W496" i="5" s="1"/>
  <c r="X496" i="5" s="1"/>
  <c r="G496" i="5"/>
  <c r="C234" i="18"/>
  <c r="D356" i="18"/>
  <c r="C103" i="13"/>
  <c r="D381" i="18" s="1"/>
  <c r="C129" i="5"/>
  <c r="C176" i="19"/>
  <c r="F405" i="5"/>
  <c r="H405" i="5"/>
  <c r="C120" i="13"/>
  <c r="C497" i="5" s="1"/>
  <c r="C496" i="5"/>
  <c r="C108" i="13"/>
  <c r="C109" i="13" s="1"/>
  <c r="I284" i="5" l="1"/>
  <c r="J284" i="5" s="1"/>
  <c r="K497" i="5"/>
  <c r="W497" i="5" s="1"/>
  <c r="X497" i="5" s="1"/>
  <c r="I497" i="5"/>
  <c r="G405" i="5"/>
  <c r="K129" i="5"/>
  <c r="W129" i="5" s="1"/>
  <c r="I129" i="5"/>
  <c r="J129" i="5" s="1"/>
  <c r="E405" i="5"/>
  <c r="C130" i="5"/>
  <c r="W134" i="5"/>
  <c r="J134" i="5"/>
  <c r="C98" i="11"/>
  <c r="C112" i="13"/>
  <c r="C111" i="13"/>
  <c r="C113" i="13" s="1"/>
  <c r="J495" i="5" s="1"/>
  <c r="C116" i="13"/>
  <c r="C114" i="13"/>
  <c r="C115" i="13" s="1"/>
  <c r="H496" i="5"/>
  <c r="F496" i="5"/>
  <c r="E496" i="5"/>
  <c r="F497" i="5"/>
  <c r="H497" i="5"/>
  <c r="K405" i="5" l="1"/>
  <c r="W405" i="5" s="1"/>
  <c r="K130" i="5"/>
  <c r="W130" i="5" s="1"/>
  <c r="I130" i="5"/>
  <c r="J130" i="5" s="1"/>
  <c r="I495" i="5"/>
  <c r="W135" i="5"/>
  <c r="J135" i="5"/>
  <c r="X134" i="5"/>
  <c r="X129" i="5"/>
  <c r="E495" i="5"/>
  <c r="G495" i="5"/>
  <c r="C116" i="11"/>
  <c r="C152" i="11" s="1"/>
  <c r="C121" i="13"/>
  <c r="X135" i="5" l="1"/>
  <c r="X130" i="5"/>
  <c r="G497" i="5"/>
  <c r="E497" i="5"/>
  <c r="J497" i="5"/>
  <c r="J277" i="5" l="1"/>
  <c r="J341" i="5" l="1"/>
  <c r="J342" i="5"/>
  <c r="X342" i="5" s="1"/>
  <c r="X386" i="5"/>
  <c r="J387" i="5"/>
  <c r="C14" i="14" l="1"/>
  <c r="C571" i="5" s="1"/>
  <c r="C16" i="20"/>
  <c r="G571" i="5" l="1"/>
  <c r="C14" i="20"/>
  <c r="C20" i="11" s="1"/>
  <c r="C318" i="5" l="1"/>
  <c r="C15" i="20"/>
  <c r="C17" i="20" s="1"/>
  <c r="C69" i="11"/>
  <c r="C70" i="11" s="1"/>
  <c r="C15" i="14"/>
  <c r="C572" i="5" s="1"/>
  <c r="C21" i="20"/>
  <c r="C22" i="20" s="1"/>
  <c r="C43" i="12" s="1"/>
  <c r="C21" i="11"/>
  <c r="K319" i="5" s="1"/>
  <c r="C29" i="14"/>
  <c r="C38" i="14" s="1"/>
  <c r="C316" i="5"/>
  <c r="C319" i="5"/>
  <c r="C317" i="5"/>
  <c r="C56" i="12"/>
  <c r="K318" i="5" l="1"/>
  <c r="W318" i="5" s="1"/>
  <c r="K317" i="5"/>
  <c r="W317" i="5" s="1"/>
  <c r="G317" i="5"/>
  <c r="G316" i="5"/>
  <c r="G319" i="5"/>
  <c r="G318" i="5"/>
  <c r="K316" i="5"/>
  <c r="W316" i="5" s="1"/>
  <c r="G572" i="5"/>
  <c r="W319" i="5"/>
  <c r="X319" i="5" s="1"/>
  <c r="C28" i="12"/>
  <c r="C39" i="12" s="1"/>
  <c r="C19" i="20"/>
  <c r="C32" i="14" s="1"/>
  <c r="C28" i="20"/>
  <c r="C29" i="20" s="1"/>
  <c r="C30" i="20" s="1"/>
  <c r="C92" i="5"/>
  <c r="C91" i="5"/>
  <c r="C23" i="20"/>
  <c r="C93" i="11" s="1"/>
  <c r="C90" i="5"/>
  <c r="C257" i="5"/>
  <c r="C256" i="5"/>
  <c r="D107" i="18"/>
  <c r="D105" i="18"/>
  <c r="D108" i="18"/>
  <c r="D106" i="18"/>
  <c r="C12" i="12"/>
  <c r="E316" i="5"/>
  <c r="E318" i="5"/>
  <c r="E319" i="5"/>
  <c r="E317" i="5"/>
  <c r="D268" i="18"/>
  <c r="D266" i="18"/>
  <c r="D269" i="18"/>
  <c r="D267" i="18"/>
  <c r="C298" i="5"/>
  <c r="C299" i="5"/>
  <c r="K299" i="5" l="1"/>
  <c r="W299" i="5" s="1"/>
  <c r="K257" i="5"/>
  <c r="W257" i="5" s="1"/>
  <c r="X257" i="5" s="1"/>
  <c r="G218" i="5"/>
  <c r="K217" i="5"/>
  <c r="W217" i="5" s="1"/>
  <c r="G217" i="5"/>
  <c r="K298" i="5"/>
  <c r="W298" i="5" s="1"/>
  <c r="G299" i="5"/>
  <c r="G257" i="5"/>
  <c r="K218" i="5"/>
  <c r="W218" i="5" s="1"/>
  <c r="K256" i="5"/>
  <c r="W256" i="5" s="1"/>
  <c r="X256" i="5" s="1"/>
  <c r="G256" i="5"/>
  <c r="G298" i="5"/>
  <c r="K90" i="5"/>
  <c r="W90" i="5" s="1"/>
  <c r="G90" i="5"/>
  <c r="G91" i="5"/>
  <c r="K91" i="5"/>
  <c r="W91" i="5" s="1"/>
  <c r="G92" i="5"/>
  <c r="K92" i="5"/>
  <c r="W92" i="5" s="1"/>
  <c r="C113" i="20"/>
  <c r="C217" i="5"/>
  <c r="C20" i="20"/>
  <c r="D55" i="18" s="1"/>
  <c r="C31" i="14"/>
  <c r="C218" i="5"/>
  <c r="C25" i="20"/>
  <c r="C26" i="20" s="1"/>
  <c r="C78" i="12" s="1"/>
  <c r="C70" i="12"/>
  <c r="C75" i="5"/>
  <c r="C74" i="5"/>
  <c r="C43" i="14"/>
  <c r="C73" i="5"/>
  <c r="C355" i="5"/>
  <c r="C356" i="5"/>
  <c r="C354" i="5"/>
  <c r="D69" i="18"/>
  <c r="D67" i="18"/>
  <c r="D68" i="18"/>
  <c r="E91" i="5"/>
  <c r="H91" i="5"/>
  <c r="F91" i="5"/>
  <c r="E92" i="5"/>
  <c r="F92" i="5"/>
  <c r="H92" i="5"/>
  <c r="E90" i="5"/>
  <c r="F90" i="5"/>
  <c r="H90" i="5"/>
  <c r="E299" i="5"/>
  <c r="E218" i="5"/>
  <c r="E298" i="5"/>
  <c r="E257" i="5"/>
  <c r="D170" i="18"/>
  <c r="E217" i="5"/>
  <c r="E256" i="5"/>
  <c r="D248" i="18"/>
  <c r="D208" i="18"/>
  <c r="D169" i="18"/>
  <c r="D209" i="18"/>
  <c r="D249" i="18"/>
  <c r="G74" i="5" l="1"/>
  <c r="K74" i="5"/>
  <c r="W74" i="5" s="1"/>
  <c r="G75" i="5"/>
  <c r="K75" i="5"/>
  <c r="W75" i="5" s="1"/>
  <c r="K356" i="5"/>
  <c r="W356" i="5" s="1"/>
  <c r="X356" i="5" s="1"/>
  <c r="I356" i="5"/>
  <c r="G356" i="5"/>
  <c r="G355" i="5"/>
  <c r="K355" i="5"/>
  <c r="W355" i="5" s="1"/>
  <c r="X355" i="5" s="1"/>
  <c r="I355" i="5"/>
  <c r="K354" i="5"/>
  <c r="W354" i="5" s="1"/>
  <c r="X354" i="5" s="1"/>
  <c r="I354" i="5"/>
  <c r="G354" i="5"/>
  <c r="K73" i="5"/>
  <c r="W73" i="5" s="1"/>
  <c r="G73" i="5"/>
  <c r="F75" i="5"/>
  <c r="C27" i="20"/>
  <c r="D302" i="18" s="1"/>
  <c r="C454" i="5"/>
  <c r="J454" i="5" s="1"/>
  <c r="X454" i="5" s="1"/>
  <c r="E73" i="5"/>
  <c r="D54" i="18"/>
  <c r="D53" i="18"/>
  <c r="C89" i="11"/>
  <c r="C103" i="20"/>
  <c r="H73" i="5"/>
  <c r="C41" i="14"/>
  <c r="C40" i="14"/>
  <c r="C351" i="5"/>
  <c r="F73" i="5"/>
  <c r="C352" i="5"/>
  <c r="H74" i="5"/>
  <c r="F74" i="5"/>
  <c r="E74" i="5"/>
  <c r="E75" i="5"/>
  <c r="H75" i="5"/>
  <c r="C350" i="5"/>
  <c r="C111" i="11"/>
  <c r="C118" i="20" s="1"/>
  <c r="E169" i="18"/>
  <c r="E354" i="5"/>
  <c r="J354" i="5"/>
  <c r="F354" i="5"/>
  <c r="H354" i="5"/>
  <c r="E208" i="18"/>
  <c r="D305" i="18"/>
  <c r="D306" i="18"/>
  <c r="H356" i="5"/>
  <c r="E356" i="5"/>
  <c r="F356" i="5"/>
  <c r="E355" i="5"/>
  <c r="F355" i="5"/>
  <c r="H355" i="5"/>
  <c r="M169" i="18" l="1"/>
  <c r="G169" i="18"/>
  <c r="L169" i="18"/>
  <c r="O169" i="18"/>
  <c r="K169" i="18"/>
  <c r="H169" i="18"/>
  <c r="J169" i="18"/>
  <c r="P169" i="18"/>
  <c r="Q169" i="18"/>
  <c r="I169" i="18"/>
  <c r="N169" i="18"/>
  <c r="F169" i="18"/>
  <c r="Q208" i="18"/>
  <c r="I208" i="18"/>
  <c r="P208" i="18"/>
  <c r="H208" i="18"/>
  <c r="O208" i="18"/>
  <c r="G208" i="18"/>
  <c r="N208" i="18"/>
  <c r="F208" i="18"/>
  <c r="K208" i="18"/>
  <c r="M208" i="18"/>
  <c r="L208" i="18"/>
  <c r="J208" i="18"/>
  <c r="K352" i="5"/>
  <c r="W352" i="5" s="1"/>
  <c r="X352" i="5" s="1"/>
  <c r="I352" i="5"/>
  <c r="G352" i="5"/>
  <c r="K350" i="5"/>
  <c r="W350" i="5" s="1"/>
  <c r="X350" i="5" s="1"/>
  <c r="I350" i="5"/>
  <c r="G350" i="5"/>
  <c r="I351" i="5"/>
  <c r="G351" i="5"/>
  <c r="K351" i="5"/>
  <c r="W351" i="5" s="1"/>
  <c r="X351" i="5" s="1"/>
  <c r="F351" i="5"/>
  <c r="E350" i="5"/>
  <c r="D301" i="18"/>
  <c r="C107" i="11"/>
  <c r="C144" i="11" s="1"/>
  <c r="C114" i="20" s="1"/>
  <c r="C115" i="20" s="1"/>
  <c r="C116" i="20" s="1"/>
  <c r="C117" i="20" s="1"/>
  <c r="C119" i="20" s="1"/>
  <c r="C88" i="12"/>
  <c r="C87" i="12"/>
  <c r="C85" i="12"/>
  <c r="C86" i="12"/>
  <c r="C89" i="12" s="1"/>
  <c r="C447" i="5" s="1"/>
  <c r="J447" i="5" s="1"/>
  <c r="X447" i="5" s="1"/>
  <c r="J351" i="5"/>
  <c r="E351" i="5"/>
  <c r="J352" i="5"/>
  <c r="F352" i="5"/>
  <c r="H351" i="5"/>
  <c r="H352" i="5"/>
  <c r="E352" i="5"/>
  <c r="H350" i="5"/>
  <c r="J350" i="5"/>
  <c r="F350" i="5"/>
  <c r="C90" i="12" l="1"/>
  <c r="C446" i="5" s="1"/>
  <c r="J446" i="5" s="1"/>
  <c r="X446" i="5" s="1"/>
  <c r="C93" i="5"/>
  <c r="C108" i="20"/>
  <c r="C140" i="11"/>
  <c r="C158" i="11" s="1"/>
  <c r="C160" i="11" s="1"/>
  <c r="C91" i="12"/>
  <c r="C448" i="5" s="1"/>
  <c r="J448" i="5" s="1"/>
  <c r="X448" i="5" s="1"/>
  <c r="C120" i="20"/>
  <c r="C94" i="5" s="1"/>
  <c r="K94" i="5" l="1"/>
  <c r="W94" i="5" s="1"/>
  <c r="I94" i="5"/>
  <c r="J94" i="5" s="1"/>
  <c r="K93" i="5"/>
  <c r="W93" i="5" s="1"/>
  <c r="I93" i="5"/>
  <c r="J93" i="5" s="1"/>
  <c r="C13" i="21"/>
  <c r="C104" i="20"/>
  <c r="C105" i="20" s="1"/>
  <c r="C106" i="20" s="1"/>
  <c r="C107" i="20" s="1"/>
  <c r="C109" i="20" s="1"/>
  <c r="C92" i="12"/>
  <c r="C93" i="12" s="1"/>
  <c r="C94" i="12" s="1"/>
  <c r="C444" i="5" s="1"/>
  <c r="J444" i="5" s="1"/>
  <c r="X444" i="5" s="1"/>
  <c r="X93" i="5" l="1"/>
  <c r="C76" i="5"/>
  <c r="X94" i="5"/>
  <c r="C15" i="21"/>
  <c r="C162" i="11"/>
  <c r="C159" i="11"/>
  <c r="C165" i="11" s="1"/>
  <c r="C85" i="15" s="1"/>
  <c r="C94" i="14"/>
  <c r="E480" i="5"/>
  <c r="G479" i="5"/>
  <c r="G481" i="5"/>
  <c r="C482" i="5"/>
  <c r="C479" i="5"/>
  <c r="G482" i="5"/>
  <c r="G480" i="5"/>
  <c r="C25" i="21"/>
  <c r="C60" i="14" s="1"/>
  <c r="C36" i="21"/>
  <c r="C481" i="5"/>
  <c r="C24" i="21"/>
  <c r="C59" i="14" s="1"/>
  <c r="E481" i="5"/>
  <c r="D408" i="18"/>
  <c r="C64" i="15"/>
  <c r="D406" i="18"/>
  <c r="C480" i="5"/>
  <c r="C66" i="21"/>
  <c r="C8" i="21"/>
  <c r="C65" i="21" s="1"/>
  <c r="E479" i="5"/>
  <c r="E482" i="5"/>
  <c r="D407" i="18"/>
  <c r="C110" i="20"/>
  <c r="C77" i="5" s="1"/>
  <c r="C95" i="12"/>
  <c r="C450" i="5" s="1"/>
  <c r="J450" i="5" s="1"/>
  <c r="X450" i="5" s="1"/>
  <c r="C96" i="12"/>
  <c r="C451" i="5" s="1"/>
  <c r="J451" i="5" s="1"/>
  <c r="X451" i="5" s="1"/>
  <c r="K77" i="5" l="1"/>
  <c r="W77" i="5" s="1"/>
  <c r="I77" i="5"/>
  <c r="J77" i="5" s="1"/>
  <c r="K479" i="5"/>
  <c r="W479" i="5" s="1"/>
  <c r="X479" i="5" s="1"/>
  <c r="I479" i="5"/>
  <c r="J479" i="5" s="1"/>
  <c r="K482" i="5"/>
  <c r="W482" i="5" s="1"/>
  <c r="K480" i="5"/>
  <c r="W480" i="5" s="1"/>
  <c r="Y480" i="5" s="1"/>
  <c r="K76" i="5"/>
  <c r="W76" i="5" s="1"/>
  <c r="I76" i="5"/>
  <c r="J76" i="5" s="1"/>
  <c r="K481" i="5"/>
  <c r="W481" i="5" s="1"/>
  <c r="G492" i="5"/>
  <c r="C67" i="15"/>
  <c r="C69" i="15" s="1"/>
  <c r="C72" i="15" s="1"/>
  <c r="C12" i="21"/>
  <c r="C13" i="15" s="1"/>
  <c r="E492" i="5"/>
  <c r="J492" i="5" s="1"/>
  <c r="X492" i="5" s="1"/>
  <c r="C22" i="21"/>
  <c r="C57" i="14" s="1"/>
  <c r="C55" i="21"/>
  <c r="E468" i="5"/>
  <c r="C23" i="21"/>
  <c r="C58" i="14" s="1"/>
  <c r="C468" i="5"/>
  <c r="K468" i="5" s="1"/>
  <c r="C466" i="5"/>
  <c r="K466" i="5" s="1"/>
  <c r="C29" i="21"/>
  <c r="C93" i="14"/>
  <c r="C12" i="15" s="1"/>
  <c r="C7" i="21"/>
  <c r="G467" i="5"/>
  <c r="C467" i="5"/>
  <c r="K467" i="5" s="1"/>
  <c r="E467" i="5"/>
  <c r="D394" i="18"/>
  <c r="G466" i="5"/>
  <c r="E466" i="5"/>
  <c r="D393" i="18"/>
  <c r="D392" i="18"/>
  <c r="C465" i="5"/>
  <c r="G468" i="5"/>
  <c r="C63" i="15"/>
  <c r="C66" i="15" s="1"/>
  <c r="E465" i="5"/>
  <c r="G465" i="5"/>
  <c r="C161" i="11"/>
  <c r="C56" i="14" s="1"/>
  <c r="C14" i="15"/>
  <c r="C19" i="21"/>
  <c r="C67" i="21" s="1"/>
  <c r="C68" i="21" s="1"/>
  <c r="C69" i="21" s="1"/>
  <c r="C72" i="21" s="1"/>
  <c r="G110" i="21" s="1"/>
  <c r="K110" i="21" s="1"/>
  <c r="C35" i="21"/>
  <c r="C74" i="15" l="1"/>
  <c r="C73" i="15"/>
  <c r="X76" i="5"/>
  <c r="K465" i="5"/>
  <c r="W465" i="5" s="1"/>
  <c r="Y465" i="5" s="1"/>
  <c r="I465" i="5"/>
  <c r="J465" i="5" s="1"/>
  <c r="C61" i="14"/>
  <c r="G569" i="5" s="1"/>
  <c r="H569" i="5" s="1"/>
  <c r="C33" i="15"/>
  <c r="C49" i="15" s="1"/>
  <c r="X482" i="5"/>
  <c r="Y482" i="5"/>
  <c r="Y481" i="5"/>
  <c r="X481" i="5"/>
  <c r="W467" i="5"/>
  <c r="W466" i="5"/>
  <c r="X77" i="5"/>
  <c r="W468" i="5"/>
  <c r="C18" i="21"/>
  <c r="C56" i="21" s="1"/>
  <c r="C14" i="21"/>
  <c r="C16" i="21" s="1"/>
  <c r="C593" i="5" s="1"/>
  <c r="H593" i="5" s="1"/>
  <c r="C42" i="14"/>
  <c r="C44" i="14" s="1"/>
  <c r="C559" i="5" s="1"/>
  <c r="H559" i="5" s="1"/>
  <c r="C569" i="5"/>
  <c r="C163" i="11"/>
  <c r="C51" i="11" s="1"/>
  <c r="C15" i="15"/>
  <c r="D518" i="5"/>
  <c r="C518" i="5"/>
  <c r="C54" i="21"/>
  <c r="C28" i="21"/>
  <c r="C198" i="5"/>
  <c r="Y479" i="5"/>
  <c r="C37" i="21"/>
  <c r="C38" i="21" s="1"/>
  <c r="G97" i="21" s="1"/>
  <c r="K97" i="21" s="1"/>
  <c r="C71" i="21"/>
  <c r="C73" i="21" s="1"/>
  <c r="C74" i="21" s="1"/>
  <c r="K198" i="5" l="1"/>
  <c r="W198" i="5" s="1"/>
  <c r="X198" i="5" s="1"/>
  <c r="I198" i="5"/>
  <c r="J198" i="5" s="1"/>
  <c r="G198" i="5"/>
  <c r="C133" i="13"/>
  <c r="C184" i="5" s="1"/>
  <c r="C192" i="5"/>
  <c r="C50" i="11"/>
  <c r="C170" i="5" s="1"/>
  <c r="C49" i="11"/>
  <c r="C55" i="11"/>
  <c r="C162" i="5" s="1"/>
  <c r="C53" i="11"/>
  <c r="C153" i="5" s="1"/>
  <c r="C52" i="11"/>
  <c r="C149" i="5" s="1"/>
  <c r="C58" i="11"/>
  <c r="C206" i="5" s="1"/>
  <c r="C57" i="11"/>
  <c r="C203" i="5" s="1"/>
  <c r="C36" i="15"/>
  <c r="C526" i="5"/>
  <c r="C629" i="5" s="1"/>
  <c r="C57" i="21"/>
  <c r="C58" i="21" s="1"/>
  <c r="C61" i="21" s="1"/>
  <c r="G105" i="21" s="1"/>
  <c r="K105" i="21" s="1"/>
  <c r="C30" i="21"/>
  <c r="C31" i="21" s="1"/>
  <c r="G88" i="21" s="1"/>
  <c r="K88" i="21" s="1"/>
  <c r="C37" i="15"/>
  <c r="G593" i="5"/>
  <c r="G559" i="5"/>
  <c r="C51" i="14"/>
  <c r="C95" i="14" s="1"/>
  <c r="C592" i="5" s="1"/>
  <c r="H592" i="5" s="1"/>
  <c r="E569" i="5"/>
  <c r="Y467" i="5"/>
  <c r="X467" i="5"/>
  <c r="X465" i="5"/>
  <c r="Y468" i="5"/>
  <c r="Y466" i="5"/>
  <c r="C199" i="5"/>
  <c r="C197" i="5"/>
  <c r="E198" i="5"/>
  <c r="H198" i="5"/>
  <c r="F198" i="5"/>
  <c r="C200" i="5"/>
  <c r="C156" i="5"/>
  <c r="C159" i="5"/>
  <c r="C158" i="5"/>
  <c r="C157" i="5"/>
  <c r="C39" i="21"/>
  <c r="G95" i="21"/>
  <c r="K95" i="21" s="1"/>
  <c r="G100" i="21"/>
  <c r="K100" i="21" s="1"/>
  <c r="G98" i="21"/>
  <c r="K98" i="21" s="1"/>
  <c r="G99" i="21"/>
  <c r="K99" i="21" s="1"/>
  <c r="C40" i="21" l="1"/>
  <c r="C82" i="21"/>
  <c r="C43" i="15"/>
  <c r="C40" i="15"/>
  <c r="C42" i="15"/>
  <c r="C46" i="15"/>
  <c r="C41" i="15"/>
  <c r="C45" i="15"/>
  <c r="C44" i="15"/>
  <c r="G192" i="5"/>
  <c r="K192" i="5"/>
  <c r="W192" i="5" s="1"/>
  <c r="X192" i="5" s="1"/>
  <c r="I199" i="5"/>
  <c r="J199" i="5" s="1"/>
  <c r="G199" i="5"/>
  <c r="K199" i="5"/>
  <c r="W199" i="5" s="1"/>
  <c r="X199" i="5" s="1"/>
  <c r="G159" i="5"/>
  <c r="K159" i="5"/>
  <c r="W159" i="5" s="1"/>
  <c r="X159" i="5" s="1"/>
  <c r="I159" i="5"/>
  <c r="J159" i="5" s="1"/>
  <c r="G197" i="5"/>
  <c r="K197" i="5"/>
  <c r="W197" i="5" s="1"/>
  <c r="X197" i="5" s="1"/>
  <c r="I197" i="5"/>
  <c r="J197" i="5" s="1"/>
  <c r="I158" i="5"/>
  <c r="J158" i="5" s="1"/>
  <c r="G158" i="5"/>
  <c r="K158" i="5"/>
  <c r="W158" i="5" s="1"/>
  <c r="X158" i="5" s="1"/>
  <c r="K206" i="5"/>
  <c r="W206" i="5" s="1"/>
  <c r="G206" i="5"/>
  <c r="G200" i="5"/>
  <c r="K200" i="5"/>
  <c r="W200" i="5" s="1"/>
  <c r="X200" i="5" s="1"/>
  <c r="I200" i="5"/>
  <c r="J200" i="5" s="1"/>
  <c r="K153" i="5"/>
  <c r="W153" i="5" s="1"/>
  <c r="G153" i="5"/>
  <c r="K157" i="5"/>
  <c r="W157" i="5" s="1"/>
  <c r="I157" i="5"/>
  <c r="J157" i="5" s="1"/>
  <c r="G157" i="5"/>
  <c r="K203" i="5"/>
  <c r="W203" i="5" s="1"/>
  <c r="G203" i="5"/>
  <c r="K156" i="5"/>
  <c r="W156" i="5" s="1"/>
  <c r="X156" i="5" s="1"/>
  <c r="I156" i="5"/>
  <c r="J156" i="5" s="1"/>
  <c r="G156" i="5"/>
  <c r="K162" i="5"/>
  <c r="W162" i="5" s="1"/>
  <c r="G162" i="5"/>
  <c r="C202" i="5"/>
  <c r="E206" i="5"/>
  <c r="H200" i="5"/>
  <c r="F197" i="5"/>
  <c r="H199" i="5"/>
  <c r="E162" i="5"/>
  <c r="C60" i="21"/>
  <c r="C62" i="21" s="1"/>
  <c r="C63" i="21" s="1"/>
  <c r="C161" i="5"/>
  <c r="H162" i="5"/>
  <c r="C164" i="5"/>
  <c r="F162" i="5"/>
  <c r="C163" i="5"/>
  <c r="C148" i="5"/>
  <c r="C147" i="5"/>
  <c r="C146" i="5"/>
  <c r="C52" i="14"/>
  <c r="C557" i="5" s="1"/>
  <c r="G557" i="5" s="1"/>
  <c r="C53" i="14"/>
  <c r="C558" i="5" s="1"/>
  <c r="H558" i="5" s="1"/>
  <c r="C195" i="5"/>
  <c r="H203" i="5"/>
  <c r="F203" i="5"/>
  <c r="E203" i="5"/>
  <c r="G592" i="5"/>
  <c r="C97" i="12"/>
  <c r="C98" i="12" s="1"/>
  <c r="C457" i="5" s="1"/>
  <c r="J457" i="5" s="1"/>
  <c r="X457" i="5" s="1"/>
  <c r="C168" i="5"/>
  <c r="C154" i="5"/>
  <c r="C167" i="5"/>
  <c r="G91" i="21"/>
  <c r="K91" i="21" s="1"/>
  <c r="C169" i="5"/>
  <c r="C166" i="5"/>
  <c r="C152" i="5"/>
  <c r="C151" i="5"/>
  <c r="F153" i="5"/>
  <c r="C193" i="5"/>
  <c r="C194" i="5"/>
  <c r="G89" i="21"/>
  <c r="K89" i="21" s="1"/>
  <c r="C208" i="5"/>
  <c r="C207" i="5"/>
  <c r="C185" i="5"/>
  <c r="C186" i="5"/>
  <c r="C183" i="5"/>
  <c r="E153" i="5"/>
  <c r="C205" i="5"/>
  <c r="F206" i="5"/>
  <c r="H206" i="5"/>
  <c r="G90" i="21"/>
  <c r="K90" i="21" s="1"/>
  <c r="G86" i="21"/>
  <c r="K86" i="21" s="1"/>
  <c r="C32" i="21"/>
  <c r="Y508" i="5"/>
  <c r="E199" i="5"/>
  <c r="H197" i="5"/>
  <c r="E197" i="5"/>
  <c r="F199" i="5"/>
  <c r="E200" i="5"/>
  <c r="F200" i="5"/>
  <c r="F192" i="5"/>
  <c r="E192" i="5"/>
  <c r="H192" i="5"/>
  <c r="F157" i="5"/>
  <c r="H157" i="5"/>
  <c r="E157" i="5"/>
  <c r="F158" i="5"/>
  <c r="E158" i="5"/>
  <c r="H158" i="5"/>
  <c r="E159" i="5"/>
  <c r="H159" i="5"/>
  <c r="F159" i="5"/>
  <c r="E156" i="5"/>
  <c r="H156" i="5"/>
  <c r="F156" i="5"/>
  <c r="C33" i="21" l="1"/>
  <c r="C81" i="21"/>
  <c r="K152" i="5"/>
  <c r="W152" i="5" s="1"/>
  <c r="G152" i="5"/>
  <c r="H202" i="5"/>
  <c r="K202" i="5"/>
  <c r="W202" i="5" s="1"/>
  <c r="G202" i="5"/>
  <c r="G163" i="5"/>
  <c r="K163" i="5"/>
  <c r="W163" i="5" s="1"/>
  <c r="K151" i="5"/>
  <c r="W151" i="5" s="1"/>
  <c r="X151" i="5" s="1"/>
  <c r="G151" i="5"/>
  <c r="K205" i="5"/>
  <c r="W205" i="5" s="1"/>
  <c r="X205" i="5" s="1"/>
  <c r="G205" i="5"/>
  <c r="K194" i="5"/>
  <c r="W194" i="5" s="1"/>
  <c r="G194" i="5"/>
  <c r="K195" i="5"/>
  <c r="W195" i="5" s="1"/>
  <c r="X195" i="5" s="1"/>
  <c r="G195" i="5"/>
  <c r="K164" i="5"/>
  <c r="W164" i="5" s="1"/>
  <c r="X164" i="5" s="1"/>
  <c r="G164" i="5"/>
  <c r="K207" i="5"/>
  <c r="W207" i="5" s="1"/>
  <c r="G207" i="5"/>
  <c r="K208" i="5"/>
  <c r="W208" i="5" s="1"/>
  <c r="X208" i="5" s="1"/>
  <c r="G208" i="5"/>
  <c r="G193" i="5"/>
  <c r="K193" i="5"/>
  <c r="W193" i="5" s="1"/>
  <c r="K154" i="5"/>
  <c r="W154" i="5" s="1"/>
  <c r="X154" i="5" s="1"/>
  <c r="G154" i="5"/>
  <c r="K161" i="5"/>
  <c r="W161" i="5" s="1"/>
  <c r="X161" i="5" s="1"/>
  <c r="G161" i="5"/>
  <c r="E202" i="5"/>
  <c r="F202" i="5"/>
  <c r="H207" i="5"/>
  <c r="E161" i="5"/>
  <c r="E152" i="5"/>
  <c r="H194" i="5"/>
  <c r="F205" i="5"/>
  <c r="F193" i="5"/>
  <c r="E154" i="5"/>
  <c r="E164" i="5"/>
  <c r="F164" i="5"/>
  <c r="C47" i="15"/>
  <c r="C528" i="5" s="1"/>
  <c r="C631" i="5" s="1"/>
  <c r="F161" i="5"/>
  <c r="H161" i="5"/>
  <c r="F163" i="5"/>
  <c r="E163" i="5"/>
  <c r="H163" i="5"/>
  <c r="H164" i="5"/>
  <c r="H557" i="5"/>
  <c r="E195" i="5"/>
  <c r="H195" i="5"/>
  <c r="F195" i="5"/>
  <c r="G558" i="5"/>
  <c r="C462" i="5"/>
  <c r="J462" i="5" s="1"/>
  <c r="X462" i="5" s="1"/>
  <c r="C461" i="5"/>
  <c r="J461" i="5" s="1"/>
  <c r="X461" i="5" s="1"/>
  <c r="C456" i="5"/>
  <c r="J456" i="5" s="1"/>
  <c r="X456" i="5" s="1"/>
  <c r="C460" i="5"/>
  <c r="J460" i="5" s="1"/>
  <c r="X460" i="5" s="1"/>
  <c r="E151" i="5"/>
  <c r="F154" i="5"/>
  <c r="F208" i="5"/>
  <c r="F152" i="5"/>
  <c r="E207" i="5"/>
  <c r="F207" i="5"/>
  <c r="F151" i="5"/>
  <c r="H193" i="5"/>
  <c r="E193" i="5"/>
  <c r="H208" i="5"/>
  <c r="E194" i="5"/>
  <c r="F194" i="5"/>
  <c r="H205" i="5"/>
  <c r="E208" i="5"/>
  <c r="E205" i="5"/>
  <c r="X157" i="5"/>
  <c r="C179" i="5" l="1"/>
  <c r="C177" i="5"/>
  <c r="C180" i="5"/>
  <c r="C178" i="5"/>
  <c r="C181" i="5"/>
  <c r="X36" i="5" l="1"/>
  <c r="C205" i="18" l="1"/>
  <c r="C228" i="18"/>
  <c r="C202" i="18"/>
  <c r="J496" i="5"/>
  <c r="J399" i="5"/>
  <c r="J384" i="5"/>
  <c r="X384" i="5" s="1"/>
  <c r="J380" i="5"/>
  <c r="X380" i="5" s="1"/>
  <c r="J372" i="5"/>
  <c r="J368" i="5"/>
  <c r="J367" i="5"/>
  <c r="X367" i="5" s="1"/>
  <c r="J364" i="5"/>
  <c r="J360" i="5"/>
  <c r="J356" i="5"/>
  <c r="J301" i="5"/>
  <c r="J305" i="5"/>
  <c r="J260" i="5"/>
  <c r="J219" i="5"/>
  <c r="X219" i="5" s="1"/>
  <c r="J234" i="5"/>
  <c r="X234" i="5" s="1"/>
  <c r="J118" i="5"/>
  <c r="X118" i="5" s="1"/>
  <c r="J98" i="5"/>
  <c r="J113" i="5"/>
  <c r="X113" i="5" s="1"/>
  <c r="J81" i="5"/>
  <c r="J355" i="5"/>
  <c r="J80" i="5"/>
  <c r="J97" i="5"/>
  <c r="J235" i="5"/>
  <c r="J371" i="5"/>
  <c r="X371" i="5" s="1"/>
  <c r="J333" i="5"/>
  <c r="J117" i="5"/>
  <c r="X117" i="5" s="1"/>
  <c r="J363" i="5"/>
  <c r="J79" i="5"/>
  <c r="X79" i="5" s="1"/>
  <c r="J334" i="5"/>
  <c r="X334" i="5" s="1"/>
  <c r="J96" i="5"/>
  <c r="J336" i="5"/>
  <c r="J322" i="5"/>
  <c r="J321" i="5"/>
  <c r="J359" i="5"/>
  <c r="J261" i="5"/>
  <c r="J379" i="5"/>
  <c r="J398" i="5"/>
  <c r="X398" i="5" s="1"/>
  <c r="J112" i="5"/>
  <c r="X112" i="5" s="1"/>
  <c r="J383" i="5"/>
  <c r="J324" i="5"/>
  <c r="J386" i="5"/>
  <c r="J220" i="5"/>
  <c r="J304" i="5"/>
  <c r="X304" i="5" s="1"/>
  <c r="J300" i="5"/>
  <c r="X300" i="5" s="1"/>
  <c r="J335" i="5"/>
  <c r="X335" i="5" s="1"/>
  <c r="J323" i="5"/>
  <c r="X323" i="5" s="1"/>
  <c r="I280" i="5" l="1"/>
  <c r="J280" i="5" s="1"/>
  <c r="I255" i="5"/>
  <c r="J255" i="5" s="1"/>
  <c r="I252" i="5"/>
  <c r="J252" i="5" s="1"/>
  <c r="C16" i="18"/>
  <c r="J42" i="5" s="1"/>
  <c r="I42" i="5" s="1"/>
  <c r="X42" i="5" l="1"/>
  <c r="C10" i="14"/>
  <c r="G567" i="5" s="1"/>
  <c r="H567" i="5" s="1"/>
  <c r="C199" i="18" l="1"/>
  <c r="I249" i="5" l="1"/>
  <c r="J249" i="5" s="1"/>
  <c r="X249" i="5" s="1"/>
  <c r="B123" i="21"/>
  <c r="X311" i="5" l="1"/>
  <c r="C490" i="5"/>
  <c r="B137" i="21"/>
  <c r="C476" i="5"/>
  <c r="K476" i="5" l="1"/>
  <c r="W476" i="5" s="1"/>
  <c r="I476" i="5"/>
  <c r="J476" i="5" s="1"/>
  <c r="G476" i="5"/>
  <c r="K490" i="5"/>
  <c r="W490" i="5" s="1"/>
  <c r="I490" i="5"/>
  <c r="J490" i="5" s="1"/>
  <c r="G490" i="5"/>
  <c r="D490" i="5"/>
  <c r="H490" i="5"/>
  <c r="F490" i="5"/>
  <c r="E490" i="5"/>
  <c r="H476" i="5"/>
  <c r="F476" i="5"/>
  <c r="D476" i="5"/>
  <c r="E476" i="5"/>
  <c r="X490" i="5" l="1"/>
  <c r="D122" i="21"/>
  <c r="D121" i="21"/>
  <c r="D120" i="21"/>
  <c r="D118" i="21"/>
  <c r="D119" i="21"/>
  <c r="D136" i="21"/>
  <c r="D135" i="21"/>
  <c r="D132" i="21"/>
  <c r="D133" i="21"/>
  <c r="D134" i="21"/>
  <c r="X476" i="5"/>
  <c r="C141" i="21" l="1"/>
  <c r="C23" i="15"/>
  <c r="C24" i="15" s="1"/>
  <c r="T490" i="5" l="1"/>
  <c r="T491" i="5"/>
  <c r="P490" i="5"/>
  <c r="U490" i="5"/>
  <c r="Q491" i="5"/>
  <c r="P491" i="5"/>
  <c r="Q490" i="5"/>
  <c r="C25" i="15"/>
  <c r="C26" i="15" s="1"/>
  <c r="C27" i="15" s="1"/>
  <c r="R490" i="5"/>
  <c r="S490" i="5"/>
  <c r="O491" i="5"/>
  <c r="R491" i="5"/>
  <c r="V491" i="5"/>
  <c r="O490" i="5"/>
  <c r="N491" i="5"/>
  <c r="U491" i="5"/>
  <c r="N490" i="5"/>
  <c r="V490" i="5"/>
  <c r="S491" i="5"/>
  <c r="C197" i="17" l="1"/>
  <c r="C173" i="18" l="1"/>
  <c r="C171" i="18"/>
  <c r="C187" i="18"/>
  <c r="C169" i="18"/>
  <c r="C167" i="18"/>
  <c r="C175" i="18"/>
  <c r="C192" i="18"/>
  <c r="C184" i="18"/>
  <c r="C193" i="18"/>
  <c r="C181" i="18"/>
  <c r="C190" i="18"/>
  <c r="C161" i="18"/>
  <c r="C164" i="18"/>
  <c r="C178" i="18"/>
  <c r="C226" i="18"/>
  <c r="C232" i="18"/>
  <c r="C203" i="18"/>
  <c r="C212" i="18"/>
  <c r="C197" i="18"/>
  <c r="C200" i="18"/>
  <c r="C229" i="18"/>
  <c r="C217" i="18"/>
  <c r="J265" i="5" s="1"/>
  <c r="C206" i="18"/>
  <c r="J271" i="5" s="1"/>
  <c r="C220" i="18"/>
  <c r="C210" i="18"/>
  <c r="C214" i="18"/>
  <c r="C223" i="18"/>
  <c r="J275" i="5" s="1"/>
  <c r="C231" i="18"/>
  <c r="C208" i="18"/>
  <c r="C330" i="18"/>
  <c r="C302" i="18"/>
  <c r="C314" i="18"/>
  <c r="C341" i="18"/>
  <c r="C326" i="18"/>
  <c r="C334" i="18"/>
  <c r="C318" i="18"/>
  <c r="C353" i="18"/>
  <c r="C310" i="18"/>
  <c r="C345" i="18"/>
  <c r="C349" i="18"/>
  <c r="C322" i="18"/>
  <c r="C306" i="18"/>
  <c r="D387" i="18"/>
  <c r="D388" i="18"/>
  <c r="D40" i="18"/>
  <c r="D22" i="18"/>
  <c r="C244" i="18"/>
  <c r="C238" i="18"/>
  <c r="C241" i="18"/>
  <c r="C259" i="18"/>
  <c r="C247" i="18"/>
  <c r="C356" i="18"/>
  <c r="C120" i="18"/>
  <c r="C136" i="18"/>
  <c r="I177" i="5" s="1"/>
  <c r="C256" i="18"/>
  <c r="C243" i="18"/>
  <c r="C240" i="18"/>
  <c r="C246" i="18"/>
  <c r="C251" i="18"/>
  <c r="C249" i="18"/>
  <c r="C255" i="18"/>
  <c r="C253" i="18"/>
  <c r="C237" i="18"/>
  <c r="C258" i="18"/>
  <c r="C195" i="18"/>
  <c r="C177" i="18"/>
  <c r="C163" i="18"/>
  <c r="C189" i="18"/>
  <c r="C180" i="18"/>
  <c r="C186" i="18"/>
  <c r="C183" i="18"/>
  <c r="C166" i="18"/>
  <c r="D115" i="4"/>
  <c r="C115" i="4"/>
  <c r="C89" i="17"/>
  <c r="C90" i="17" s="1"/>
  <c r="E57" i="17" s="1"/>
  <c r="D67" i="4"/>
  <c r="C265" i="17"/>
  <c r="C266" i="17" s="1"/>
  <c r="E233" i="17" s="1"/>
  <c r="C67" i="4"/>
  <c r="C201" i="17"/>
  <c r="C202" i="17"/>
  <c r="I268" i="5" l="1"/>
  <c r="J268" i="5" s="1"/>
  <c r="I282" i="5"/>
  <c r="J282" i="5" s="1"/>
  <c r="I281" i="5"/>
  <c r="J281" i="5" s="1"/>
  <c r="I278" i="5"/>
  <c r="J278" i="5" s="1"/>
  <c r="H115" i="4"/>
  <c r="C258" i="17"/>
  <c r="C260" i="17" s="1"/>
  <c r="C257" i="17"/>
  <c r="C82" i="17"/>
  <c r="C84" i="17" s="1"/>
  <c r="C81" i="17"/>
  <c r="C287" i="18"/>
  <c r="C71" i="18"/>
  <c r="C336" i="18"/>
  <c r="C91" i="18"/>
  <c r="I137" i="5" s="1"/>
  <c r="J137" i="5" s="1"/>
  <c r="X137" i="5" s="1"/>
  <c r="C194" i="18"/>
  <c r="I244" i="5" s="1"/>
  <c r="J244" i="5" s="1"/>
  <c r="X244" i="5" s="1"/>
  <c r="C284" i="18"/>
  <c r="I338" i="5" s="1"/>
  <c r="J338" i="5" s="1"/>
  <c r="X338" i="5" s="1"/>
  <c r="C230" i="18"/>
  <c r="C43" i="18"/>
  <c r="I69" i="5" s="1"/>
  <c r="J69" i="5" s="1"/>
  <c r="X69" i="5" s="1"/>
  <c r="C204" i="18"/>
  <c r="I254" i="5" s="1"/>
  <c r="J254" i="5" s="1"/>
  <c r="C176" i="18"/>
  <c r="C157" i="18"/>
  <c r="I207" i="5" s="1"/>
  <c r="J207" i="5" s="1"/>
  <c r="X207" i="5" s="1"/>
  <c r="I405" i="5"/>
  <c r="J405" i="5" s="1"/>
  <c r="X405" i="5" s="1"/>
  <c r="I403" i="5"/>
  <c r="J403" i="5" s="1"/>
  <c r="X403" i="5" s="1"/>
  <c r="I376" i="5"/>
  <c r="J376" i="5" s="1"/>
  <c r="X376" i="5" s="1"/>
  <c r="I309" i="5"/>
  <c r="J309" i="5" s="1"/>
  <c r="I308" i="5"/>
  <c r="J308" i="5" s="1"/>
  <c r="X308" i="5" s="1"/>
  <c r="I306" i="5"/>
  <c r="J306" i="5" s="1"/>
  <c r="X306" i="5" s="1"/>
  <c r="I303" i="5"/>
  <c r="J303" i="5" s="1"/>
  <c r="X303" i="5" s="1"/>
  <c r="I299" i="5"/>
  <c r="J299" i="5" s="1"/>
  <c r="X299" i="5" s="1"/>
  <c r="I294" i="5"/>
  <c r="J294" i="5" s="1"/>
  <c r="X294" i="5" s="1"/>
  <c r="I293" i="5"/>
  <c r="J293" i="5" s="1"/>
  <c r="X293" i="5" s="1"/>
  <c r="I291" i="5"/>
  <c r="J291" i="5" s="1"/>
  <c r="I290" i="5"/>
  <c r="J290" i="5" s="1"/>
  <c r="X290" i="5" s="1"/>
  <c r="I288" i="5"/>
  <c r="J288" i="5" s="1"/>
  <c r="X288" i="5" s="1"/>
  <c r="I287" i="5"/>
  <c r="J287" i="5" s="1"/>
  <c r="X287" i="5" s="1"/>
  <c r="I256" i="5"/>
  <c r="J256" i="5" s="1"/>
  <c r="I253" i="5"/>
  <c r="J253" i="5" s="1"/>
  <c r="I250" i="5"/>
  <c r="J250" i="5" s="1"/>
  <c r="X250" i="5" s="1"/>
  <c r="I247" i="5"/>
  <c r="J247" i="5" s="1"/>
  <c r="X247" i="5" s="1"/>
  <c r="I245" i="5"/>
  <c r="J245" i="5" s="1"/>
  <c r="I243" i="5"/>
  <c r="J243" i="5" s="1"/>
  <c r="X243" i="5" s="1"/>
  <c r="I242" i="5"/>
  <c r="J242" i="5" s="1"/>
  <c r="X242" i="5" s="1"/>
  <c r="I241" i="5"/>
  <c r="J241" i="5" s="1"/>
  <c r="I239" i="5"/>
  <c r="J239" i="5" s="1"/>
  <c r="X239" i="5" s="1"/>
  <c r="I238" i="5"/>
  <c r="J238" i="5" s="1"/>
  <c r="I236" i="5"/>
  <c r="J236" i="5" s="1"/>
  <c r="X236" i="5" s="1"/>
  <c r="I232" i="5"/>
  <c r="J232" i="5" s="1"/>
  <c r="X232" i="5" s="1"/>
  <c r="I231" i="5"/>
  <c r="J231" i="5" s="1"/>
  <c r="X231" i="5" s="1"/>
  <c r="I229" i="5"/>
  <c r="J229" i="5" s="1"/>
  <c r="X229" i="5" s="1"/>
  <c r="I228" i="5"/>
  <c r="J228" i="5" s="1"/>
  <c r="I226" i="5"/>
  <c r="J226" i="5" s="1"/>
  <c r="X226" i="5" s="1"/>
  <c r="I221" i="5"/>
  <c r="J221" i="5" s="1"/>
  <c r="X221" i="5" s="1"/>
  <c r="I217" i="5"/>
  <c r="J217" i="5" s="1"/>
  <c r="X217" i="5" s="1"/>
  <c r="I216" i="5"/>
  <c r="J216" i="5" s="1"/>
  <c r="X216" i="5" s="1"/>
  <c r="I214" i="5"/>
  <c r="J214" i="5" s="1"/>
  <c r="X214" i="5" s="1"/>
  <c r="I211" i="5"/>
  <c r="J211" i="5" s="1"/>
  <c r="X211" i="5" s="1"/>
  <c r="I166" i="5"/>
  <c r="J166" i="5" s="1"/>
  <c r="C86" i="18"/>
  <c r="C134" i="18"/>
  <c r="C149" i="18"/>
  <c r="C152" i="18"/>
  <c r="C127" i="18"/>
  <c r="C292" i="18"/>
  <c r="C394" i="18"/>
  <c r="C285" i="18"/>
  <c r="C28" i="18"/>
  <c r="C103" i="18"/>
  <c r="C305" i="18"/>
  <c r="C381" i="18"/>
  <c r="C295" i="18"/>
  <c r="C201" i="18"/>
  <c r="C150" i="18"/>
  <c r="C375" i="18"/>
  <c r="C340" i="18"/>
  <c r="C15" i="18"/>
  <c r="C325" i="18"/>
  <c r="C227" i="18"/>
  <c r="C10" i="18"/>
  <c r="C288" i="18"/>
  <c r="C143" i="18"/>
  <c r="C129" i="18"/>
  <c r="C126" i="18"/>
  <c r="C313" i="18"/>
  <c r="C118" i="18"/>
  <c r="C282" i="18"/>
  <c r="C82" i="18"/>
  <c r="C9" i="18"/>
  <c r="C215" i="18"/>
  <c r="C101" i="18"/>
  <c r="C153" i="18"/>
  <c r="C272" i="18"/>
  <c r="C37" i="18"/>
  <c r="C174" i="18"/>
  <c r="C370" i="18"/>
  <c r="C321" i="18"/>
  <c r="C38" i="18"/>
  <c r="C113" i="18"/>
  <c r="C301" i="18"/>
  <c r="C209" i="18"/>
  <c r="C277" i="18"/>
  <c r="C156" i="18"/>
  <c r="C211" i="18"/>
  <c r="C360" i="18"/>
  <c r="C329" i="18"/>
  <c r="C273" i="18"/>
  <c r="C35" i="18"/>
  <c r="C105" i="18"/>
  <c r="C188" i="18"/>
  <c r="C122" i="18"/>
  <c r="C155" i="18"/>
  <c r="C111" i="18"/>
  <c r="C233" i="18"/>
  <c r="C108" i="18"/>
  <c r="C333" i="18"/>
  <c r="C224" i="18"/>
  <c r="J276" i="5" s="1"/>
  <c r="C309" i="18"/>
  <c r="C279" i="18"/>
  <c r="C198" i="18"/>
  <c r="C293" i="18"/>
  <c r="C147" i="18"/>
  <c r="C145" i="18"/>
  <c r="C93" i="18"/>
  <c r="C221" i="18"/>
  <c r="C106" i="18"/>
  <c r="C96" i="18"/>
  <c r="C182" i="18"/>
  <c r="C117" i="18"/>
  <c r="C121" i="18"/>
  <c r="C276" i="18"/>
  <c r="C102" i="18"/>
  <c r="C65" i="18"/>
  <c r="C384" i="18"/>
  <c r="C271" i="18"/>
  <c r="C165" i="18"/>
  <c r="C162" i="18"/>
  <c r="I213" i="5" s="1"/>
  <c r="C44" i="18"/>
  <c r="C291" i="18"/>
  <c r="C191" i="18"/>
  <c r="C73" i="18"/>
  <c r="C269" i="18"/>
  <c r="C107" i="18"/>
  <c r="C48" i="18"/>
  <c r="C267" i="18"/>
  <c r="C100" i="18"/>
  <c r="C185" i="18"/>
  <c r="C274" i="18"/>
  <c r="C68" i="18"/>
  <c r="C55" i="18"/>
  <c r="C123" i="18"/>
  <c r="C79" i="18"/>
  <c r="C62" i="18"/>
  <c r="C172" i="18"/>
  <c r="C92" i="18"/>
  <c r="C242" i="18"/>
  <c r="C369" i="18"/>
  <c r="C254" i="18"/>
  <c r="C374" i="18"/>
  <c r="C252" i="18"/>
  <c r="C115" i="18"/>
  <c r="C179" i="18"/>
  <c r="C280" i="18"/>
  <c r="C142" i="18"/>
  <c r="C245" i="18"/>
  <c r="C359" i="18"/>
  <c r="C139" i="18"/>
  <c r="C250" i="18"/>
  <c r="C406" i="18"/>
  <c r="C49" i="18"/>
  <c r="C128" i="18"/>
  <c r="C387" i="18"/>
  <c r="C45" i="18"/>
  <c r="C51" i="18"/>
  <c r="C236" i="18"/>
  <c r="C364" i="18"/>
  <c r="C95" i="18"/>
  <c r="C361" i="18"/>
  <c r="C168" i="18"/>
  <c r="C27" i="18"/>
  <c r="C207" i="18"/>
  <c r="J272" i="5" s="1"/>
  <c r="C132" i="18"/>
  <c r="C144" i="18"/>
  <c r="C407" i="18"/>
  <c r="C344" i="18"/>
  <c r="C348" i="18"/>
  <c r="C213" i="18"/>
  <c r="C67" i="18"/>
  <c r="C64" i="18"/>
  <c r="C281" i="18"/>
  <c r="C110" i="18"/>
  <c r="C248" i="18"/>
  <c r="C366" i="18"/>
  <c r="C47" i="18"/>
  <c r="C69" i="18"/>
  <c r="C83" i="18"/>
  <c r="C131" i="18"/>
  <c r="C262" i="18"/>
  <c r="C263" i="18"/>
  <c r="C204" i="17"/>
  <c r="C230" i="17" s="1"/>
  <c r="AK86" i="3" s="1"/>
  <c r="C140" i="18"/>
  <c r="C365" i="18"/>
  <c r="C89" i="18"/>
  <c r="C148" i="18"/>
  <c r="C40" i="18"/>
  <c r="C112" i="18"/>
  <c r="C297" i="18"/>
  <c r="C337" i="18"/>
  <c r="C137" i="18"/>
  <c r="C158" i="18"/>
  <c r="C352" i="18"/>
  <c r="C257" i="18"/>
  <c r="C268" i="18"/>
  <c r="C116" i="18"/>
  <c r="C81" i="18"/>
  <c r="C124" i="18"/>
  <c r="C393" i="18"/>
  <c r="C317" i="18"/>
  <c r="C54" i="18"/>
  <c r="C218" i="18"/>
  <c r="J266" i="5" s="1"/>
  <c r="C392" i="18"/>
  <c r="C133" i="18"/>
  <c r="C261" i="18"/>
  <c r="C76" i="18"/>
  <c r="C22" i="18"/>
  <c r="C170" i="18"/>
  <c r="C14" i="18"/>
  <c r="C266" i="18"/>
  <c r="C138" i="18"/>
  <c r="C57" i="18"/>
  <c r="C296" i="18"/>
  <c r="C36" i="18"/>
  <c r="C75" i="18"/>
  <c r="C13" i="18"/>
  <c r="C371" i="18"/>
  <c r="C88" i="18"/>
  <c r="C377" i="18"/>
  <c r="C19" i="4"/>
  <c r="H67" i="4"/>
  <c r="C290" i="18"/>
  <c r="C388" i="18"/>
  <c r="C85" i="18"/>
  <c r="C8" i="18"/>
  <c r="C372" i="18"/>
  <c r="C78" i="21"/>
  <c r="C79" i="21"/>
  <c r="C234" i="17"/>
  <c r="C235" i="17" s="1"/>
  <c r="C236" i="17" s="1"/>
  <c r="E236" i="17" s="1"/>
  <c r="C237" i="17" s="1"/>
  <c r="C58" i="18"/>
  <c r="C408" i="18"/>
  <c r="C31" i="17"/>
  <c r="C207" i="17"/>
  <c r="C7" i="18"/>
  <c r="C355" i="18"/>
  <c r="C61" i="18"/>
  <c r="J177" i="5"/>
  <c r="C26" i="18"/>
  <c r="C29" i="18" s="1"/>
  <c r="J52" i="5" s="1"/>
  <c r="X480" i="5"/>
  <c r="G96" i="21"/>
  <c r="K96" i="21" s="1"/>
  <c r="L96" i="21" s="1"/>
  <c r="C491" i="5"/>
  <c r="K491" i="5" s="1"/>
  <c r="C59" i="18"/>
  <c r="C264" i="18"/>
  <c r="C97" i="18"/>
  <c r="C78" i="18"/>
  <c r="C53" i="18"/>
  <c r="C58" i="17"/>
  <c r="C59" i="17" s="1"/>
  <c r="C60" i="17" s="1"/>
  <c r="E60" i="17" s="1"/>
  <c r="C61" i="17" s="1"/>
  <c r="V86" i="3"/>
  <c r="G87" i="21"/>
  <c r="K87" i="21" s="1"/>
  <c r="L87" i="21" s="1"/>
  <c r="C477" i="5"/>
  <c r="K477" i="5" s="1"/>
  <c r="C72" i="18"/>
  <c r="C376" i="18"/>
  <c r="C362" i="18"/>
  <c r="C239" i="18"/>
  <c r="C367" i="18"/>
  <c r="I52" i="5" l="1"/>
  <c r="X52" i="5"/>
  <c r="C11" i="14"/>
  <c r="G568" i="5" s="1"/>
  <c r="H568" i="5" s="1"/>
  <c r="I70" i="5"/>
  <c r="J70" i="5" s="1"/>
  <c r="X70" i="5" s="1"/>
  <c r="I482" i="5"/>
  <c r="J482" i="5" s="1"/>
  <c r="I103" i="5"/>
  <c r="J103" i="5" s="1"/>
  <c r="X103" i="5" s="1"/>
  <c r="I481" i="5"/>
  <c r="J481" i="5" s="1"/>
  <c r="I480" i="5"/>
  <c r="J480" i="5" s="1"/>
  <c r="I311" i="5"/>
  <c r="J311" i="5" s="1"/>
  <c r="C5" i="14" s="1"/>
  <c r="G561" i="5" s="1"/>
  <c r="H561" i="5" s="1"/>
  <c r="I313" i="5"/>
  <c r="J313" i="5" s="1"/>
  <c r="I133" i="5"/>
  <c r="J133" i="5" s="1"/>
  <c r="X133" i="5" s="1"/>
  <c r="I102" i="5"/>
  <c r="J102" i="5" s="1"/>
  <c r="X102" i="5" s="1"/>
  <c r="I71" i="5"/>
  <c r="J71" i="5" s="1"/>
  <c r="X71" i="5" s="1"/>
  <c r="I132" i="5"/>
  <c r="J132" i="5" s="1"/>
  <c r="X132" i="5" s="1"/>
  <c r="I269" i="5"/>
  <c r="J269" i="5" s="1"/>
  <c r="I283" i="5"/>
  <c r="J283" i="5" s="1"/>
  <c r="I279" i="5"/>
  <c r="J279" i="5" s="1"/>
  <c r="E579" i="5"/>
  <c r="G579" i="5" s="1"/>
  <c r="G491" i="5"/>
  <c r="I491" i="5"/>
  <c r="J491" i="5" s="1"/>
  <c r="G477" i="5"/>
  <c r="I477" i="5"/>
  <c r="J477" i="5" s="1"/>
  <c r="I468" i="5"/>
  <c r="J468" i="5" s="1"/>
  <c r="X468" i="5" s="1"/>
  <c r="I467" i="5"/>
  <c r="J467" i="5" s="1"/>
  <c r="I466" i="5"/>
  <c r="J466" i="5" s="1"/>
  <c r="X466" i="5" s="1"/>
  <c r="I426" i="5"/>
  <c r="J426" i="5" s="1"/>
  <c r="X426" i="5" s="1"/>
  <c r="I425" i="5"/>
  <c r="J425" i="5" s="1"/>
  <c r="X425" i="5" s="1"/>
  <c r="I424" i="5"/>
  <c r="J424" i="5" s="1"/>
  <c r="X424" i="5" s="1"/>
  <c r="I423" i="5"/>
  <c r="J423" i="5" s="1"/>
  <c r="I421" i="5"/>
  <c r="J421" i="5" s="1"/>
  <c r="X421" i="5" s="1"/>
  <c r="I420" i="5"/>
  <c r="J420" i="5" s="1"/>
  <c r="X420" i="5" s="1"/>
  <c r="I419" i="5"/>
  <c r="J419" i="5" s="1"/>
  <c r="X419" i="5" s="1"/>
  <c r="I418" i="5"/>
  <c r="J418" i="5" s="1"/>
  <c r="I416" i="5"/>
  <c r="J416" i="5" s="1"/>
  <c r="I415" i="5"/>
  <c r="J415" i="5" s="1"/>
  <c r="I414" i="5"/>
  <c r="J414" i="5" s="1"/>
  <c r="I413" i="5"/>
  <c r="J413" i="5" s="1"/>
  <c r="I411" i="5"/>
  <c r="J411" i="5" s="1"/>
  <c r="X411" i="5" s="1"/>
  <c r="I410" i="5"/>
  <c r="J410" i="5" s="1"/>
  <c r="X410" i="5" s="1"/>
  <c r="I409" i="5"/>
  <c r="J409" i="5" s="1"/>
  <c r="X409" i="5" s="1"/>
  <c r="I408" i="5"/>
  <c r="J408" i="5" s="1"/>
  <c r="X408" i="5" s="1"/>
  <c r="I402" i="5"/>
  <c r="J402" i="5" s="1"/>
  <c r="X402" i="5" s="1"/>
  <c r="I375" i="5"/>
  <c r="J375" i="5" s="1"/>
  <c r="X375" i="5" s="1"/>
  <c r="I347" i="5"/>
  <c r="J347" i="5" s="1"/>
  <c r="X347" i="5" s="1"/>
  <c r="I346" i="5"/>
  <c r="J346" i="5" s="1"/>
  <c r="X346" i="5" s="1"/>
  <c r="I345" i="5"/>
  <c r="J345" i="5" s="1"/>
  <c r="X345" i="5" s="1"/>
  <c r="I344" i="5"/>
  <c r="J344" i="5" s="1"/>
  <c r="X344" i="5" s="1"/>
  <c r="I339" i="5"/>
  <c r="J339" i="5" s="1"/>
  <c r="X339" i="5" s="1"/>
  <c r="I331" i="5"/>
  <c r="J331" i="5" s="1"/>
  <c r="I330" i="5"/>
  <c r="J330" i="5" s="1"/>
  <c r="X330" i="5" s="1"/>
  <c r="I329" i="5"/>
  <c r="J329" i="5" s="1"/>
  <c r="I327" i="5"/>
  <c r="J327" i="5" s="1"/>
  <c r="X327" i="5" s="1"/>
  <c r="I326" i="5"/>
  <c r="J326" i="5" s="1"/>
  <c r="X326" i="5" s="1"/>
  <c r="I319" i="5"/>
  <c r="J319" i="5" s="1"/>
  <c r="I318" i="5"/>
  <c r="J318" i="5" s="1"/>
  <c r="X318" i="5" s="1"/>
  <c r="I317" i="5"/>
  <c r="J317" i="5" s="1"/>
  <c r="X317" i="5" s="1"/>
  <c r="I316" i="5"/>
  <c r="J316" i="5" s="1"/>
  <c r="X316" i="5" s="1"/>
  <c r="I314" i="5"/>
  <c r="J314" i="5" s="1"/>
  <c r="I312" i="5"/>
  <c r="J312" i="5" s="1"/>
  <c r="I307" i="5"/>
  <c r="J307" i="5" s="1"/>
  <c r="X307" i="5" s="1"/>
  <c r="I302" i="5"/>
  <c r="J302" i="5" s="1"/>
  <c r="X302" i="5" s="1"/>
  <c r="I298" i="5"/>
  <c r="J298" i="5" s="1"/>
  <c r="X298" i="5" s="1"/>
  <c r="I292" i="5"/>
  <c r="J292" i="5" s="1"/>
  <c r="X292" i="5" s="1"/>
  <c r="I289" i="5"/>
  <c r="J289" i="5" s="1"/>
  <c r="X289" i="5" s="1"/>
  <c r="I286" i="5"/>
  <c r="J286" i="5" s="1"/>
  <c r="X286" i="5" s="1"/>
  <c r="I257" i="5"/>
  <c r="J257" i="5" s="1"/>
  <c r="I251" i="5"/>
  <c r="J251" i="5" s="1"/>
  <c r="X251" i="5" s="1"/>
  <c r="I248" i="5"/>
  <c r="J248" i="5" s="1"/>
  <c r="X248" i="5" s="1"/>
  <c r="I240" i="5"/>
  <c r="J240" i="5" s="1"/>
  <c r="X240" i="5" s="1"/>
  <c r="I237" i="5"/>
  <c r="J237" i="5" s="1"/>
  <c r="X237" i="5" s="1"/>
  <c r="I233" i="5"/>
  <c r="J233" i="5" s="1"/>
  <c r="X233" i="5" s="1"/>
  <c r="I230" i="5"/>
  <c r="J230" i="5" s="1"/>
  <c r="X230" i="5" s="1"/>
  <c r="I227" i="5"/>
  <c r="J227" i="5" s="1"/>
  <c r="X227" i="5" s="1"/>
  <c r="I222" i="5"/>
  <c r="J222" i="5" s="1"/>
  <c r="X222" i="5" s="1"/>
  <c r="I218" i="5"/>
  <c r="J218" i="5" s="1"/>
  <c r="X218" i="5" s="1"/>
  <c r="I215" i="5"/>
  <c r="J215" i="5" s="1"/>
  <c r="X215" i="5" s="1"/>
  <c r="J213" i="5"/>
  <c r="X213" i="5" s="1"/>
  <c r="I212" i="5"/>
  <c r="J212" i="5" s="1"/>
  <c r="X212" i="5" s="1"/>
  <c r="I208" i="5"/>
  <c r="J208" i="5" s="1"/>
  <c r="I206" i="5"/>
  <c r="J206" i="5" s="1"/>
  <c r="X206" i="5" s="1"/>
  <c r="I205" i="5"/>
  <c r="J205" i="5" s="1"/>
  <c r="I203" i="5"/>
  <c r="J203" i="5" s="1"/>
  <c r="X203" i="5" s="1"/>
  <c r="I202" i="5"/>
  <c r="J202" i="5" s="1"/>
  <c r="X202" i="5" s="1"/>
  <c r="I195" i="5"/>
  <c r="J195" i="5" s="1"/>
  <c r="I194" i="5"/>
  <c r="J194" i="5" s="1"/>
  <c r="X194" i="5" s="1"/>
  <c r="I193" i="5"/>
  <c r="J193" i="5" s="1"/>
  <c r="X193" i="5" s="1"/>
  <c r="I192" i="5"/>
  <c r="J192" i="5" s="1"/>
  <c r="I186" i="5"/>
  <c r="J186" i="5" s="1"/>
  <c r="I185" i="5"/>
  <c r="J185" i="5" s="1"/>
  <c r="X185" i="5" s="1"/>
  <c r="I184" i="5"/>
  <c r="J184" i="5" s="1"/>
  <c r="X184" i="5" s="1"/>
  <c r="I183" i="5"/>
  <c r="J183" i="5" s="1"/>
  <c r="I181" i="5"/>
  <c r="J181" i="5" s="1"/>
  <c r="I180" i="5"/>
  <c r="J180" i="5" s="1"/>
  <c r="X180" i="5" s="1"/>
  <c r="I179" i="5"/>
  <c r="J179" i="5" s="1"/>
  <c r="X179" i="5" s="1"/>
  <c r="I178" i="5"/>
  <c r="J178" i="5" s="1"/>
  <c r="I170" i="5"/>
  <c r="J170" i="5" s="1"/>
  <c r="I169" i="5"/>
  <c r="J169" i="5" s="1"/>
  <c r="X169" i="5" s="1"/>
  <c r="I168" i="5"/>
  <c r="J168" i="5" s="1"/>
  <c r="X168" i="5" s="1"/>
  <c r="I167" i="5"/>
  <c r="J167" i="5" s="1"/>
  <c r="I164" i="5"/>
  <c r="J164" i="5" s="1"/>
  <c r="I163" i="5"/>
  <c r="J163" i="5" s="1"/>
  <c r="X163" i="5" s="1"/>
  <c r="I162" i="5"/>
  <c r="J162" i="5" s="1"/>
  <c r="X162" i="5" s="1"/>
  <c r="I161" i="5"/>
  <c r="J161" i="5" s="1"/>
  <c r="I154" i="5"/>
  <c r="J154" i="5" s="1"/>
  <c r="I153" i="5"/>
  <c r="J153" i="5" s="1"/>
  <c r="X153" i="5" s="1"/>
  <c r="I152" i="5"/>
  <c r="J152" i="5" s="1"/>
  <c r="X152" i="5" s="1"/>
  <c r="I151" i="5"/>
  <c r="J151" i="5" s="1"/>
  <c r="I149" i="5"/>
  <c r="J149" i="5" s="1"/>
  <c r="I148" i="5"/>
  <c r="J148" i="5" s="1"/>
  <c r="X148" i="5" s="1"/>
  <c r="I147" i="5"/>
  <c r="J147" i="5" s="1"/>
  <c r="X147" i="5" s="1"/>
  <c r="I146" i="5"/>
  <c r="J146" i="5" s="1"/>
  <c r="I143" i="5"/>
  <c r="J143" i="5" s="1"/>
  <c r="X143" i="5" s="1"/>
  <c r="I142" i="5"/>
  <c r="J142" i="5" s="1"/>
  <c r="X142" i="5" s="1"/>
  <c r="I141" i="5"/>
  <c r="J141" i="5" s="1"/>
  <c r="X141" i="5" s="1"/>
  <c r="I139" i="5"/>
  <c r="J139" i="5" s="1"/>
  <c r="I138" i="5"/>
  <c r="J138" i="5" s="1"/>
  <c r="X138" i="5" s="1"/>
  <c r="I128" i="5"/>
  <c r="J128" i="5" s="1"/>
  <c r="X128" i="5" s="1"/>
  <c r="I127" i="5"/>
  <c r="J127" i="5" s="1"/>
  <c r="X127" i="5" s="1"/>
  <c r="I125" i="5"/>
  <c r="J125" i="5" s="1"/>
  <c r="X125" i="5" s="1"/>
  <c r="I124" i="5"/>
  <c r="J124" i="5" s="1"/>
  <c r="X124" i="5" s="1"/>
  <c r="I123" i="5"/>
  <c r="J123" i="5" s="1"/>
  <c r="X123" i="5" s="1"/>
  <c r="I122" i="5"/>
  <c r="J122" i="5" s="1"/>
  <c r="X122" i="5" s="1"/>
  <c r="I110" i="5"/>
  <c r="J110" i="5" s="1"/>
  <c r="X110" i="5" s="1"/>
  <c r="I109" i="5"/>
  <c r="J109" i="5" s="1"/>
  <c r="X109" i="5" s="1"/>
  <c r="I108" i="5"/>
  <c r="J108" i="5" s="1"/>
  <c r="X108" i="5" s="1"/>
  <c r="I92" i="5"/>
  <c r="J92" i="5" s="1"/>
  <c r="X92" i="5" s="1"/>
  <c r="I91" i="5"/>
  <c r="J91" i="5" s="1"/>
  <c r="X91" i="5" s="1"/>
  <c r="I90" i="5"/>
  <c r="J90" i="5" s="1"/>
  <c r="X90" i="5" s="1"/>
  <c r="I86" i="5"/>
  <c r="J86" i="5" s="1"/>
  <c r="X86" i="5" s="1"/>
  <c r="I85" i="5"/>
  <c r="J85" i="5" s="1"/>
  <c r="X85" i="5" s="1"/>
  <c r="I75" i="5"/>
  <c r="J75" i="5" s="1"/>
  <c r="X75" i="5" s="1"/>
  <c r="I74" i="5"/>
  <c r="J74" i="5" s="1"/>
  <c r="X74" i="5" s="1"/>
  <c r="I73" i="5"/>
  <c r="J73" i="5" s="1"/>
  <c r="X73" i="5" s="1"/>
  <c r="I61" i="5"/>
  <c r="J61" i="5" s="1"/>
  <c r="X61" i="5" s="1"/>
  <c r="I60" i="5"/>
  <c r="J60" i="5" s="1"/>
  <c r="X60" i="5" s="1"/>
  <c r="I59" i="5"/>
  <c r="J59" i="5" s="1"/>
  <c r="I58" i="5"/>
  <c r="J58" i="5" s="1"/>
  <c r="I48" i="5"/>
  <c r="J48" i="5" s="1"/>
  <c r="X48" i="5" s="1"/>
  <c r="I39" i="5"/>
  <c r="J39" i="5" s="1"/>
  <c r="X39" i="5" s="1"/>
  <c r="I38" i="5"/>
  <c r="J38" i="5" s="1"/>
  <c r="X38" i="5" s="1"/>
  <c r="I37" i="5"/>
  <c r="J37" i="5" s="1"/>
  <c r="I36" i="5"/>
  <c r="J36" i="5" s="1"/>
  <c r="E61" i="17"/>
  <c r="H477" i="5"/>
  <c r="W477" i="5"/>
  <c r="E477" i="5"/>
  <c r="D477" i="5"/>
  <c r="F477" i="5"/>
  <c r="C33" i="17"/>
  <c r="D491" i="5"/>
  <c r="F491" i="5"/>
  <c r="E491" i="5"/>
  <c r="H491" i="5"/>
  <c r="W491" i="5"/>
  <c r="X491" i="5" s="1"/>
  <c r="E237" i="17"/>
  <c r="D418" i="18"/>
  <c r="C418" i="18" s="1"/>
  <c r="D414" i="18"/>
  <c r="C414" i="18" s="1"/>
  <c r="D100" i="21" s="1"/>
  <c r="B98" i="21"/>
  <c r="B111" i="21"/>
  <c r="C111" i="21" s="1"/>
  <c r="D416" i="18"/>
  <c r="C416" i="18" s="1"/>
  <c r="D110" i="21" s="1"/>
  <c r="D410" i="18"/>
  <c r="C410" i="18" s="1"/>
  <c r="D95" i="21" s="1"/>
  <c r="D413" i="18"/>
  <c r="C413" i="18" s="1"/>
  <c r="D99" i="21" s="1"/>
  <c r="B97" i="21"/>
  <c r="D417" i="18"/>
  <c r="C417" i="18" s="1"/>
  <c r="D411" i="18"/>
  <c r="C411" i="18" s="1"/>
  <c r="D97" i="21" s="1"/>
  <c r="B95" i="21"/>
  <c r="B99" i="21"/>
  <c r="D412" i="18"/>
  <c r="C412" i="18" s="1"/>
  <c r="D98" i="21" s="1"/>
  <c r="B110" i="21"/>
  <c r="B100" i="21"/>
  <c r="I18" i="4"/>
  <c r="G18" i="4"/>
  <c r="C648" i="5"/>
  <c r="C209" i="17"/>
  <c r="D404" i="18"/>
  <c r="C404" i="18" s="1"/>
  <c r="B90" i="21"/>
  <c r="D400" i="18"/>
  <c r="C400" i="18" s="1"/>
  <c r="D91" i="21" s="1"/>
  <c r="D397" i="18"/>
  <c r="C397" i="18" s="1"/>
  <c r="D88" i="21" s="1"/>
  <c r="B88" i="21"/>
  <c r="D399" i="18"/>
  <c r="C399" i="18" s="1"/>
  <c r="D90" i="21" s="1"/>
  <c r="D403" i="18"/>
  <c r="C403" i="18" s="1"/>
  <c r="B89" i="21"/>
  <c r="D402" i="18"/>
  <c r="C402" i="18" s="1"/>
  <c r="D105" i="21" s="1"/>
  <c r="B86" i="21"/>
  <c r="B106" i="21"/>
  <c r="C106" i="21" s="1"/>
  <c r="D396" i="18"/>
  <c r="C396" i="18" s="1"/>
  <c r="D86" i="21" s="1"/>
  <c r="B91" i="21"/>
  <c r="D398" i="18"/>
  <c r="C398" i="18" s="1"/>
  <c r="D89" i="21" s="1"/>
  <c r="B105" i="21"/>
  <c r="C249" i="17"/>
  <c r="AJ86" i="3" s="1"/>
  <c r="C7" i="14" l="1"/>
  <c r="G562" i="5" s="1"/>
  <c r="H562" i="5" s="1"/>
  <c r="X313" i="5"/>
  <c r="E106" i="21"/>
  <c r="D106" i="21"/>
  <c r="E99" i="21"/>
  <c r="C99" i="21"/>
  <c r="D111" i="21"/>
  <c r="E111" i="21"/>
  <c r="E86" i="21"/>
  <c r="F86" i="21" s="1"/>
  <c r="L86" i="21" s="1"/>
  <c r="B118" i="21" s="1"/>
  <c r="E118" i="21" s="1"/>
  <c r="C86" i="21"/>
  <c r="E90" i="21"/>
  <c r="F90" i="21" s="1"/>
  <c r="L90" i="21" s="1"/>
  <c r="B121" i="21" s="1"/>
  <c r="E121" i="21" s="1"/>
  <c r="C90" i="21"/>
  <c r="C89" i="21"/>
  <c r="E89" i="21"/>
  <c r="F89" i="21" s="1"/>
  <c r="L89" i="21" s="1"/>
  <c r="B120" i="21" s="1"/>
  <c r="E120" i="21" s="1"/>
  <c r="E95" i="21"/>
  <c r="C95" i="21"/>
  <c r="C98" i="21"/>
  <c r="E98" i="21"/>
  <c r="F98" i="21" s="1"/>
  <c r="L98" i="21" s="1"/>
  <c r="B134" i="21" s="1"/>
  <c r="E134" i="21" s="1"/>
  <c r="C110" i="21"/>
  <c r="E110" i="21"/>
  <c r="F110" i="21" s="1"/>
  <c r="L110" i="21" s="1"/>
  <c r="E105" i="21"/>
  <c r="F105" i="21" s="1"/>
  <c r="L105" i="21" s="1"/>
  <c r="C105" i="21"/>
  <c r="E91" i="21"/>
  <c r="F91" i="21" s="1"/>
  <c r="L91" i="21" s="1"/>
  <c r="B122" i="21" s="1"/>
  <c r="E122" i="21" s="1"/>
  <c r="C91" i="21"/>
  <c r="E88" i="21"/>
  <c r="F88" i="21" s="1"/>
  <c r="L88" i="21" s="1"/>
  <c r="B119" i="21" s="1"/>
  <c r="E119" i="21" s="1"/>
  <c r="C88" i="21"/>
  <c r="E97" i="21"/>
  <c r="F97" i="21" s="1"/>
  <c r="L97" i="21" s="1"/>
  <c r="B133" i="21" s="1"/>
  <c r="E133" i="21" s="1"/>
  <c r="C97" i="21"/>
  <c r="E100" i="21"/>
  <c r="C100" i="21"/>
  <c r="C9" i="14"/>
  <c r="G566" i="5" s="1"/>
  <c r="H566" i="5" s="1"/>
  <c r="X331" i="5"/>
  <c r="X329" i="5"/>
  <c r="C8" i="14"/>
  <c r="G565" i="5" s="1"/>
  <c r="H565" i="5" s="1"/>
  <c r="C175" i="13"/>
  <c r="G564" i="5" s="1"/>
  <c r="H564" i="5" s="1"/>
  <c r="X314" i="5"/>
  <c r="X312" i="5"/>
  <c r="C6" i="14"/>
  <c r="G563" i="5" s="1"/>
  <c r="H563" i="5" s="1"/>
  <c r="C76" i="15"/>
  <c r="C77" i="15" s="1"/>
  <c r="C527" i="5" s="1"/>
  <c r="C630" i="5" s="1"/>
  <c r="C510" i="5"/>
  <c r="C530" i="5" s="1"/>
  <c r="C633" i="5" s="1"/>
  <c r="X477" i="5"/>
  <c r="I28" i="4"/>
  <c r="E23" i="4"/>
  <c r="E20" i="5"/>
  <c r="G106" i="21"/>
  <c r="K106" i="21" s="1"/>
  <c r="F100" i="21"/>
  <c r="L100" i="21" s="1"/>
  <c r="B136" i="21" s="1"/>
  <c r="E136" i="21" s="1"/>
  <c r="F99" i="21"/>
  <c r="L99" i="21" s="1"/>
  <c r="B135" i="21" s="1"/>
  <c r="E135" i="21" s="1"/>
  <c r="C34" i="17"/>
  <c r="C39" i="17"/>
  <c r="C38" i="17"/>
  <c r="G111" i="21"/>
  <c r="K111" i="21" s="1"/>
  <c r="C214" i="17"/>
  <c r="C215" i="17"/>
  <c r="C210" i="17"/>
  <c r="F95" i="21"/>
  <c r="L95" i="21" s="1"/>
  <c r="B132" i="21" s="1"/>
  <c r="E132" i="21" s="1"/>
  <c r="F111" i="21" l="1"/>
  <c r="L111" i="21" s="1"/>
  <c r="D137" i="21" s="1"/>
  <c r="E137" i="21" s="1"/>
  <c r="C139" i="21" s="1"/>
  <c r="C140" i="21" s="1"/>
  <c r="F106" i="21"/>
  <c r="L106" i="21" s="1"/>
  <c r="D123" i="21" s="1"/>
  <c r="E123" i="21" s="1"/>
  <c r="C125" i="21" s="1"/>
  <c r="C219" i="17"/>
  <c r="C220" i="17"/>
  <c r="C44" i="17"/>
  <c r="C43" i="17"/>
  <c r="C216" i="17"/>
  <c r="C40" i="17"/>
  <c r="R485" i="5" l="1"/>
  <c r="O485" i="5"/>
  <c r="V488" i="5"/>
  <c r="C485" i="5"/>
  <c r="P485" i="5"/>
  <c r="N485" i="5"/>
  <c r="R486" i="5"/>
  <c r="C488" i="5"/>
  <c r="V486" i="5"/>
  <c r="P484" i="5"/>
  <c r="N488" i="5"/>
  <c r="S484" i="5"/>
  <c r="S487" i="5"/>
  <c r="T487" i="5"/>
  <c r="T484" i="5"/>
  <c r="S488" i="5"/>
  <c r="O488" i="5"/>
  <c r="N487" i="5"/>
  <c r="Q488" i="5"/>
  <c r="Q487" i="5"/>
  <c r="C484" i="5"/>
  <c r="C19" i="15"/>
  <c r="C20" i="15" s="1"/>
  <c r="V485" i="5"/>
  <c r="N486" i="5"/>
  <c r="U487" i="5"/>
  <c r="U484" i="5"/>
  <c r="C487" i="5"/>
  <c r="O484" i="5"/>
  <c r="S485" i="5"/>
  <c r="U486" i="5"/>
  <c r="R484" i="5"/>
  <c r="C486" i="5"/>
  <c r="O486" i="5"/>
  <c r="Q484" i="5"/>
  <c r="Q486" i="5"/>
  <c r="B483" i="5"/>
  <c r="T488" i="5"/>
  <c r="O487" i="5"/>
  <c r="U488" i="5"/>
  <c r="S486" i="5"/>
  <c r="P487" i="5"/>
  <c r="T485" i="5"/>
  <c r="T486" i="5"/>
  <c r="R487" i="5"/>
  <c r="B489" i="5"/>
  <c r="R488" i="5"/>
  <c r="P488" i="5"/>
  <c r="V487" i="5"/>
  <c r="U485" i="5"/>
  <c r="N484" i="5"/>
  <c r="V484" i="5"/>
  <c r="P486" i="5"/>
  <c r="Q485" i="5"/>
  <c r="C127" i="21"/>
  <c r="N477" i="5" s="1"/>
  <c r="C126" i="21"/>
  <c r="C217" i="17"/>
  <c r="C221" i="17" s="1"/>
  <c r="C222" i="17" s="1"/>
  <c r="C240" i="17"/>
  <c r="C242" i="17" s="1"/>
  <c r="AM86" i="3" s="1"/>
  <c r="C41" i="17"/>
  <c r="C45" i="17" s="1"/>
  <c r="C46" i="17" s="1"/>
  <c r="C64" i="17"/>
  <c r="C66" i="17" s="1"/>
  <c r="E66" i="17" s="1"/>
  <c r="P477" i="5" l="1"/>
  <c r="T476" i="5"/>
  <c r="C108" i="14"/>
  <c r="C596" i="5" s="1"/>
  <c r="G596" i="5" s="1"/>
  <c r="H596" i="5" s="1"/>
  <c r="F488" i="5"/>
  <c r="G488" i="5"/>
  <c r="H488" i="5"/>
  <c r="D488" i="5"/>
  <c r="K488" i="5"/>
  <c r="W488" i="5" s="1"/>
  <c r="X488" i="5" s="1"/>
  <c r="I488" i="5"/>
  <c r="J488" i="5" s="1"/>
  <c r="E488" i="5"/>
  <c r="C107" i="14"/>
  <c r="C595" i="5" s="1"/>
  <c r="G595" i="5" s="1"/>
  <c r="Q477" i="5"/>
  <c r="V476" i="5"/>
  <c r="B469" i="5"/>
  <c r="O474" i="5"/>
  <c r="B475" i="5"/>
  <c r="C101" i="14"/>
  <c r="C601" i="5" s="1"/>
  <c r="G601" i="5" s="1"/>
  <c r="H601" i="5" s="1"/>
  <c r="P472" i="5"/>
  <c r="U473" i="5"/>
  <c r="U472" i="5"/>
  <c r="C99" i="14"/>
  <c r="C598" i="5" s="1"/>
  <c r="G598" i="5" s="1"/>
  <c r="H598" i="5" s="1"/>
  <c r="U471" i="5"/>
  <c r="T473" i="5"/>
  <c r="T471" i="5"/>
  <c r="Q473" i="5"/>
  <c r="V474" i="5"/>
  <c r="N470" i="5"/>
  <c r="N474" i="5"/>
  <c r="U470" i="5"/>
  <c r="S472" i="5"/>
  <c r="V472" i="5"/>
  <c r="R474" i="5"/>
  <c r="P471" i="5"/>
  <c r="V471" i="5"/>
  <c r="O472" i="5"/>
  <c r="S470" i="5"/>
  <c r="C474" i="5"/>
  <c r="S474" i="5"/>
  <c r="O473" i="5"/>
  <c r="R471" i="5"/>
  <c r="Q470" i="5"/>
  <c r="N473" i="5"/>
  <c r="T472" i="5"/>
  <c r="O471" i="5"/>
  <c r="Q471" i="5"/>
  <c r="V473" i="5"/>
  <c r="P470" i="5"/>
  <c r="U474" i="5"/>
  <c r="N471" i="5"/>
  <c r="P474" i="5"/>
  <c r="R473" i="5"/>
  <c r="C470" i="5"/>
  <c r="C104" i="14"/>
  <c r="C599" i="5" s="1"/>
  <c r="G599" i="5" s="1"/>
  <c r="H599" i="5" s="1"/>
  <c r="C100" i="14"/>
  <c r="C600" i="5" s="1"/>
  <c r="G600" i="5" s="1"/>
  <c r="H600" i="5" s="1"/>
  <c r="C102" i="14"/>
  <c r="C602" i="5" s="1"/>
  <c r="G602" i="5" s="1"/>
  <c r="H602" i="5" s="1"/>
  <c r="S471" i="5"/>
  <c r="V470" i="5"/>
  <c r="Q472" i="5"/>
  <c r="T474" i="5"/>
  <c r="T470" i="5"/>
  <c r="S473" i="5"/>
  <c r="R470" i="5"/>
  <c r="P473" i="5"/>
  <c r="N472" i="5"/>
  <c r="C473" i="5"/>
  <c r="C471" i="5"/>
  <c r="C17" i="15"/>
  <c r="C18" i="15" s="1"/>
  <c r="C21" i="15" s="1"/>
  <c r="C29" i="15" s="1"/>
  <c r="C30" i="15" s="1"/>
  <c r="C529" i="5" s="1"/>
  <c r="C632" i="5" s="1"/>
  <c r="Q474" i="5"/>
  <c r="O470" i="5"/>
  <c r="C103" i="14"/>
  <c r="C603" i="5" s="1"/>
  <c r="G603" i="5" s="1"/>
  <c r="H603" i="5" s="1"/>
  <c r="C472" i="5"/>
  <c r="R472" i="5"/>
  <c r="M490" i="5"/>
  <c r="M491" i="5"/>
  <c r="F484" i="5"/>
  <c r="I484" i="5"/>
  <c r="J484" i="5" s="1"/>
  <c r="G484" i="5"/>
  <c r="H484" i="5"/>
  <c r="D484" i="5"/>
  <c r="E484" i="5"/>
  <c r="K484" i="5"/>
  <c r="W484" i="5" s="1"/>
  <c r="X484" i="5" s="1"/>
  <c r="T477" i="5"/>
  <c r="O476" i="5"/>
  <c r="M486" i="5"/>
  <c r="M484" i="5"/>
  <c r="M487" i="5"/>
  <c r="M485" i="5"/>
  <c r="M488" i="5"/>
  <c r="G485" i="5"/>
  <c r="E485" i="5"/>
  <c r="I485" i="5"/>
  <c r="J485" i="5" s="1"/>
  <c r="H485" i="5"/>
  <c r="F485" i="5"/>
  <c r="K485" i="5"/>
  <c r="W485" i="5" s="1"/>
  <c r="X485" i="5" s="1"/>
  <c r="D485" i="5"/>
  <c r="U477" i="5"/>
  <c r="V477" i="5"/>
  <c r="R477" i="5"/>
  <c r="S477" i="5"/>
  <c r="U476" i="5"/>
  <c r="N476" i="5"/>
  <c r="S476" i="5"/>
  <c r="K487" i="5"/>
  <c r="W487" i="5" s="1"/>
  <c r="X487" i="5" s="1"/>
  <c r="F487" i="5"/>
  <c r="E487" i="5"/>
  <c r="D487" i="5"/>
  <c r="H487" i="5"/>
  <c r="I487" i="5"/>
  <c r="J487" i="5" s="1"/>
  <c r="G487" i="5"/>
  <c r="R476" i="5"/>
  <c r="Q476" i="5"/>
  <c r="O477" i="5"/>
  <c r="K486" i="5"/>
  <c r="W486" i="5" s="1"/>
  <c r="X486" i="5" s="1"/>
  <c r="E486" i="5"/>
  <c r="F486" i="5"/>
  <c r="I486" i="5"/>
  <c r="J486" i="5" s="1"/>
  <c r="G486" i="5"/>
  <c r="H486" i="5"/>
  <c r="D486" i="5"/>
  <c r="P476" i="5"/>
  <c r="E242" i="17"/>
  <c r="C287" i="17"/>
  <c r="C289" i="17" s="1"/>
  <c r="C244" i="17"/>
  <c r="AL86" i="3" s="1"/>
  <c r="C291" i="17"/>
  <c r="C292" i="17" s="1"/>
  <c r="C111" i="17"/>
  <c r="C113" i="17" s="1"/>
  <c r="C68" i="17"/>
  <c r="C115" i="17"/>
  <c r="C116" i="17" s="1"/>
  <c r="D471" i="5" l="1"/>
  <c r="I471" i="5"/>
  <c r="J471" i="5" s="1"/>
  <c r="G471" i="5"/>
  <c r="H471" i="5"/>
  <c r="K471" i="5"/>
  <c r="W471" i="5" s="1"/>
  <c r="X471" i="5" s="1"/>
  <c r="F471" i="5"/>
  <c r="E471" i="5"/>
  <c r="D473" i="5"/>
  <c r="H473" i="5"/>
  <c r="K473" i="5"/>
  <c r="W473" i="5" s="1"/>
  <c r="X473" i="5" s="1"/>
  <c r="F473" i="5"/>
  <c r="I473" i="5"/>
  <c r="J473" i="5" s="1"/>
  <c r="E473" i="5"/>
  <c r="G473" i="5"/>
  <c r="M477" i="5"/>
  <c r="M476" i="5"/>
  <c r="K472" i="5"/>
  <c r="W472" i="5" s="1"/>
  <c r="D472" i="5"/>
  <c r="I472" i="5"/>
  <c r="J472" i="5" s="1"/>
  <c r="E472" i="5"/>
  <c r="G472" i="5"/>
  <c r="H472" i="5"/>
  <c r="F472" i="5"/>
  <c r="M473" i="5"/>
  <c r="M472" i="5"/>
  <c r="M470" i="5"/>
  <c r="M474" i="5"/>
  <c r="M471" i="5"/>
  <c r="K474" i="5"/>
  <c r="W474" i="5" s="1"/>
  <c r="X474" i="5" s="1"/>
  <c r="D474" i="5"/>
  <c r="I474" i="5"/>
  <c r="J474" i="5" s="1"/>
  <c r="H474" i="5"/>
  <c r="F474" i="5"/>
  <c r="G474" i="5"/>
  <c r="E474" i="5"/>
  <c r="C81" i="15"/>
  <c r="I470" i="5"/>
  <c r="J470" i="5" s="1"/>
  <c r="H470" i="5"/>
  <c r="E470" i="5"/>
  <c r="G470" i="5"/>
  <c r="F470" i="5"/>
  <c r="D470" i="5"/>
  <c r="K470" i="5"/>
  <c r="W470" i="5" s="1"/>
  <c r="E68" i="17"/>
  <c r="C245" i="17"/>
  <c r="C246" i="17" s="1"/>
  <c r="E246" i="17" s="1"/>
  <c r="H595" i="5"/>
  <c r="G607" i="5" s="1"/>
  <c r="G608" i="5" s="1"/>
  <c r="E244" i="17"/>
  <c r="X472" i="5" l="1"/>
  <c r="C69" i="17"/>
  <c r="C70" i="17" s="1"/>
  <c r="E70" i="17" s="1"/>
  <c r="C73" i="17" s="1"/>
  <c r="S86" i="3" s="1"/>
  <c r="BG29" i="3" s="1" a="1"/>
  <c r="BG29" i="3" s="1"/>
  <c r="BE29" i="3" s="1" a="1"/>
  <c r="BE29" i="3" s="1"/>
  <c r="U86" i="3"/>
  <c r="X470" i="5"/>
  <c r="X508" i="5" s="1"/>
  <c r="W508" i="5"/>
  <c r="C511" i="5"/>
  <c r="C80" i="15"/>
  <c r="I26" i="4"/>
  <c r="C620" i="5"/>
  <c r="C25" i="5"/>
  <c r="BG14" i="3" a="1"/>
  <c r="BG14" i="3" s="1"/>
  <c r="BE14" i="3" s="1" a="1"/>
  <c r="BE14" i="3" s="1"/>
  <c r="BG37" i="3" a="1"/>
  <c r="BG37" i="3" s="1"/>
  <c r="BE37" i="3" s="1" a="1"/>
  <c r="BE37" i="3" s="1"/>
  <c r="BG36" i="3" a="1"/>
  <c r="BG36" i="3" s="1"/>
  <c r="BE36" i="3" s="1" a="1"/>
  <c r="BE36" i="3" s="1"/>
  <c r="BG10" i="3" a="1"/>
  <c r="BG10" i="3" s="1"/>
  <c r="BE10" i="3" s="1" a="1"/>
  <c r="BE10" i="3" s="1"/>
  <c r="BG73" i="3" a="1"/>
  <c r="BG73" i="3" s="1"/>
  <c r="BG60" i="3" a="1"/>
  <c r="BG60" i="3" s="1"/>
  <c r="BG38" i="3" a="1"/>
  <c r="BG38" i="3" s="1"/>
  <c r="BE38" i="3" s="1" a="1"/>
  <c r="BE38" i="3" s="1"/>
  <c r="BG78" i="3" a="1"/>
  <c r="BG78" i="3" s="1"/>
  <c r="BG77" i="3" a="1"/>
  <c r="BG77" i="3" s="1"/>
  <c r="BG58" i="3" a="1"/>
  <c r="BG58" i="3" s="1"/>
  <c r="BG56" i="3" a="1"/>
  <c r="BG56" i="3" s="1"/>
  <c r="BE56" i="3" s="1" a="1"/>
  <c r="BE56" i="3" s="1"/>
  <c r="BG35" i="3" a="1"/>
  <c r="BG35" i="3" s="1"/>
  <c r="BE35" i="3" s="1" a="1"/>
  <c r="BE35" i="3" s="1"/>
  <c r="BG30" i="3" a="1"/>
  <c r="BG30" i="3" s="1"/>
  <c r="BE30" i="3" s="1" a="1"/>
  <c r="BE30" i="3" s="1"/>
  <c r="BG16" i="3" a="1"/>
  <c r="BG16" i="3" s="1"/>
  <c r="BE16" i="3" s="1" a="1"/>
  <c r="BE16" i="3" s="1"/>
  <c r="BG79" i="3" a="1"/>
  <c r="BG79" i="3" s="1"/>
  <c r="BG28" i="3" a="1"/>
  <c r="BG28" i="3" s="1"/>
  <c r="BE28" i="3" s="1" a="1"/>
  <c r="BE28" i="3" s="1"/>
  <c r="BG80" i="3" a="1"/>
  <c r="BG80" i="3" s="1"/>
  <c r="BG53" i="3" a="1"/>
  <c r="BG53" i="3" s="1"/>
  <c r="BE53" i="3" s="1" a="1"/>
  <c r="BE53" i="3" s="1"/>
  <c r="BG62" i="3" a="1"/>
  <c r="BG62" i="3" s="1"/>
  <c r="BG27" i="3" a="1"/>
  <c r="BG27" i="3" s="1"/>
  <c r="BE27" i="3" s="1" a="1"/>
  <c r="BE27" i="3" s="1"/>
  <c r="BG61" i="3" a="1"/>
  <c r="BG61" i="3" s="1"/>
  <c r="BG40" i="3" a="1"/>
  <c r="BG40" i="3" s="1"/>
  <c r="BE40" i="3" s="1" a="1"/>
  <c r="BE40" i="3" s="1"/>
  <c r="BG54" i="3" a="1"/>
  <c r="BG54" i="3" s="1"/>
  <c r="BE54" i="3" s="1" a="1"/>
  <c r="BE54" i="3" s="1"/>
  <c r="BG15" i="3" a="1"/>
  <c r="BG15" i="3" s="1"/>
  <c r="BE15" i="3" s="1" a="1"/>
  <c r="BE15" i="3" s="1"/>
  <c r="BG25" i="3" a="1"/>
  <c r="BG25" i="3" s="1"/>
  <c r="BE25" i="3" s="1" a="1"/>
  <c r="BE25" i="3" s="1"/>
  <c r="BG32" i="3" a="1"/>
  <c r="BG32" i="3" s="1"/>
  <c r="BE32" i="3" s="1" a="1"/>
  <c r="BE32" i="3" s="1"/>
  <c r="BG13" i="3" a="1"/>
  <c r="BG13" i="3" s="1"/>
  <c r="BE13" i="3" s="1" a="1"/>
  <c r="BE13" i="3" s="1"/>
  <c r="BG26" i="3" a="1"/>
  <c r="BG26" i="3" s="1"/>
  <c r="BE26" i="3" s="1" a="1"/>
  <c r="BE26" i="3" s="1"/>
  <c r="BG34" i="3" a="1"/>
  <c r="BG34" i="3" s="1"/>
  <c r="BE34" i="3" s="1" a="1"/>
  <c r="BE34" i="3" s="1"/>
  <c r="BG63" i="3" a="1"/>
  <c r="BG63" i="3" s="1"/>
  <c r="BG33" i="3" a="1"/>
  <c r="BG33" i="3" s="1"/>
  <c r="BE33" i="3" s="1" a="1"/>
  <c r="BE33" i="3" s="1"/>
  <c r="BG51" i="3" a="1"/>
  <c r="BG51" i="3" s="1"/>
  <c r="BE51" i="3" s="1" a="1"/>
  <c r="BE51" i="3" s="1"/>
  <c r="BG64" i="3" a="1"/>
  <c r="BG64" i="3" s="1"/>
  <c r="BG74" i="3" a="1"/>
  <c r="BG74" i="3" s="1"/>
  <c r="BG12" i="3" a="1"/>
  <c r="BG12" i="3" s="1"/>
  <c r="BE12" i="3" s="1" a="1"/>
  <c r="BE12" i="3" s="1"/>
  <c r="BG76" i="3" a="1"/>
  <c r="BG76" i="3" s="1"/>
  <c r="BG59" i="3" a="1"/>
  <c r="BG59" i="3" s="1"/>
  <c r="BG52" i="3" a="1"/>
  <c r="BG52" i="3" s="1"/>
  <c r="BE52" i="3" s="1" a="1"/>
  <c r="BE52" i="3" s="1"/>
  <c r="BG39" i="3" a="1"/>
  <c r="BG39" i="3" s="1"/>
  <c r="BE39" i="3" s="1" a="1"/>
  <c r="BE39" i="3" s="1"/>
  <c r="BG9" i="3" a="1"/>
  <c r="BG9" i="3" s="1"/>
  <c r="BE9" i="3" s="1" a="1"/>
  <c r="BE9" i="3" s="1"/>
  <c r="BG75" i="3" a="1"/>
  <c r="BG75" i="3" s="1"/>
  <c r="BG49" i="3" a="1"/>
  <c r="BG49" i="3" s="1"/>
  <c r="BE49" i="3" s="1" a="1"/>
  <c r="BE49" i="3" s="1"/>
  <c r="C82" i="15"/>
  <c r="BG31" i="3" l="1" a="1"/>
  <c r="BG31" i="3" s="1"/>
  <c r="BE31" i="3" s="1" a="1"/>
  <c r="BE31" i="3" s="1"/>
  <c r="BG57" i="3" a="1"/>
  <c r="BG57" i="3" s="1"/>
  <c r="BG55" i="3" a="1"/>
  <c r="BG55" i="3" s="1"/>
  <c r="BE55" i="3" s="1" a="1"/>
  <c r="BE55" i="3" s="1"/>
  <c r="H14" i="4" s="1"/>
  <c r="BG50" i="3" a="1"/>
  <c r="BG50" i="3" s="1"/>
  <c r="BE50" i="3" s="1" a="1"/>
  <c r="BE50" i="3" s="1"/>
  <c r="H9" i="4" s="1"/>
  <c r="BG11" i="3" a="1"/>
  <c r="BG11" i="3" s="1"/>
  <c r="BE11" i="3" s="1" a="1"/>
  <c r="BE11" i="3" s="1"/>
  <c r="H10" i="4" s="1"/>
  <c r="C88" i="15"/>
  <c r="C516" i="5" s="1"/>
  <c r="C519" i="5" s="1"/>
  <c r="D524" i="5"/>
  <c r="C524" i="5" s="1"/>
  <c r="C627" i="5" s="1"/>
  <c r="C512" i="5"/>
  <c r="H13" i="4"/>
  <c r="H11" i="4"/>
  <c r="H12" i="4"/>
  <c r="H8" i="4"/>
  <c r="H15" i="4"/>
  <c r="C20" i="5" l="1"/>
  <c r="I23" i="4"/>
  <c r="C547" i="5"/>
  <c r="C21" i="5"/>
  <c r="C93" i="15"/>
  <c r="C94" i="15" s="1"/>
  <c r="C92" i="15"/>
  <c r="C546" i="5"/>
  <c r="C535" i="5"/>
  <c r="C533" i="5"/>
  <c r="C636" i="5" s="1"/>
  <c r="C537" i="5"/>
  <c r="D532" i="5"/>
  <c r="C534" i="5"/>
  <c r="C91" i="15"/>
  <c r="C531" i="5"/>
  <c r="C536" i="5"/>
  <c r="C525" i="5"/>
  <c r="H16" i="4"/>
  <c r="I16" i="4"/>
  <c r="C95" i="15" l="1"/>
  <c r="C538" i="5" s="1"/>
  <c r="C641" i="5" s="1"/>
  <c r="C523" i="5"/>
  <c r="C626" i="5" s="1"/>
  <c r="C532" i="5" l="1"/>
  <c r="C635" i="5" s="1"/>
  <c r="C643" i="5" s="1"/>
  <c r="C539" i="5" s="1"/>
  <c r="C549" i="5"/>
  <c r="I24" i="4" l="1"/>
  <c r="C23" i="5"/>
  <c r="C617" i="5"/>
  <c r="B24" i="5" s="1"/>
  <c r="C22" i="5"/>
  <c r="C646" i="5"/>
  <c r="C548" i="5"/>
  <c r="C619" i="5" l="1"/>
  <c r="C621" i="5" l="1"/>
  <c r="I25" i="4"/>
  <c r="C24" i="5"/>
  <c r="C98" i="15"/>
  <c r="C622" i="5" l="1"/>
  <c r="C27" i="5" s="1"/>
  <c r="C26" i="5"/>
  <c r="C623" i="5"/>
  <c r="C28" i="5" s="1"/>
  <c r="C99" i="15"/>
  <c r="E621" i="5" s="1"/>
  <c r="I27" i="4"/>
  <c r="B2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B57" authorId="0" shapeId="0" xr:uid="{00000000-0006-0000-0300-000001000000}">
      <text>
        <r>
          <rPr>
            <sz val="9"/>
            <color indexed="81"/>
            <rFont val="Tahoma"/>
            <family val="2"/>
          </rPr>
          <t xml:space="preserve">use_autosize
</t>
        </r>
      </text>
    </comment>
    <comment ref="B75" authorId="0" shapeId="0" xr:uid="{00000000-0006-0000-0300-000002000000}">
      <text>
        <r>
          <rPr>
            <sz val="9"/>
            <color indexed="81"/>
            <rFont val="Tahoma"/>
            <family val="2"/>
          </rPr>
          <t xml:space="preserve">use_autosizeA
</t>
        </r>
      </text>
    </comment>
    <comment ref="B94" authorId="0" shapeId="0" xr:uid="{00000000-0006-0000-0300-000003000000}">
      <text>
        <r>
          <rPr>
            <sz val="9"/>
            <color indexed="81"/>
            <rFont val="Tahoma"/>
            <family val="2"/>
          </rPr>
          <t xml:space="preserve">use_autosizeA
</t>
        </r>
      </text>
    </comment>
    <comment ref="B105" authorId="0" shapeId="0" xr:uid="{00000000-0006-0000-0300-000004000000}">
      <text>
        <r>
          <rPr>
            <sz val="9"/>
            <color indexed="81"/>
            <rFont val="Tahoma"/>
            <family val="2"/>
          </rPr>
          <t xml:space="preserve">use_autosize_filt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Mark G.</author>
    <author>Mark Guttridge</author>
    <author>saic</author>
  </authors>
  <commentList>
    <comment ref="L31" authorId="0" shapeId="0" xr:uid="{00000000-0006-0000-0400-000002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3000000}">
      <text>
        <r>
          <rPr>
            <b/>
            <sz val="9"/>
            <color indexed="81"/>
            <rFont val="Tahoma"/>
            <family val="2"/>
          </rPr>
          <t>Used internally</t>
        </r>
        <r>
          <rPr>
            <sz val="9"/>
            <color indexed="81"/>
            <rFont val="Tahoma"/>
            <family val="2"/>
          </rPr>
          <t xml:space="preserve">
</t>
        </r>
      </text>
    </comment>
    <comment ref="N31" authorId="1" shapeId="0" xr:uid="{00000000-0006-0000-0400-000004000000}">
      <text>
        <r>
          <rPr>
            <b/>
            <sz val="9"/>
            <color indexed="81"/>
            <rFont val="Tahoma"/>
            <family val="2"/>
          </rPr>
          <t>Used internally by the generate results macro to select components based on system size and component level.</t>
        </r>
      </text>
    </comment>
    <comment ref="W31" authorId="0" shapeId="0" xr:uid="{00000000-0006-0000-0400-000005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6000000}">
      <text>
        <r>
          <rPr>
            <b/>
            <sz val="9"/>
            <color indexed="81"/>
            <rFont val="Tahoma"/>
            <family val="2"/>
          </rPr>
          <t>Used to calculate Useful Life for total building costs</t>
        </r>
      </text>
    </comment>
    <comment ref="K45" authorId="0" shapeId="0" xr:uid="{00000000-0006-0000-0400-000007000000}">
      <text>
        <r>
          <rPr>
            <b/>
            <sz val="9"/>
            <color indexed="81"/>
            <rFont val="Tahoma"/>
            <family val="2"/>
          </rPr>
          <t>Replace at same time as basin concrete.</t>
        </r>
        <r>
          <rPr>
            <sz val="9"/>
            <color indexed="81"/>
            <rFont val="Tahoma"/>
            <family val="2"/>
          </rPr>
          <t xml:space="preserve">
</t>
        </r>
      </text>
    </comment>
    <comment ref="K46" authorId="0" shapeId="0" xr:uid="{00000000-0006-0000-0400-000008000000}">
      <text>
        <r>
          <rPr>
            <b/>
            <sz val="9"/>
            <color indexed="81"/>
            <rFont val="Tahoma"/>
            <family val="2"/>
          </rPr>
          <t>Replace at same time as basin concrete.</t>
        </r>
        <r>
          <rPr>
            <sz val="9"/>
            <color indexed="81"/>
            <rFont val="Tahoma"/>
            <family val="2"/>
          </rPr>
          <t xml:space="preserve">
</t>
        </r>
      </text>
    </comment>
    <comment ref="K55" authorId="0" shapeId="0" xr:uid="{00000000-0006-0000-0400-000009000000}">
      <text>
        <r>
          <rPr>
            <b/>
            <sz val="9"/>
            <color indexed="81"/>
            <rFont val="Tahoma"/>
            <family val="2"/>
          </rPr>
          <t>Replace at same time as basin concrete.</t>
        </r>
        <r>
          <rPr>
            <sz val="9"/>
            <color indexed="81"/>
            <rFont val="Tahoma"/>
            <family val="2"/>
          </rPr>
          <t xml:space="preserve">
</t>
        </r>
      </text>
    </comment>
    <comment ref="K56" authorId="0" shapeId="0" xr:uid="{00000000-0006-0000-0400-00000A000000}">
      <text>
        <r>
          <rPr>
            <b/>
            <sz val="9"/>
            <color indexed="81"/>
            <rFont val="Tahoma"/>
            <family val="2"/>
          </rPr>
          <t>Replace at same time as basin concrete.</t>
        </r>
        <r>
          <rPr>
            <sz val="9"/>
            <color indexed="81"/>
            <rFont val="Tahoma"/>
            <family val="2"/>
          </rPr>
          <t xml:space="preserve">
</t>
        </r>
      </text>
    </comment>
    <comment ref="K187" authorId="2" shapeId="0" xr:uid="{00000000-0006-0000-0400-00000B000000}">
      <text>
        <r>
          <rPr>
            <b/>
            <sz val="9"/>
            <color indexed="81"/>
            <rFont val="Tahoma"/>
            <family val="2"/>
          </rPr>
          <t>Replace at same time as selected pipe.</t>
        </r>
        <r>
          <rPr>
            <sz val="9"/>
            <color indexed="81"/>
            <rFont val="Tahoma"/>
            <family val="2"/>
          </rPr>
          <t xml:space="preserve">
</t>
        </r>
      </text>
    </comment>
    <comment ref="K188" authorId="2" shapeId="0" xr:uid="{00000000-0006-0000-0400-00000C000000}">
      <text>
        <r>
          <rPr>
            <b/>
            <sz val="9"/>
            <color indexed="81"/>
            <rFont val="Tahoma"/>
            <family val="2"/>
          </rPr>
          <t>Replace at same time as selected pipe.</t>
        </r>
        <r>
          <rPr>
            <sz val="9"/>
            <color indexed="81"/>
            <rFont val="Tahoma"/>
            <family val="2"/>
          </rPr>
          <t xml:space="preserve">
</t>
        </r>
      </text>
    </comment>
    <comment ref="K189" authorId="2" shapeId="0" xr:uid="{00000000-0006-0000-0400-00000D000000}">
      <text>
        <r>
          <rPr>
            <b/>
            <sz val="9"/>
            <color indexed="81"/>
            <rFont val="Tahoma"/>
            <family val="2"/>
          </rPr>
          <t>Replace at same time as selected pipe.</t>
        </r>
      </text>
    </comment>
    <comment ref="K190" authorId="2" shapeId="0" xr:uid="{00000000-0006-0000-0400-00000E000000}">
      <text>
        <r>
          <rPr>
            <b/>
            <sz val="9"/>
            <color indexed="81"/>
            <rFont val="Tahoma"/>
            <family val="2"/>
          </rPr>
          <t>Replace at same time as selected pipe.</t>
        </r>
        <r>
          <rPr>
            <sz val="9"/>
            <color indexed="81"/>
            <rFont val="Tahoma"/>
            <family val="2"/>
          </rPr>
          <t xml:space="preserve">
</t>
        </r>
      </text>
    </comment>
    <comment ref="K501" authorId="3" shapeId="0" xr:uid="{00000000-0006-0000-0400-00000F000000}">
      <text>
        <r>
          <rPr>
            <b/>
            <sz val="9"/>
            <color indexed="81"/>
            <rFont val="Tahoma"/>
            <family val="2"/>
          </rPr>
          <t>Replace at same time as liner.</t>
        </r>
      </text>
    </comment>
    <comment ref="K502" authorId="3" shapeId="0" xr:uid="{00000000-0006-0000-0400-000010000000}">
      <text>
        <r>
          <rPr>
            <b/>
            <sz val="9"/>
            <color indexed="81"/>
            <rFont val="Tahoma"/>
            <family val="2"/>
          </rPr>
          <t>Replace at same time as liner.</t>
        </r>
      </text>
    </comment>
    <comment ref="K504" authorId="3" shapeId="0" xr:uid="{00000000-0006-0000-0400-000011000000}">
      <text>
        <r>
          <rPr>
            <b/>
            <sz val="9"/>
            <color indexed="81"/>
            <rFont val="Tahoma"/>
            <family val="2"/>
          </rPr>
          <t>Replace at same time as liner.</t>
        </r>
      </text>
    </comment>
    <comment ref="H555" authorId="3" shapeId="0" xr:uid="{00000000-0006-0000-0400-000012000000}">
      <text>
        <r>
          <rPr>
            <b/>
            <sz val="9"/>
            <color indexed="81"/>
            <rFont val="Tahoma"/>
            <family val="2"/>
          </rPr>
          <t>Items with a value of 1 in this column are included in the total; items with a value of 0 or a blank are alternate costs and not included in the total.</t>
        </r>
      </text>
    </comment>
    <comment ref="A625" authorId="3" shapeId="0" xr:uid="{00000000-0006-0000-0400-000013000000}">
      <text>
        <r>
          <rPr>
            <b/>
            <sz val="9"/>
            <color indexed="81"/>
            <rFont val="Tahoma"/>
            <family val="2"/>
          </rPr>
          <t>The rows below are used internally</t>
        </r>
      </text>
    </comment>
    <comment ref="B642" authorId="4" shapeId="0" xr:uid="{00000000-0006-0000-0400-000014000000}">
      <text>
        <r>
          <rPr>
            <b/>
            <sz val="8"/>
            <color indexed="81"/>
            <rFont val="Tahoma"/>
            <family val="2"/>
          </rPr>
          <t>Internal use</t>
        </r>
        <r>
          <rPr>
            <sz val="8"/>
            <color indexed="81"/>
            <rFont val="Tahoma"/>
            <family val="2"/>
          </rPr>
          <t xml:space="preserve">
</t>
        </r>
      </text>
    </comment>
    <comment ref="B648" authorId="3" shapeId="0" xr:uid="{00000000-0006-0000-0400-000015000000}">
      <text>
        <r>
          <rPr>
            <b/>
            <sz val="9"/>
            <color indexed="81"/>
            <rFont val="Tahoma"/>
            <family val="2"/>
          </rPr>
          <t>Values to the right are used internally for error checking</t>
        </r>
      </text>
    </comment>
    <comment ref="B649" authorId="3" shapeId="0" xr:uid="{00000000-0006-0000-0400-000016000000}">
      <text>
        <r>
          <rPr>
            <b/>
            <sz val="9"/>
            <color indexed="81"/>
            <rFont val="Tahoma"/>
            <family val="2"/>
          </rPr>
          <t>Values to the right are used internally for error checking</t>
        </r>
      </text>
    </comment>
    <comment ref="B650" authorId="3" shapeId="0" xr:uid="{00000000-0006-0000-0400-000017000000}">
      <text>
        <r>
          <rPr>
            <b/>
            <sz val="9"/>
            <color indexed="81"/>
            <rFont val="Tahoma"/>
            <family val="2"/>
          </rPr>
          <t xml:space="preserve">Values to the right are used internally for error checking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288" authorId="1" shapeId="0" xr:uid="{00000000-0006-0000-0500-000003000000}">
      <text>
        <r>
          <rPr>
            <b/>
            <sz val="9"/>
            <color indexed="81"/>
            <rFont val="Tahoma"/>
            <family val="2"/>
          </rPr>
          <t>Internal Use</t>
        </r>
        <r>
          <rPr>
            <sz val="9"/>
            <color indexed="81"/>
            <rFont val="Tahoma"/>
            <family val="2"/>
          </rPr>
          <t xml:space="preserve">
</t>
        </r>
      </text>
    </comment>
    <comment ref="C288" authorId="1" shapeId="0" xr:uid="{00000000-0006-0000-0500-000004000000}">
      <text>
        <r>
          <rPr>
            <b/>
            <sz val="9"/>
            <color indexed="81"/>
            <rFont val="Tahoma"/>
            <family val="2"/>
          </rPr>
          <t>Users may change values in this column to reflect differing degrees of automation</t>
        </r>
      </text>
    </comment>
    <comment ref="D288"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288"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30" authorId="1" shapeId="0" xr:uid="{00000000-0006-0000-0500-000007000000}">
      <text>
        <r>
          <rPr>
            <b/>
            <sz val="9"/>
            <color indexed="81"/>
            <rFont val="Tahoma"/>
            <family val="2"/>
          </rPr>
          <t>Internal Use</t>
        </r>
        <r>
          <rPr>
            <sz val="9"/>
            <color indexed="81"/>
            <rFont val="Tahoma"/>
            <family val="2"/>
          </rPr>
          <t xml:space="preserve">
</t>
        </r>
      </text>
    </comment>
    <comment ref="C330" authorId="1" shapeId="0" xr:uid="{00000000-0006-0000-0500-000008000000}">
      <text>
        <r>
          <rPr>
            <b/>
            <sz val="9"/>
            <color indexed="81"/>
            <rFont val="Tahoma"/>
            <family val="2"/>
          </rPr>
          <t>Users may change values in this column to reflect differing degrees of automation</t>
        </r>
      </text>
    </comment>
    <comment ref="D330"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30"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30"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8" authorId="0" shapeId="0" xr:uid="{00000000-0006-0000-0700-000004000000}">
      <text>
        <r>
          <rPr>
            <b/>
            <sz val="9"/>
            <color indexed="81"/>
            <rFont val="Tahoma"/>
            <family val="2"/>
          </rPr>
          <t>Internal use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800-000001000000}">
      <text>
        <r>
          <rPr>
            <b/>
            <sz val="9"/>
            <color indexed="81"/>
            <rFont val="Tahoma"/>
            <family val="2"/>
          </rPr>
          <t>Internal use</t>
        </r>
      </text>
    </comment>
    <comment ref="C4"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C00-000001000000}">
      <text>
        <r>
          <rPr>
            <b/>
            <sz val="9"/>
            <color indexed="81"/>
            <rFont val="Tahoma"/>
            <family val="2"/>
          </rPr>
          <t>Internal use</t>
        </r>
      </text>
    </comment>
    <comment ref="C3"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D00-000001000000}">
      <text>
        <r>
          <rPr>
            <b/>
            <sz val="9"/>
            <color indexed="81"/>
            <rFont val="Tahoma"/>
            <family val="2"/>
          </rPr>
          <t>Internal use</t>
        </r>
      </text>
    </comment>
    <comment ref="C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6" authorId="1" shapeId="0" xr:uid="{00000000-0006-0000-0D00-000003000000}">
      <text>
        <r>
          <rPr>
            <b/>
            <u/>
            <sz val="9"/>
            <color indexed="81"/>
            <rFont val="Tahoma"/>
            <family val="2"/>
          </rPr>
          <t xml:space="preserve">Component Level   Small System   Medium/Large System
</t>
        </r>
        <r>
          <rPr>
            <sz val="9"/>
            <color indexed="81"/>
            <rFont val="Tahoma"/>
            <family val="2"/>
          </rPr>
          <t>Low                        Manual              Manual
Mid                         Manual              Auto
High                        Auto                Auto</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E00-000001000000}">
      <text>
        <r>
          <rPr>
            <b/>
            <sz val="9"/>
            <color indexed="81"/>
            <rFont val="Tahoma"/>
            <family val="2"/>
          </rPr>
          <t>Internal use</t>
        </r>
      </text>
    </comment>
    <comment ref="C3"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23" authorId="2" shapeId="0" xr:uid="{00000000-0006-0000-1000-000003000000}">
      <text>
        <r>
          <rPr>
            <b/>
            <sz val="9"/>
            <color indexed="81"/>
            <rFont val="Tahoma"/>
            <family val="2"/>
          </rPr>
          <t>Unlike the other figures in this column, this one does not include capital cost; that is included in the annual cost of cooling.</t>
        </r>
      </text>
    </comment>
    <comment ref="B137" authorId="2" shapeId="0" xr:uid="{00000000-0006-0000-1000-000004000000}">
      <text>
        <r>
          <rPr>
            <b/>
            <sz val="9"/>
            <color indexed="81"/>
            <rFont val="Tahoma"/>
            <family val="2"/>
          </rPr>
          <t>Unlike the other figures in this column, this one does not include capital cost; that is included in the annual cost of cooling.</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BE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sharedStrings.xml><?xml version="1.0" encoding="utf-8"?>
<sst xmlns="http://schemas.openxmlformats.org/spreadsheetml/2006/main" count="12319" uniqueCount="5268">
  <si>
    <t>Labor hours per week for contact basins</t>
  </si>
  <si>
    <t>Weekly_labor</t>
  </si>
  <si>
    <t>Analog Outputs</t>
  </si>
  <si>
    <t>Alarm (including level switch/alarms, high/low alarms, low alarms)</t>
  </si>
  <si>
    <t>alarm</t>
  </si>
  <si>
    <t>S_booster_pump</t>
  </si>
  <si>
    <t>S_back_pump</t>
  </si>
  <si>
    <t>S_eductor</t>
  </si>
  <si>
    <t>S_mixer</t>
  </si>
  <si>
    <t>Holding tanks are designed with a capacity of one generation event, multiplied by this safety factor. This multiplier accounts for less than perfect staggering of generation events and provides for solids accumulation (i.e., it provides excess capacity).</t>
  </si>
  <si>
    <t>Lighting power per sf, low-quality buildings and sheds</t>
  </si>
  <si>
    <t>lighting_power_low</t>
  </si>
  <si>
    <t>W/sf</t>
  </si>
  <si>
    <t>Lighting power per sf, mid-quality buildings</t>
  </si>
  <si>
    <t>lighting_power_mid</t>
  </si>
  <si>
    <t>Lighting power per sf, high-quality buildings</t>
  </si>
  <si>
    <t>lighting_power_high</t>
  </si>
  <si>
    <t>Recording operating paramenters for automated systems</t>
  </si>
  <si>
    <t>uloe_inst_auto</t>
  </si>
  <si>
    <t>Minutes per 100 sf per day</t>
  </si>
  <si>
    <t>min/100 sf/day</t>
  </si>
  <si>
    <t>Maintenance LOE assumptions</t>
  </si>
  <si>
    <t>For instruments (includes calibration)</t>
  </si>
  <si>
    <t>Backwash pump footprint</t>
  </si>
  <si>
    <t>res_s1_opt</t>
  </si>
  <si>
    <t>res_s2_opt</t>
  </si>
  <si>
    <t>&lt;-- 1 for non-hazardous, 2 for hazardous</t>
  </si>
  <si>
    <t>Maximum hazardous waste shipment size</t>
  </si>
  <si>
    <t>max_haz_ship</t>
  </si>
  <si>
    <t>res_cap_factor</t>
  </si>
  <si>
    <t>ht_solids_density</t>
  </si>
  <si>
    <t>lb/ft3</t>
  </si>
  <si>
    <t>htank_TSSrem</t>
  </si>
  <si>
    <t>Height or Length</t>
  </si>
  <si>
    <t>Optional</t>
  </si>
  <si>
    <t>&lt;--current inputs</t>
  </si>
  <si>
    <t>&lt;--inputs used at last "Generate Results"</t>
  </si>
  <si>
    <t>Ratio of  length to diameter for horizontal vessels</t>
  </si>
  <si>
    <t>length_diam_ratio</t>
  </si>
  <si>
    <t>Characteristics of holding tank solids</t>
  </si>
  <si>
    <t xml:space="preserve">Top and bottom dished vessel sections height and access space </t>
  </si>
  <si>
    <t>Additional analog input because flow meters include pressure gauges</t>
  </si>
  <si>
    <t>Number of shifts</t>
  </si>
  <si>
    <t>Media volume when expanded</t>
  </si>
  <si>
    <t>Minimum volume required</t>
  </si>
  <si>
    <t>min_basin_vol</t>
  </si>
  <si>
    <t>Number of basins (no redundancy)</t>
  </si>
  <si>
    <t>op_num_basins</t>
  </si>
  <si>
    <t>Basin depth including freeboard</t>
  </si>
  <si>
    <t>basin_depth</t>
  </si>
  <si>
    <t>Total basin volume</t>
  </si>
  <si>
    <t>basin_vol</t>
  </si>
  <si>
    <t>Number of reduntant basins</t>
  </si>
  <si>
    <t>NRD_g</t>
  </si>
  <si>
    <t>Total number of basins (incl. redundancy)</t>
  </si>
  <si>
    <t>total_num_basins</t>
  </si>
  <si>
    <t>Concrete volume</t>
  </si>
  <si>
    <t>basin_conc_vol</t>
  </si>
  <si>
    <t>Excavation volume</t>
  </si>
  <si>
    <t>excavation_vol</t>
  </si>
  <si>
    <t>Backfill volume</t>
  </si>
  <si>
    <t>backfill_vol</t>
  </si>
  <si>
    <t>Railing length</t>
  </si>
  <si>
    <t>railing</t>
  </si>
  <si>
    <t>Surface area each contactor</t>
  </si>
  <si>
    <t>basin_area</t>
  </si>
  <si>
    <t>GRAVITY CONTACT BASINS</t>
  </si>
  <si>
    <t>MEDIA QUANITITIES</t>
  </si>
  <si>
    <t>cubic ft</t>
  </si>
  <si>
    <t>cubic yd</t>
  </si>
  <si>
    <t>Gravity Basin Design</t>
  </si>
  <si>
    <t>NRD_basins_medium</t>
  </si>
  <si>
    <t>NRD_basins_large</t>
  </si>
  <si>
    <t>proc_man_pump</t>
  </si>
  <si>
    <t>back_man_vessel</t>
  </si>
  <si>
    <t>back_man_pump</t>
  </si>
  <si>
    <t>back_man_tank</t>
  </si>
  <si>
    <t>tot_bp_man</t>
  </si>
  <si>
    <t>Under assumptions below, valves are motorized for fully automated systems, manual for semi-automated and manual systems</t>
  </si>
  <si>
    <t>To change the degree of automation, the user may replace the numbers in each of the blue columns.</t>
  </si>
  <si>
    <t>Number of control valves of x type on y line per z</t>
  </si>
  <si>
    <t>Semi-auto</t>
  </si>
  <si>
    <t>Hydrogen Peroxide Addition</t>
  </si>
  <si>
    <t>Number of chemical storage tanks</t>
  </si>
  <si>
    <t>Chemical storage tank size</t>
  </si>
  <si>
    <t>H2O2_day</t>
  </si>
  <si>
    <t>solution_day</t>
  </si>
  <si>
    <t>H2O2_store_gal</t>
  </si>
  <si>
    <t>for 100% H2O2</t>
  </si>
  <si>
    <t>based on H2O2 at specified grade</t>
  </si>
  <si>
    <t>Static mixer size for H2O2 addition</t>
  </si>
  <si>
    <t>mixer_size</t>
  </si>
  <si>
    <t>Hydrogen Peroxide Dose</t>
  </si>
  <si>
    <t>Post-Treatment Design</t>
  </si>
  <si>
    <t>Specific gravity of H2O2 at the indicated grade</t>
  </si>
  <si>
    <t>H2O2_sg</t>
  </si>
  <si>
    <t>FMC Corporation, MSDS for 40-60% H2O2, http://www.h2o2.com/intro/FMC_MSDS_40_to_60.pdf</t>
  </si>
  <si>
    <t>Diluted concentration to be fed</t>
  </si>
  <si>
    <t>H2O2_dilute_conc</t>
  </si>
  <si>
    <t>Hydrogen peroxide is added to water as a dilute solution (MWH, Water Treatment: Principles and Design, second edition, page 552 and Table 8-4).</t>
  </si>
  <si>
    <t>Reduce chemical storage time for H2O2 since it is unstable.</t>
  </si>
  <si>
    <t>4-8 mg/L (US DoD, 2008)</t>
  </si>
  <si>
    <t>H2O2_days</t>
  </si>
  <si>
    <t>H2O2_dose</t>
  </si>
  <si>
    <t>H2O2 storage in gallons</t>
  </si>
  <si>
    <t>in</t>
  </si>
  <si>
    <t>H2O2_tanks</t>
  </si>
  <si>
    <t>H2O2_tank_vol</t>
  </si>
  <si>
    <t>Percent grade of H2O2</t>
  </si>
  <si>
    <t>H2O2_grade</t>
  </si>
  <si>
    <t>Solution feed rate at design flow</t>
  </si>
  <si>
    <t>solution_rate</t>
  </si>
  <si>
    <t>Flow rate for diluted H2O2 at design flow</t>
  </si>
  <si>
    <t>diluted_rate</t>
  </si>
  <si>
    <t>for injection into diluted stream</t>
  </si>
  <si>
    <t>for H2O2 diluted to specified concentration before injection</t>
  </si>
  <si>
    <t>Hydrogen Peroxide Pump</t>
  </si>
  <si>
    <t>cm_pumps_H2O2</t>
  </si>
  <si>
    <t>Dilute hydrogen peroxide piping length</t>
  </si>
  <si>
    <t>Dilute hydrogen peroxide pipe flow</t>
  </si>
  <si>
    <t>Dilute hydrogen peroxide pipe diameter</t>
  </si>
  <si>
    <t>H202_pipe_length</t>
  </si>
  <si>
    <t>H202_pipe_flow</t>
  </si>
  <si>
    <t>H202_pipe_diam</t>
  </si>
  <si>
    <t>Size of valves for hydrogen peroxide line</t>
  </si>
  <si>
    <t>H2O2_valve_size</t>
  </si>
  <si>
    <t>Number of MOVs for hydrogen peroxide line</t>
  </si>
  <si>
    <t>tot_H2O2_MOVs</t>
  </si>
  <si>
    <t>Number of check valves hydrogen peroxide line</t>
  </si>
  <si>
    <t>tot_H2O2_chv</t>
  </si>
  <si>
    <t>tot_H2O2_man</t>
  </si>
  <si>
    <t>Polypropylene/PVC - H2O2</t>
  </si>
  <si>
    <t>Stainless Steel - H2O2</t>
  </si>
  <si>
    <t>pp_mov_eq_H2O2</t>
  </si>
  <si>
    <t>ss_mov_eq_H2O2</t>
  </si>
  <si>
    <t>Stainless Steel -  H2O2</t>
  </si>
  <si>
    <t>ss_chv_eq_H2O2</t>
  </si>
  <si>
    <t>pp_chv_eq_H2O2</t>
  </si>
  <si>
    <t>pvc_H2O2_mmpump_eq</t>
  </si>
  <si>
    <t>ss_H2O2_mmpump_eq</t>
  </si>
  <si>
    <t>pvc_H2O2_empump_eq</t>
  </si>
  <si>
    <t>ss_H2O2_empump_eq</t>
  </si>
  <si>
    <t>cm_pump_rating_H2O2</t>
  </si>
  <si>
    <t>Hydrogen Peroxide - Polypropylene/PVC</t>
  </si>
  <si>
    <t>Hydrogen Peroxide - Stainless Steel</t>
  </si>
  <si>
    <t>pp_man_eq_H2O2</t>
  </si>
  <si>
    <t>ss_man_eq_H2O2</t>
  </si>
  <si>
    <t>Hydrogen Peroxide Metering</t>
  </si>
  <si>
    <t>Hydrogen Peroxide Piping</t>
  </si>
  <si>
    <t>cpvc_pipe_eq_H2O2</t>
  </si>
  <si>
    <t>pvc_pipe_eq_H2O2</t>
  </si>
  <si>
    <t>ss_pipe_eq_H2O2</t>
  </si>
  <si>
    <t>st_pipe_eq_H2O2</t>
  </si>
  <si>
    <t>Dilute Hydrogen Peroxide Piping</t>
  </si>
  <si>
    <t>Static Mixer for Hydrogen Peroxide</t>
  </si>
  <si>
    <t>in_mix_eq</t>
  </si>
  <si>
    <t>Number of static mixers for H2O2 addition</t>
  </si>
  <si>
    <t>n_mixers</t>
  </si>
  <si>
    <t>Annual hydrogen peroxide use</t>
  </si>
  <si>
    <t>H2O2_use</t>
  </si>
  <si>
    <t>H2O2_st_diam</t>
  </si>
  <si>
    <t>Access space per hydrogen peroxide storage tank</t>
  </si>
  <si>
    <r>
      <t>space_</t>
    </r>
    <r>
      <rPr>
        <sz val="10"/>
        <rFont val="Arial"/>
        <family val="2"/>
      </rPr>
      <t>H2O2</t>
    </r>
    <r>
      <rPr>
        <i/>
        <sz val="10"/>
        <rFont val="Arial"/>
        <family val="2"/>
      </rPr>
      <t>_st</t>
    </r>
  </si>
  <si>
    <t>Hydrogen peroxide storage tank footprint</t>
  </si>
  <si>
    <t>H2O2_donor_fp</t>
  </si>
  <si>
    <t>Hydrogen Peroxide Storage Tanks</t>
  </si>
  <si>
    <t>pl_H2O2_st_eq</t>
  </si>
  <si>
    <t>4.6.1</t>
  </si>
  <si>
    <t>ebct_filt</t>
  </si>
  <si>
    <t>bed_depth_filt</t>
  </si>
  <si>
    <t xml:space="preserve"> (US DoD, 2008)</t>
  </si>
  <si>
    <t>filt_freeboard</t>
  </si>
  <si>
    <t>filt_bed_expansion</t>
  </si>
  <si>
    <t>min_filt_vol</t>
  </si>
  <si>
    <t>Number of filters (no redundancy)</t>
  </si>
  <si>
    <t>bed_depth_filt_small</t>
  </si>
  <si>
    <t>bed_depth_filt_large</t>
  </si>
  <si>
    <t>Total filter volume required</t>
  </si>
  <si>
    <t>Filter Volume per Basin</t>
  </si>
  <si>
    <t>filt_volume</t>
  </si>
  <si>
    <t>filt_basin_depth</t>
  </si>
  <si>
    <t>NRD_filt</t>
  </si>
  <si>
    <t>total_num_filt_basins</t>
  </si>
  <si>
    <t>filt_basin_conc_vol</t>
  </si>
  <si>
    <t>filt_excavation_vol</t>
  </si>
  <si>
    <t>filt_backfill_vol</t>
  </si>
  <si>
    <t>filt_railing</t>
  </si>
  <si>
    <t>filt_basin_area</t>
  </si>
  <si>
    <t>op_num_filters</t>
  </si>
  <si>
    <t>Filter Media Quantities</t>
  </si>
  <si>
    <t>GAC quantity each filter</t>
  </si>
  <si>
    <t>filt_GAC</t>
  </si>
  <si>
    <t>filt_GAC_each</t>
  </si>
  <si>
    <t>2.1.1</t>
  </si>
  <si>
    <t>2.1.2</t>
  </si>
  <si>
    <t>2.1.3</t>
  </si>
  <si>
    <t>2.1.4</t>
  </si>
  <si>
    <t>2.1.5</t>
  </si>
  <si>
    <t>2.1.6</t>
  </si>
  <si>
    <t>2.2.1</t>
  </si>
  <si>
    <t>Filter Basins</t>
  </si>
  <si>
    <t>filt_bed_volume</t>
  </si>
  <si>
    <t>turb_tank_filt</t>
  </si>
  <si>
    <t>Turbitity meters per filter</t>
  </si>
  <si>
    <t>Heating and cooling assumptions should be consistent with one another.  Assumed values are for a climate that results in a total energy usage for heating and cooling equal to the national median.</t>
  </si>
  <si>
    <t>Annual cooling degree days</t>
  </si>
  <si>
    <t>cool_DD</t>
  </si>
  <si>
    <t>Heating ventilation/infiltration load</t>
  </si>
  <si>
    <t>years</t>
  </si>
  <si>
    <t>l.f./day</t>
  </si>
  <si>
    <t>RS Means Costworks 2001</t>
  </si>
  <si>
    <t>Frost depth</t>
  </si>
  <si>
    <t>frost</t>
  </si>
  <si>
    <t>Minimum trench depth to top of pipe</t>
  </si>
  <si>
    <t>min_trench_depth</t>
  </si>
  <si>
    <t>US Army Corps of Engineers recommended minimum cover for distribution pipes of 2.5 ft in grassed areas, 3 ft if buried under pavement or roadways but not less than frost penetration depth (USACOE 1984)</t>
  </si>
  <si>
    <t>Soil density</t>
  </si>
  <si>
    <t>soil_dens</t>
  </si>
  <si>
    <t>lb/cubic ft.</t>
  </si>
  <si>
    <t>Based on soil density of loamy sand (1.55 gm/cc)</t>
  </si>
  <si>
    <t>Coefficient of passive pressure</t>
  </si>
  <si>
    <t>Coeff_Kp</t>
  </si>
  <si>
    <t>Reduction factor</t>
  </si>
  <si>
    <t>Reduction</t>
  </si>
  <si>
    <t>Bedding depth below pipe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</si>
  <si>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</si>
  <si>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</si>
  <si>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</si>
  <si>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</si>
  <si>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</si>
  <si>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</si>
  <si>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</si>
  <si>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</si>
  <si>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</si>
  <si>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</si>
  <si>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</si>
  <si>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</si>
  <si>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Use if technology is last step in treatment process</t>
  </si>
  <si>
    <t>kW</t>
  </si>
  <si>
    <t>Basin freeboard above filter media at full expansion</t>
  </si>
  <si>
    <t>basin_freeboard</t>
  </si>
  <si>
    <t>Maximum bed depth (gravity)</t>
  </si>
  <si>
    <t>max_depth</t>
  </si>
  <si>
    <t>Minimum bed depth (gravity)</t>
  </si>
  <si>
    <t>min_depth</t>
  </si>
  <si>
    <t>Maximum basin width</t>
  </si>
  <si>
    <t>max_width</t>
  </si>
  <si>
    <t>Minimum basin width</t>
  </si>
  <si>
    <t>min_width</t>
  </si>
  <si>
    <t>Maximum basin length</t>
  </si>
  <si>
    <t>max_length_g</t>
  </si>
  <si>
    <t>Minimum basin length</t>
  </si>
  <si>
    <t>min_length_g</t>
  </si>
  <si>
    <t>Target Bed Depth (Gravity Designs &lt; 1MGD)</t>
  </si>
  <si>
    <t>target_bed_depth_under_g</t>
  </si>
  <si>
    <t>Target Bed Depth (Gravity Designs &gt; 1 MGD)</t>
  </si>
  <si>
    <t>target_bed_depth_over_g</t>
  </si>
  <si>
    <t>Pressure Vessel Design</t>
  </si>
  <si>
    <t>Percent of Total Flow that is Bypassed</t>
  </si>
  <si>
    <t>Concrete thickness for storage basins</t>
  </si>
  <si>
    <t>conc_thick</t>
  </si>
  <si>
    <t>This assumption used only if concrete basins are used.</t>
  </si>
  <si>
    <t>Overexcavation for storage basins</t>
  </si>
  <si>
    <t>overexcavate</t>
  </si>
  <si>
    <t>2 feet each side in each dimension.  This assumption used only if concrete basins are used.</t>
  </si>
  <si>
    <t>incorporates common wall design</t>
  </si>
  <si>
    <t>incorporates common wall design, includes ramping for moving earth out of excavated area, assumes flush with grade (conservative)</t>
  </si>
  <si>
    <t>incorporates common wall design, single railing (concrete thickness is not sufficient to provide walkway)</t>
  </si>
  <si>
    <t>GAC bulk density</t>
  </si>
  <si>
    <t>GAC_density</t>
  </si>
  <si>
    <t>Bulk density, not particle density.  GAC density range of 22-30 lb/cubic ft; lignite GAC approximately 22 and bituminous GAC approximately 28 lb/cubic ft (Randal J. Braker, General Manager, Duck River Utility Commission)</t>
  </si>
  <si>
    <t>GAC</t>
  </si>
  <si>
    <t>Bioreactor Design (both system types)</t>
  </si>
  <si>
    <t>Acetic Acid density</t>
  </si>
  <si>
    <t>Ethanol density</t>
  </si>
  <si>
    <t xml:space="preserve">0.789 g/cm3 </t>
  </si>
  <si>
    <t>ethanol_dens</t>
  </si>
  <si>
    <t>CH3NOOH_dens</t>
  </si>
  <si>
    <t>Ammonium Chloride density</t>
  </si>
  <si>
    <t>Biomass Seperator Air Scour Volume for fluidized beds</t>
  </si>
  <si>
    <t>biomass_air_scour</t>
  </si>
  <si>
    <t>CFH/gpm</t>
  </si>
  <si>
    <t>Total Backwash Air Scour Volume</t>
  </si>
  <si>
    <t>Total Air Used for Biomass Seperation</t>
  </si>
  <si>
    <t>for fluidized bed designs</t>
  </si>
  <si>
    <t>tot_air_biomass</t>
  </si>
  <si>
    <t xml:space="preserve"> h </t>
  </si>
  <si>
    <t xml:space="preserve">This is used to determine the building height for purposes of heating and cooling cost.  </t>
  </si>
  <si>
    <t>Limitation on transportation is 53 feet in length</t>
  </si>
  <si>
    <t>Number of parallel treatment trains</t>
  </si>
  <si>
    <t>Minimum surface area of contact material</t>
  </si>
  <si>
    <t xml:space="preserve">    Required height of vessel</t>
  </si>
  <si>
    <t>Include cooling for building 2</t>
  </si>
  <si>
    <t>build2_need_cool</t>
  </si>
  <si>
    <t>Technology complexity factor</t>
  </si>
  <si>
    <t>complexity</t>
  </si>
  <si>
    <t>Technology-specific factor.  See Appendices for details.  Low complexity = 0.5; Average complexity = 1.0; High complexity = 1.5; Very high complexity = 2.0.</t>
  </si>
  <si>
    <t>Design safety factor for standby power</t>
  </si>
  <si>
    <t>std_safety_factor</t>
  </si>
  <si>
    <t>Recycle pump operating horsepower</t>
  </si>
  <si>
    <t>Energy per recycle pump</t>
  </si>
  <si>
    <t>Energy for all active recycle pumps</t>
  </si>
  <si>
    <t>recycle_pump_energy</t>
  </si>
  <si>
    <t>Aeration blower operating pressure</t>
  </si>
  <si>
    <t>HP</t>
  </si>
  <si>
    <t>Aeration tank water height</t>
  </si>
  <si>
    <t>aeration_water_height</t>
  </si>
  <si>
    <t>add_blow_head</t>
  </si>
  <si>
    <t>blower_head</t>
  </si>
  <si>
    <t>blower_hp</t>
  </si>
  <si>
    <t>Blower efficiency</t>
  </si>
  <si>
    <t>blower_effcy</t>
  </si>
  <si>
    <t>Recycle pump head</t>
  </si>
  <si>
    <t>recycle_pump_head</t>
  </si>
  <si>
    <t>Booster Pump efficiency</t>
  </si>
  <si>
    <t>recycle_pump_efficiency</t>
  </si>
  <si>
    <t>Recycle Pump efficiency</t>
  </si>
  <si>
    <t>Recycle pumps</t>
  </si>
  <si>
    <t>blower_energy</t>
  </si>
  <si>
    <t>Cost for parts &amp; maintenance for pumps and blowers</t>
  </si>
  <si>
    <t>Materials for backwash air scour blowers</t>
  </si>
  <si>
    <t>Materials for recycle pumps</t>
  </si>
  <si>
    <t>Materials for aeration blowers</t>
  </si>
  <si>
    <t>aeration_blower_mtl</t>
  </si>
  <si>
    <t>recycle_pump_mtl</t>
  </si>
  <si>
    <t>Gravity bioreactors only</t>
  </si>
  <si>
    <t>Bioreactor basin maintenance materials</t>
  </si>
  <si>
    <t>Filter basin maintenance materials</t>
  </si>
  <si>
    <t>Gravity filters only</t>
  </si>
  <si>
    <t>post_filter_materials</t>
  </si>
  <si>
    <t>Aeration blower material cost</t>
  </si>
  <si>
    <t>Materials forbioreactor basins</t>
  </si>
  <si>
    <t>Total biorewactors (incl. redundancy, below)</t>
  </si>
  <si>
    <t xml:space="preserve">Guidance: between 2 and 7 ft </t>
  </si>
  <si>
    <t xml:space="preserve">Guidance: between 2 and 12 ft </t>
  </si>
  <si>
    <t>coag_dose_filt</t>
  </si>
  <si>
    <t>Coagulant dosage prior to post-treatment filtration</t>
  </si>
  <si>
    <t>coag_mix_time</t>
  </si>
  <si>
    <t>lb/day</t>
  </si>
  <si>
    <t>coag_day</t>
  </si>
  <si>
    <t>coag_day_design_flow</t>
  </si>
  <si>
    <t>total_coag</t>
  </si>
  <si>
    <t>coag_yr_filt</t>
  </si>
  <si>
    <t>coag_density_filt</t>
  </si>
  <si>
    <t>American Water Works Association and American Society of Civil Engineers. Water Treatment Plant Design. Third Edition. New York: McGraw Hill, 1998. Pp 92. Detention times of 10-60 s; see also Viessman and Hammer, 1993, and others</t>
  </si>
  <si>
    <t>seconds</t>
  </si>
  <si>
    <t>Coagulant mix time prior to filtration</t>
  </si>
  <si>
    <t>Coagulant mix tank size</t>
  </si>
  <si>
    <t>coag_mix_tank</t>
  </si>
  <si>
    <t>Maximum mixing tank size</t>
  </si>
  <si>
    <t>max_coag_mix_tank</t>
  </si>
  <si>
    <t>coag_mix_tank_size</t>
  </si>
  <si>
    <t>Incude coagulant addition before filtration</t>
  </si>
  <si>
    <t>include_coag_filt_I</t>
  </si>
  <si>
    <t>Incude Coagulant Addition</t>
  </si>
  <si>
    <t>Include coagulant addition before fitration</t>
  </si>
  <si>
    <t>include_coag_filt</t>
  </si>
  <si>
    <t>Max coagulant mix tank mixer horsepower</t>
  </si>
  <si>
    <t>Mixers per coagulant mix tank</t>
  </si>
  <si>
    <t>Coagulant mix tank mixer horsepower</t>
  </si>
  <si>
    <t>mix_hp_per</t>
  </si>
  <si>
    <t>mix_per_tank</t>
  </si>
  <si>
    <t>mix_hp_max</t>
  </si>
  <si>
    <t>mix_size</t>
  </si>
  <si>
    <t>mixers</t>
  </si>
  <si>
    <t>Total coagulant (ferric chlroide)</t>
  </si>
  <si>
    <t>Coagulant mix tank diameter</t>
  </si>
  <si>
    <t>coag_mix_diam</t>
  </si>
  <si>
    <t>Access space per coagulant mix tank</t>
  </si>
  <si>
    <t>space_coag_mix</t>
  </si>
  <si>
    <t>Footprint for coagulant mix tank</t>
  </si>
  <si>
    <t>coag_mix_fp</t>
  </si>
  <si>
    <t>If total footprint is large, building 1 contains vessels, aeration, and filters only.  If total footprint is small, building 1 contains all equipment.</t>
  </si>
  <si>
    <t>3.13.1</t>
  </si>
  <si>
    <t>Coagulant Mix Tank</t>
  </si>
  <si>
    <t>Coagulant Mix Tanks</t>
  </si>
  <si>
    <t>7.12.1</t>
  </si>
  <si>
    <t>Coagulant Mix Tank Mixers</t>
  </si>
  <si>
    <t>coag_mount_mix_eq</t>
  </si>
  <si>
    <t>coag_imp_mix_eq</t>
  </si>
  <si>
    <t>st_coag_eq</t>
  </si>
  <si>
    <t>fg_coag_eq</t>
  </si>
  <si>
    <t>hdpe_coag_eq</t>
  </si>
  <si>
    <t>This sheet performs calculations to confirm that the vessel design on the Input page meets engineering constraints</t>
  </si>
  <si>
    <t>From Central Cost Database</t>
  </si>
  <si>
    <t>Maximum Standard Vessel Diameter</t>
  </si>
  <si>
    <t>max_diam_std_size</t>
  </si>
  <si>
    <t>Minimum Vessel Diameter</t>
  </si>
  <si>
    <t>min_diam</t>
  </si>
  <si>
    <t>Maximum Vessel Diameter</t>
  </si>
  <si>
    <t>max_diam_override</t>
  </si>
  <si>
    <t>Maximum vessel diameter will be chosen from a table of conventional sizes for commercial vessels, unless entered here.  Systems have used vessels up to 14' diam and height in practice (AWWA Inorganic Contaminants Workshop 2006)</t>
  </si>
  <si>
    <t>NRD_I</t>
  </si>
  <si>
    <t>Height available above media bed (for horizontal vessels)</t>
  </si>
  <si>
    <t>distance_above</t>
  </si>
  <si>
    <t>Void space above media bed (for horizontal vessels)</t>
  </si>
  <si>
    <t>void_above</t>
  </si>
  <si>
    <t>days/year</t>
  </si>
  <si>
    <t>tot_fm_proc</t>
  </si>
  <si>
    <t>tot_fm_back</t>
  </si>
  <si>
    <t>Total level switch/alarms</t>
  </si>
  <si>
    <t>tot_level_switch</t>
  </si>
  <si>
    <t>tot_back_alarm</t>
  </si>
  <si>
    <t>Total head loss sensors</t>
  </si>
  <si>
    <t>tot_head_sens</t>
  </si>
  <si>
    <t>Backwashing one vessel</t>
  </si>
  <si>
    <t>back_interval</t>
  </si>
  <si>
    <t>hours</t>
  </si>
  <si>
    <t>Note: geotechnical is always included with the evaporation pond option, regardless of the numbers entered here</t>
  </si>
  <si>
    <t>Hours per media changeout</t>
  </si>
  <si>
    <t>Chemicals and Media</t>
  </si>
  <si>
    <t>Site Work</t>
  </si>
  <si>
    <t xml:space="preserve">Mangerial LOE as a percent of average technical labor </t>
  </si>
  <si>
    <t>Manager_percent</t>
  </si>
  <si>
    <t>fraction</t>
  </si>
  <si>
    <t>yard_cost</t>
  </si>
  <si>
    <t>Total add-on costs</t>
  </si>
  <si>
    <t>Calculated based on system requirements.</t>
  </si>
  <si>
    <t>holding tank</t>
  </si>
  <si>
    <t>non-hazardous</t>
  </si>
  <si>
    <t>res_s2_opt_I</t>
  </si>
  <si>
    <t>res_s1_opt_I</t>
  </si>
  <si>
    <t>Interval between backwashes (from inputs)</t>
  </si>
  <si>
    <t>Total GAC media</t>
  </si>
  <si>
    <t>GAC media volume per bioreactor</t>
  </si>
  <si>
    <t>GAC media mass per bioreactor</t>
  </si>
  <si>
    <t>Accounts for bed expansion</t>
  </si>
  <si>
    <t>recycle_fluid</t>
  </si>
  <si>
    <t>Media Expansion when fluidized</t>
  </si>
  <si>
    <t>bed_expansion_fluidized</t>
  </si>
  <si>
    <t>Bed type</t>
  </si>
  <si>
    <t>freeboard_fluidized</t>
  </si>
  <si>
    <t>lb/yr</t>
  </si>
  <si>
    <t>Sample Electron Donor Dose Calculations</t>
  </si>
  <si>
    <t>All influent concnetrations listed</t>
  </si>
  <si>
    <t>Calculated acetic acid dose</t>
  </si>
  <si>
    <t>Calculated ethanol dose</t>
  </si>
  <si>
    <t>acetic_dose_sample</t>
  </si>
  <si>
    <t>ethanol_dose_sample</t>
  </si>
  <si>
    <t>Ce = 0.903 O2 + 2.229 NO3-N + 0.581 ClO4-  (Harding ESE, 2001)</t>
  </si>
  <si>
    <t>dose_calc</t>
  </si>
  <si>
    <t>target_bed_depth_under_fluid</t>
  </si>
  <si>
    <t>target_bed_depth_over_fluid</t>
  </si>
  <si>
    <t>Target Fluidized Bed Depth (Designs &lt; 1MGD)</t>
  </si>
  <si>
    <t>Target Fluidized Bed Depth (Designs &gt; 1 MGD)</t>
  </si>
  <si>
    <t>Target Bed Depth (Designs &gt; 1 MGD)</t>
  </si>
  <si>
    <t>Recycle piping length</t>
  </si>
  <si>
    <t>recycle_pipe_length</t>
  </si>
  <si>
    <t>Recycle pipe flow</t>
  </si>
  <si>
    <t>Recycle pipe diameter</t>
  </si>
  <si>
    <t>recycle_pipe_flow</t>
  </si>
  <si>
    <t>recycle_pipe_diam</t>
  </si>
  <si>
    <t>Recycle Piping</t>
  </si>
  <si>
    <t>cpvc_pipe_eq_rec</t>
  </si>
  <si>
    <t>pvc_pipe_eq_rec</t>
  </si>
  <si>
    <t>ss_pipe_eq_rec</t>
  </si>
  <si>
    <t>st_pipe_eq_rec</t>
  </si>
  <si>
    <t>tot_rec_MOVs</t>
  </si>
  <si>
    <t>Number of MOVs for recycle line</t>
  </si>
  <si>
    <t>Number of motor/air operated control valves on recycle line</t>
  </si>
  <si>
    <t>tot_rec_man</t>
  </si>
  <si>
    <t>Number of manual valves for recycle line</t>
  </si>
  <si>
    <t>Manual control valves for recycle line</t>
  </si>
  <si>
    <t>tot_man_rec</t>
  </si>
  <si>
    <t>pp_mov_eq_rec</t>
  </si>
  <si>
    <t>ss_mov_eq_rec</t>
  </si>
  <si>
    <t>rec_valve_size</t>
  </si>
  <si>
    <t>Size of valves for recycle pipe line</t>
  </si>
  <si>
    <t>Polypropylene/PVC - Recycle</t>
  </si>
  <si>
    <t>Stainless Steel - Recycle</t>
  </si>
  <si>
    <t>pp_man_eq_rec</t>
  </si>
  <si>
    <t>ss_man_eq_rec</t>
  </si>
  <si>
    <t>BIO</t>
  </si>
  <si>
    <t>Valve Table</t>
  </si>
  <si>
    <t>Standby power for cooling</t>
  </si>
  <si>
    <t>std_cool</t>
  </si>
  <si>
    <t>Number of MOVs for residuals line</t>
  </si>
  <si>
    <t>total_res_MOVs</t>
  </si>
  <si>
    <t>Number of check valves for residuals line</t>
  </si>
  <si>
    <t>tot_res_chv</t>
  </si>
  <si>
    <t>Total high/low alarms</t>
  </si>
  <si>
    <t>tot_res_alarm</t>
  </si>
  <si>
    <t>Residuals flow meter size</t>
  </si>
  <si>
    <t>res_meter_size</t>
  </si>
  <si>
    <t>O&amp;M Items</t>
  </si>
  <si>
    <t>Pump operating horsepower</t>
  </si>
  <si>
    <t>Energy per pump</t>
  </si>
  <si>
    <t>Energy for all active pumps</t>
  </si>
  <si>
    <t>res_pump_energy</t>
  </si>
  <si>
    <t>Residuals pump material cost</t>
  </si>
  <si>
    <t>res_pump_mtl</t>
  </si>
  <si>
    <t>POTW Discharge Fees</t>
  </si>
  <si>
    <t>TSS in discharged residuals</t>
  </si>
  <si>
    <t>TSS_residuals_dis</t>
  </si>
  <si>
    <t>Total TSS in excess of POTW limit (if applicable)</t>
  </si>
  <si>
    <t>Annual POTW base fee</t>
  </si>
  <si>
    <t>Annual POTW volume fee</t>
  </si>
  <si>
    <t>Annual POTW TSS fee</t>
  </si>
  <si>
    <t>Total annual POTW discharge fee</t>
  </si>
  <si>
    <t>POTW_fee</t>
  </si>
  <si>
    <t>Disposal</t>
  </si>
  <si>
    <t>Shipments per year</t>
  </si>
  <si>
    <t>Transportation</t>
  </si>
  <si>
    <t>sol_disposal_fee</t>
  </si>
  <si>
    <t>Accounts for flow equalization if holding tanks used</t>
  </si>
  <si>
    <t>Accounts for less than perfect staggering if holding tanks are used</t>
  </si>
  <si>
    <t>lbs/year</t>
  </si>
  <si>
    <t>times per year</t>
  </si>
  <si>
    <t>$/year</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</si>
  <si>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</si>
  <si>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Maximum access space per vessel or tank</t>
  </si>
  <si>
    <t>max_space_vessels</t>
  </si>
  <si>
    <t>mg/l</t>
  </si>
  <si>
    <t>Miles to non-hazardous solid waste disposal site</t>
  </si>
  <si>
    <t>non_haz_miles</t>
  </si>
  <si>
    <t>miles</t>
  </si>
  <si>
    <t>Miles to hazardous solid waste disposal site</t>
  </si>
  <si>
    <t>haz_miles</t>
  </si>
  <si>
    <t>pH meter</t>
  </si>
  <si>
    <t>ph</t>
  </si>
  <si>
    <t>Turbidity meter</t>
  </si>
  <si>
    <t>turb</t>
  </si>
  <si>
    <t>Total turbidity meters</t>
  </si>
  <si>
    <t>tot_turb_meters</t>
  </si>
  <si>
    <t>pH Meters</t>
  </si>
  <si>
    <t>Turbidity meters</t>
  </si>
  <si>
    <t>Includes  redundancy</t>
  </si>
  <si>
    <t>Includes redundancy</t>
  </si>
  <si>
    <t>Number of blowers</t>
  </si>
  <si>
    <t>num_blowers</t>
  </si>
  <si>
    <t>Maximum blower size</t>
  </si>
  <si>
    <t>max_blower_size</t>
  </si>
  <si>
    <t>Redundant blowers</t>
  </si>
  <si>
    <t>NRD_blowers</t>
  </si>
  <si>
    <t>air_MOV_blower</t>
  </si>
  <si>
    <t>air_man_blower</t>
  </si>
  <si>
    <t>Drive controllers per backwash pump and air scour blower</t>
  </si>
  <si>
    <t>Minutes per backwash for automated systems</t>
  </si>
  <si>
    <t>uloe_autoback</t>
  </si>
  <si>
    <t>min/event</t>
  </si>
  <si>
    <t>Manual and semiautomated systems use actual backwash time</t>
  </si>
  <si>
    <t>Guidance: Typical gravity bed depths are 3-10 feet</t>
  </si>
  <si>
    <t>Guidance: contactors typically are square or with maximum length 1.5x width</t>
  </si>
  <si>
    <t>Vessel geometry</t>
  </si>
  <si>
    <t>Head loss sensor</t>
  </si>
  <si>
    <t>head</t>
  </si>
  <si>
    <t>ORP</t>
  </si>
  <si>
    <t>port</t>
  </si>
  <si>
    <t>switch</t>
  </si>
  <si>
    <t>Temperature meter</t>
  </si>
  <si>
    <t>temp</t>
  </si>
  <si>
    <r>
      <t xml:space="preserve">Computer workstations per </t>
    </r>
    <r>
      <rPr>
        <i/>
        <sz val="10"/>
        <rFont val="Arial"/>
        <family val="2"/>
      </rPr>
      <t>x</t>
    </r>
    <r>
      <rPr>
        <sz val="10"/>
        <rFont val="Arial"/>
        <family val="2"/>
      </rPr>
      <t xml:space="preserve"> operators</t>
    </r>
  </si>
  <si>
    <t>workstation_ratio</t>
  </si>
  <si>
    <t>operator/workstation</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</si>
  <si>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</si>
  <si>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</si>
  <si>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</si>
  <si>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</si>
  <si>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</si>
  <si>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</si>
  <si>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</si>
  <si>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Technology-specific Labor</t>
  </si>
  <si>
    <t>Basin mainenance labor (gravity systems)</t>
  </si>
  <si>
    <t>filter_labor</t>
  </si>
  <si>
    <t>Holding tank annual solids accumulation</t>
  </si>
  <si>
    <t>hrs</t>
  </si>
  <si>
    <t>chem_man_vessel</t>
  </si>
  <si>
    <t>chem_man_pump</t>
  </si>
  <si>
    <t>Number of manual control valves on chemical line per chemical pump</t>
  </si>
  <si>
    <t>Number of motor/air operated control valves on chemical line per chemical pump</t>
  </si>
  <si>
    <t>Miscellaneous Allowance</t>
  </si>
  <si>
    <t>Facility dimension assumed square</t>
  </si>
  <si>
    <t>facil_length</t>
  </si>
  <si>
    <t>in_out_pipe_length</t>
  </si>
  <si>
    <t>in_out_pipe_diam</t>
  </si>
  <si>
    <t>pvc_pipe_eq_in_out</t>
  </si>
  <si>
    <t>ss_pipe_eq_in_out</t>
  </si>
  <si>
    <t>st_pipe_eq_in_out</t>
  </si>
  <si>
    <t>cpvc_pipe_eq_in_out</t>
  </si>
  <si>
    <t>Valid inputs:</t>
  </si>
  <si>
    <t>PVC</t>
  </si>
  <si>
    <t>Steel</t>
  </si>
  <si>
    <t>Backwash Piping</t>
  </si>
  <si>
    <t>Stainless Steel - Process</t>
  </si>
  <si>
    <t>Stainless Steel - Backwash</t>
  </si>
  <si>
    <t>Pumps</t>
  </si>
  <si>
    <t>Booster</t>
  </si>
  <si>
    <t>Backwash</t>
  </si>
  <si>
    <t>Mixers</t>
  </si>
  <si>
    <t>back_meter_size</t>
  </si>
  <si>
    <t>NA</t>
  </si>
  <si>
    <t xml:space="preserve">System Controls </t>
  </si>
  <si>
    <t>ports</t>
  </si>
  <si>
    <t>Chemicals</t>
  </si>
  <si>
    <t>Guidance</t>
  </si>
  <si>
    <t>Vessel_thickness</t>
  </si>
  <si>
    <t>Number of mixers</t>
  </si>
  <si>
    <t>MGD</t>
  </si>
  <si>
    <t>design_flow_I</t>
  </si>
  <si>
    <t>Design Flow</t>
  </si>
  <si>
    <t>af_units</t>
  </si>
  <si>
    <t>Average Flow</t>
  </si>
  <si>
    <t>average_flow_I</t>
  </si>
  <si>
    <t>Bed depth</t>
  </si>
  <si>
    <t>minutes</t>
  </si>
  <si>
    <t>feet</t>
  </si>
  <si>
    <t>units</t>
  </si>
  <si>
    <t>bed_depth</t>
  </si>
  <si>
    <t>bed_expansion</t>
  </si>
  <si>
    <t>Number of redundant units to be added</t>
  </si>
  <si>
    <t>Number of backwash pumps</t>
  </si>
  <si>
    <t>pumps</t>
  </si>
  <si>
    <t>backwash_pumps</t>
  </si>
  <si>
    <t>Process piping length</t>
  </si>
  <si>
    <t>we switch to horizontal vessels when the desired number of max-size vertical vessels can't handle the design flow</t>
  </si>
  <si>
    <t>based on max load, design flow, and target number of lines</t>
  </si>
  <si>
    <t>based on mIN load, design flow, and target number of lines</t>
  </si>
  <si>
    <t>from reasonable-dimensions table</t>
  </si>
  <si>
    <t>from max_height CDA</t>
  </si>
  <si>
    <t>strictest of the above two maxima</t>
  </si>
  <si>
    <t>min diam to avoid bed depth becoming too deep, given required volume</t>
  </si>
  <si>
    <t>from min surface area</t>
  </si>
  <si>
    <t>strictest minimum of the above, rounded</t>
  </si>
  <si>
    <t>max_diam CDA</t>
  </si>
  <si>
    <t>from max surface area</t>
  </si>
  <si>
    <t>Default number of residuals basins</t>
  </si>
  <si>
    <t>hbasins_default</t>
  </si>
  <si>
    <t>This assumption applies if concrete basins are used.  If tanks are used, number calculated on design sheet.</t>
  </si>
  <si>
    <t>Holding basin depth to volume ratio</t>
  </si>
  <si>
    <t>holding_ratio</t>
  </si>
  <si>
    <t>Holding basin freeboard</t>
  </si>
  <si>
    <t>holding_freeboard</t>
  </si>
  <si>
    <t>Holding tank/basin capacity safety factor</t>
  </si>
  <si>
    <t>Clean holding tanks/basins when solids accumulation =x% of capacity</t>
  </si>
  <si>
    <t>Holding tank/basin suspended solids removal efficiency without coagulant</t>
  </si>
  <si>
    <t>Holding tank/basin suspended solids removal efficiency with coagulant</t>
  </si>
  <si>
    <t>Holding basins (for flow equalization)</t>
  </si>
  <si>
    <t>Number of holding basins</t>
  </si>
  <si>
    <t>hbasins</t>
  </si>
  <si>
    <t>If concrete basins are used, rather than tanks</t>
  </si>
  <si>
    <t>hvol_ft</t>
  </si>
  <si>
    <t>hbasin_op_depth</t>
  </si>
  <si>
    <t>hbasin_width</t>
  </si>
  <si>
    <t>hbasin_length</t>
  </si>
  <si>
    <t>hbasin_depth</t>
  </si>
  <si>
    <t>hbasin_vol</t>
  </si>
  <si>
    <t>hconc_vol</t>
  </si>
  <si>
    <t>hexcavation_vol</t>
  </si>
  <si>
    <t>hbackfill_vol</t>
  </si>
  <si>
    <t>hrailing</t>
  </si>
  <si>
    <t>Residuals Holding Tanks/Basins</t>
  </si>
  <si>
    <t>Concrete Basins (includes Excavation, Backfill, and Compaction)</t>
  </si>
  <si>
    <t>Residuals holding type selected</t>
  </si>
  <si>
    <t>res_holding</t>
  </si>
  <si>
    <t>Holding tank/basin mixer horsepower (if coagulant is used)</t>
  </si>
  <si>
    <t>Residuals holding basin footprint</t>
  </si>
  <si>
    <t>hbasin_fp</t>
  </si>
  <si>
    <t>sed_sludge_method_I</t>
  </si>
  <si>
    <t>none</t>
  </si>
  <si>
    <t>sed_sludge_method</t>
  </si>
  <si>
    <t>&lt;-- 0 for none, 1 for thickener w/ mechanical dewatering, 2 for thickener w/ non-mechanical dewatering</t>
  </si>
  <si>
    <t>thick_solids</t>
  </si>
  <si>
    <t>Thickening Time</t>
  </si>
  <si>
    <t>thick_time</t>
  </si>
  <si>
    <t>Usually between 8 and 24 hours</t>
  </si>
  <si>
    <t>Percent solids removal in thickener</t>
  </si>
  <si>
    <t>thick_removal</t>
  </si>
  <si>
    <t>% inflow solids</t>
  </si>
  <si>
    <t>Maximum depth (thickening basin)</t>
  </si>
  <si>
    <t>max_thick_depth</t>
  </si>
  <si>
    <t>Based on range of depths. Eimco normal depth is 10 to 12 feet based on a detention time of 6 hours. 12 feet refers to sidewater depth not total tank depth</t>
  </si>
  <si>
    <t xml:space="preserve">Required total thickening volume </t>
  </si>
  <si>
    <t>tot_req_thick_vol</t>
  </si>
  <si>
    <t xml:space="preserve">Belt Press Size </t>
  </si>
  <si>
    <t>belt_press_size</t>
  </si>
  <si>
    <t>Number of Belt Presses</t>
  </si>
  <si>
    <t>num_belt_press</t>
  </si>
  <si>
    <t>Belt Press</t>
  </si>
  <si>
    <t>meters belt width</t>
  </si>
  <si>
    <t>belt_press_removal</t>
  </si>
  <si>
    <t>throughput_table</t>
  </si>
  <si>
    <t>Belt Press Sizing Lookup Table</t>
  </si>
  <si>
    <t>Throughput Value (lb/hr)</t>
  </si>
  <si>
    <t>Effective Belt Width (m)</t>
  </si>
  <si>
    <t>Overall Length (in.)</t>
  </si>
  <si>
    <t>Overall Width (in.)</t>
  </si>
  <si>
    <t>Overall Height (in.)</t>
  </si>
  <si>
    <t>contact vendor</t>
  </si>
  <si>
    <t>res_solids_thick</t>
  </si>
  <si>
    <t>% of thickened solids</t>
  </si>
  <si>
    <t>Percent solids removal in belt press</t>
  </si>
  <si>
    <t>Residual thickened solids quantity (total per event)</t>
  </si>
  <si>
    <t>Residual cake solids quantity (total per event)</t>
  </si>
  <si>
    <t>res_cake_solids</t>
  </si>
  <si>
    <t>Total solids per disposal event</t>
  </si>
  <si>
    <t>res_solids_event</t>
  </si>
  <si>
    <t>Footprint for belt press</t>
  </si>
  <si>
    <t>thick_fp</t>
  </si>
  <si>
    <t>belt_press_fp</t>
  </si>
  <si>
    <t>thick_basins_default</t>
  </si>
  <si>
    <t>Default number of thickener basins</t>
  </si>
  <si>
    <t>thickening_ratio</t>
  </si>
  <si>
    <t>Thickening</t>
  </si>
  <si>
    <t>Maximum thickening tank size</t>
  </si>
  <si>
    <t>Number of thickening tanks</t>
  </si>
  <si>
    <t>max_thick_tank_size</t>
  </si>
  <si>
    <t>thick_tanks</t>
  </si>
  <si>
    <t>Thickening tank volume</t>
  </si>
  <si>
    <t>thick_basin_height</t>
  </si>
  <si>
    <t>thick_basins</t>
  </si>
  <si>
    <t>thick_vol_ft</t>
  </si>
  <si>
    <t>Thickening basin depth to volume target ratio</t>
  </si>
  <si>
    <t>Number of thickening basins (concrete)</t>
  </si>
  <si>
    <t>Basin volume in cubic feet</t>
  </si>
  <si>
    <t>Thickening basin freeboard</t>
  </si>
  <si>
    <t>thickening_freeboard</t>
  </si>
  <si>
    <t>Thickener basin depth including freeboard</t>
  </si>
  <si>
    <t>Thickener basin volume</t>
  </si>
  <si>
    <t>thick_basin_depth</t>
  </si>
  <si>
    <t>thick_basin_vol</t>
  </si>
  <si>
    <t>Thickener basin operating height</t>
  </si>
  <si>
    <t>thick_conc_vol</t>
  </si>
  <si>
    <t>thick_tank_volume</t>
  </si>
  <si>
    <t>Thickening tank diameter</t>
  </si>
  <si>
    <t>thick_diam</t>
  </si>
  <si>
    <t>Access space per thickening tank</t>
  </si>
  <si>
    <t>space_thick</t>
  </si>
  <si>
    <t>Solids Mechanical Dewatering</t>
  </si>
  <si>
    <t>Disposal method for non-hazardous secondary solids</t>
  </si>
  <si>
    <t>solids_method</t>
  </si>
  <si>
    <t>&lt;-- 1 for landfill, 2 for land application</t>
  </si>
  <si>
    <t>Ignored if solids are hazardous or radioactive</t>
  </si>
  <si>
    <t>Minimum settling time when coagulant is used</t>
  </si>
  <si>
    <t>res_coag_settle_time</t>
  </si>
  <si>
    <t>When coagulant is used, holding tanks will be sized so that residuals are present for at least this long. Based on 90-120 minute settling time in sedimentation basins (Water Treatment Plant Design, 4th ed.)</t>
  </si>
  <si>
    <t>polymer_spf</t>
  </si>
  <si>
    <t>Polymer sludge production factor</t>
  </si>
  <si>
    <t>Polymer needed per event</t>
  </si>
  <si>
    <t>Basins when coagulant is added; otherwise based on priority lookups on the output sheet</t>
  </si>
  <si>
    <t>Polymer solution density</t>
  </si>
  <si>
    <t>Ferric chloride dosage for residuals</t>
  </si>
  <si>
    <t>Ferric chloride sludge production factor</t>
  </si>
  <si>
    <t>Number of check valves on polymer line per metering pump</t>
  </si>
  <si>
    <t>polymer_chv_pump</t>
  </si>
  <si>
    <t>Applies only with polymer addition to residuals</t>
  </si>
  <si>
    <t>Solution feed rate</t>
  </si>
  <si>
    <t>Number of check valves polymer line</t>
  </si>
  <si>
    <t>tot_polymer_chv</t>
  </si>
  <si>
    <t>pp_chv_eq_polymer</t>
  </si>
  <si>
    <t>ss_chv_eq_polymer</t>
  </si>
  <si>
    <t>ci_chv_eq_polymer</t>
  </si>
  <si>
    <t>Polymer - Polypropylene/PVC</t>
  </si>
  <si>
    <t>Polymer - Stainless Steel</t>
  </si>
  <si>
    <t>Polymer - Cast Iron</t>
  </si>
  <si>
    <t>5.3.8</t>
  </si>
  <si>
    <t>12.1.1</t>
  </si>
  <si>
    <t>12.1.2</t>
  </si>
  <si>
    <t>12.2.1</t>
  </si>
  <si>
    <t>Solids treatment/storage</t>
  </si>
  <si>
    <t>Thickener rate of solids</t>
  </si>
  <si>
    <t>Solids Thickening</t>
  </si>
  <si>
    <t>Footprint for solids thickeners</t>
  </si>
  <si>
    <t>Solids Treatment/Storage</t>
  </si>
  <si>
    <t>Thickener surface area</t>
  </si>
  <si>
    <t>thick_sa</t>
  </si>
  <si>
    <t>Thickener diameter</t>
  </si>
  <si>
    <t>thick_basin_diam</t>
  </si>
  <si>
    <t>thick_circ</t>
  </si>
  <si>
    <t>Thickener circumference</t>
  </si>
  <si>
    <t>thick_excavation_vol</t>
  </si>
  <si>
    <t>thick_backfill_vol</t>
  </si>
  <si>
    <t>thick_railing</t>
  </si>
  <si>
    <t>Internals</t>
  </si>
  <si>
    <t>num_thick_internals</t>
  </si>
  <si>
    <t>Thickener tank/basin internals</t>
  </si>
  <si>
    <t>Target for systems using mechanical transfer.  For systems with manual transfer, calcuated based on solids volume.</t>
  </si>
  <si>
    <t>Holding tank/basin solids transfer method</t>
  </si>
  <si>
    <t>Time to transfer holding tank/basin solids</t>
  </si>
  <si>
    <t>Holding tank/basin solids density</t>
  </si>
  <si>
    <t>total_hvol_ft</t>
  </si>
  <si>
    <t>Holding basin redundancy factor</t>
  </si>
  <si>
    <t>To account for minumum coagulation time, when concrete basins are used, rather than tanks</t>
  </si>
  <si>
    <t>hbasin_redun</t>
  </si>
  <si>
    <t>Total residuals storage volume in cubic feet</t>
  </si>
  <si>
    <t>Residuals storage volume per basin in cubic feet</t>
  </si>
  <si>
    <t>Holding basin operating depth</t>
  </si>
  <si>
    <t>Holding basin width</t>
  </si>
  <si>
    <t>Holding basin length</t>
  </si>
  <si>
    <t>Holding basin depth including freeboard</t>
  </si>
  <si>
    <t>Holding basin volume</t>
  </si>
  <si>
    <t>st_tt_eq</t>
  </si>
  <si>
    <t>belt_press_eq</t>
  </si>
  <si>
    <t>Thickener concrete volume</t>
  </si>
  <si>
    <t>Thickener tank/basin mechanism diameter</t>
  </si>
  <si>
    <t>thick_mech_diam</t>
  </si>
  <si>
    <t>ft diam</t>
  </si>
  <si>
    <t>Multiple transfers required when solids treatment (thickening) is included</t>
  </si>
  <si>
    <t>Add ferric chloride to holding tank?</t>
  </si>
  <si>
    <t>Legal percentage</t>
  </si>
  <si>
    <t>legal_pct</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</si>
  <si>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</si>
  <si>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</si>
  <si>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</si>
  <si>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</si>
  <si>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</si>
  <si>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</si>
  <si>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This is the MAXIMUM; space between vessels and tanks defaults to vessel or tank diameter, up to this maximum.  Maximum provides space for sandblasting and painting for large vessels (5-8 feet per Richard E. Hubel, Peter Keenan, American Water Works Service Company).</t>
  </si>
  <si>
    <t>hmix_hp_per</t>
  </si>
  <si>
    <t>hp per 1,000 gallons</t>
  </si>
  <si>
    <t>Max holding tank mixer horsepower</t>
  </si>
  <si>
    <t>hmix_hp_max</t>
  </si>
  <si>
    <t>The largest impeller mixer size available</t>
  </si>
  <si>
    <t>hmix_per_tank</t>
  </si>
  <si>
    <t>actual bed depth</t>
  </si>
  <si>
    <t>actual height</t>
  </si>
  <si>
    <t>actual length</t>
  </si>
  <si>
    <t>Final surface loading rate</t>
  </si>
  <si>
    <t>comm_load_rate</t>
  </si>
  <si>
    <t>Basin loading rate</t>
  </si>
  <si>
    <t>surface_loading_rate_g</t>
  </si>
  <si>
    <t>comp_round_sa_a</t>
  </si>
  <si>
    <t>comp_vol_required_a</t>
  </si>
  <si>
    <t>Design search</t>
  </si>
  <si>
    <t>comp_vert_max_media_a</t>
  </si>
  <si>
    <t>comp_sa_min_a</t>
  </si>
  <si>
    <t>comp_sa_max_a</t>
  </si>
  <si>
    <t>comp_target_bed_depth_vert_a</t>
  </si>
  <si>
    <t>comp_sa_required_vert_a</t>
  </si>
  <si>
    <t>min number of lines:</t>
  </si>
  <si>
    <t>comp_vert_min_number_a</t>
  </si>
  <si>
    <t>comp_nlines_extra_search_a</t>
  </si>
  <si>
    <t>comp_in_nlines_a</t>
  </si>
  <si>
    <t>target side length</t>
  </si>
  <si>
    <t>comp_length_width_a</t>
  </si>
  <si>
    <t>comp_bed_depth_a</t>
  </si>
  <si>
    <t>Level switch/ alarm to PLC</t>
  </si>
  <si>
    <t>level_switch</t>
  </si>
  <si>
    <t>Access space per vessel</t>
  </si>
  <si>
    <t>Motor/air operated control valves on process line per vessel</t>
  </si>
  <si>
    <t>Total high/low alarms for chemical tanks</t>
  </si>
  <si>
    <t>Total temperature meters</t>
  </si>
  <si>
    <t>Main process valves require frequent operation and preventative maintenance; includes valves on the chemical feed line, to account for optimizing electron donor/nutrient feed</t>
  </si>
  <si>
    <t>Fluidized Bed Recycle Piping</t>
  </si>
  <si>
    <t>Fluidized Bed Recycle - Polypropylene/PVC</t>
  </si>
  <si>
    <t>Fluidized Bed Recycle - Stainless Steel</t>
  </si>
  <si>
    <t>Fluidized Bed Recyle - Stainless Steel</t>
  </si>
  <si>
    <t>Solids Transfer</t>
  </si>
  <si>
    <t>Solids transfer</t>
  </si>
  <si>
    <t>Recycle % for fluidized beds</t>
  </si>
  <si>
    <t>space_vessels</t>
  </si>
  <si>
    <t>Loading rate minimum</t>
  </si>
  <si>
    <t>Loading rate maximum</t>
  </si>
  <si>
    <t>tank_geom</t>
  </si>
  <si>
    <t>design_flow</t>
  </si>
  <si>
    <t>average_flow</t>
  </si>
  <si>
    <t>Number of manual control valves on process line per booster pump</t>
  </si>
  <si>
    <t>Number of manual control valves on backwash line per vessel</t>
  </si>
  <si>
    <t>Number of manual control valves on backwash line per backwash pump</t>
  </si>
  <si>
    <t>H2O2_day_tank_vol_needed</t>
  </si>
  <si>
    <t>H2O2_day_tanks</t>
  </si>
  <si>
    <t>H2O2_day_tank_vol</t>
  </si>
  <si>
    <t>e_donor_day_tank_vol_needed</t>
  </si>
  <si>
    <t>e_donor_day_tanks</t>
  </si>
  <si>
    <t>e_donor_day_tank_vol</t>
  </si>
  <si>
    <t>Phosphoric Acid volume per day</t>
  </si>
  <si>
    <t>Ammonium Chloride volume per day</t>
  </si>
  <si>
    <t>Phosphoric Acid storage</t>
  </si>
  <si>
    <t>Number of Phosphoric Acid storage tanks</t>
  </si>
  <si>
    <t>Phosphoric Acid storage tank size</t>
  </si>
  <si>
    <t>Electron donor day tank storage volume required (based on design flow)</t>
  </si>
  <si>
    <t>Electron donor number of day tanks</t>
  </si>
  <si>
    <t>Electron donor volume of day tanks</t>
  </si>
  <si>
    <t>Ammonium Chloride day tank storage volume required (based on design flow)</t>
  </si>
  <si>
    <t>Ammonium Chloride number of day tanks</t>
  </si>
  <si>
    <t>Ammonium Chloride volume of day tanks</t>
  </si>
  <si>
    <t>NH4Cl_day_tank_vol_needed</t>
  </si>
  <si>
    <t>NH4Cl_day_tanks</t>
  </si>
  <si>
    <t>NH4Cl_day_tank_vol</t>
  </si>
  <si>
    <t>Phosphoric Acid day tank storage volume required (based on design flow)</t>
  </si>
  <si>
    <t>Phosphoric Acid volume of day tanks</t>
  </si>
  <si>
    <t>Phosphoric Acid number of day tanks</t>
  </si>
  <si>
    <t>H3PO4_day_tank_vol_needed</t>
  </si>
  <si>
    <t>H3PO4_day_tanks</t>
  </si>
  <si>
    <t>H3PO4_day_tank_vol</t>
  </si>
  <si>
    <t>Nitorgen Source</t>
  </si>
  <si>
    <t>Phosphorous Source</t>
  </si>
  <si>
    <t>Maximum chemical tank mixer horsepower</t>
  </si>
  <si>
    <t>cmix_hp_max</t>
  </si>
  <si>
    <t>Mixers per storage tank</t>
  </si>
  <si>
    <t>Number of storage tank mixers</t>
  </si>
  <si>
    <t>Mixer size for storage tanks</t>
  </si>
  <si>
    <t>Mixers per day tank</t>
  </si>
  <si>
    <t>Number of day tank mixers</t>
  </si>
  <si>
    <t>Mixer size for day tanks</t>
  </si>
  <si>
    <t>NH4Cl_cmix_per_tank</t>
  </si>
  <si>
    <t>NH4Cl_cmixers</t>
  </si>
  <si>
    <t>NH4Cl_cmix_size</t>
  </si>
  <si>
    <t>NH4Cl_dmix_per_tank</t>
  </si>
  <si>
    <t>NH4Cl_dmixers</t>
  </si>
  <si>
    <t>NH4Cl_dmix_size</t>
  </si>
  <si>
    <t>e_donor_cmix_per_tank</t>
  </si>
  <si>
    <t>e_donor_cmixers</t>
  </si>
  <si>
    <t>e_donor_cmix_size</t>
  </si>
  <si>
    <t>e_donor_dmix_per_tank</t>
  </si>
  <si>
    <t>e_donor_dmixers</t>
  </si>
  <si>
    <t>e_donor_dmix_size</t>
  </si>
  <si>
    <t>H3PO4_cmix_per_tank</t>
  </si>
  <si>
    <t>H3PO4_cmixers</t>
  </si>
  <si>
    <t>H3PO4_cmix_size</t>
  </si>
  <si>
    <t>H3PO4_dmix_per_tank</t>
  </si>
  <si>
    <t>H3PO4_dmixers</t>
  </si>
  <si>
    <t>H3PO4_dmix_size</t>
  </si>
  <si>
    <t>H2O2_cmix_per_tank</t>
  </si>
  <si>
    <t>H2O2_cmixers</t>
  </si>
  <si>
    <t>H2O2_cmix_size</t>
  </si>
  <si>
    <t>H2O2_dmix_per_tank</t>
  </si>
  <si>
    <t>H2O2_dmixers</t>
  </si>
  <si>
    <t>H2O2_dmix_size</t>
  </si>
  <si>
    <t>Access space per electron donor day tank</t>
  </si>
  <si>
    <t>space_e_donor_dt</t>
  </si>
  <si>
    <t>Electron donor day tank diameter</t>
  </si>
  <si>
    <t>Hydrogen peroxide storage tank diameter</t>
  </si>
  <si>
    <t>e_donor_dt_diam</t>
  </si>
  <si>
    <t>NH4Cl_dt_diam</t>
  </si>
  <si>
    <t>H3PO4_dt_diam</t>
  </si>
  <si>
    <t>H2O2_dt_diam</t>
  </si>
  <si>
    <t>Hydrogen peroxide day tank diameter</t>
  </si>
  <si>
    <t>Phosphoric acid day tank diameter</t>
  </si>
  <si>
    <t>Ammonium chloride day tank diameter</t>
  </si>
  <si>
    <t>Access space per ammonium chloride day tank</t>
  </si>
  <si>
    <t>Access space per phosphoric acid day tank</t>
  </si>
  <si>
    <t>Access space per hydrogen peroxide day tank</t>
  </si>
  <si>
    <r>
      <t>space_</t>
    </r>
    <r>
      <rPr>
        <sz val="10"/>
        <rFont val="Arial"/>
        <family val="2"/>
      </rPr>
      <t>H2O2</t>
    </r>
    <r>
      <rPr>
        <i/>
        <sz val="10"/>
        <rFont val="Arial"/>
        <family val="2"/>
      </rPr>
      <t>_dt</t>
    </r>
  </si>
  <si>
    <t>space_NH4Cl_dt</t>
  </si>
  <si>
    <t>space_H3PO4_dt</t>
  </si>
  <si>
    <t>Electron donor day tank footprint</t>
  </si>
  <si>
    <t>Ammonium chloride day tank footprint</t>
  </si>
  <si>
    <t>Phosphoric acid day tank footprint</t>
  </si>
  <si>
    <t>Hydrogen peroxide day tank footprint</t>
  </si>
  <si>
    <t>e_donor_day_fp</t>
  </si>
  <si>
    <t>NH4Cl_donor_day_fp</t>
  </si>
  <si>
    <t>H3PO4_donor_day_fp</t>
  </si>
  <si>
    <t>H2O2_donor_day_fp</t>
  </si>
  <si>
    <t>Electron Donor Day Tanks</t>
  </si>
  <si>
    <t>Ammonium Chloride Day Tanks</t>
  </si>
  <si>
    <t>Phosphoric Acid Day Tanks</t>
  </si>
  <si>
    <t>Hydrogen Peroxide Day Tanks</t>
  </si>
  <si>
    <t>fg_H3PO4_day_eq</t>
  </si>
  <si>
    <t>pl_e_donor_day_eq</t>
  </si>
  <si>
    <t>fg_e_donor_day_eq</t>
  </si>
  <si>
    <t>pl_NH4Cl_day_eq</t>
  </si>
  <si>
    <t>fg_NH4Cl_day_eq</t>
  </si>
  <si>
    <t>pl_H3PO4_day_eq</t>
  </si>
  <si>
    <t>pl_H2O2_day_eq</t>
  </si>
  <si>
    <t>3.7.1</t>
  </si>
  <si>
    <t>3.8.1</t>
  </si>
  <si>
    <t>3.9.1</t>
  </si>
  <si>
    <t>3.10.1</t>
  </si>
  <si>
    <t>7.2.1</t>
  </si>
  <si>
    <t>Mixers for Electron Donor Storage Tanks</t>
  </si>
  <si>
    <t>Mixers for Electron Donor Day Tanks</t>
  </si>
  <si>
    <t>Electron Donor Storage Tank Mixer</t>
  </si>
  <si>
    <t>Electron Donor Day Tank Mixer</t>
  </si>
  <si>
    <t>cmount_mix_eq_e_donor</t>
  </si>
  <si>
    <t>cimp_mix_eq_e_donor</t>
  </si>
  <si>
    <t>dmount_mix_eq_e_donor</t>
  </si>
  <si>
    <t>dimp_mix_eq_e_donor</t>
  </si>
  <si>
    <t>Ammonium Chloride Storage Tank Mixer</t>
  </si>
  <si>
    <t>Ammonium Chloride Day Tank Mixer</t>
  </si>
  <si>
    <t>cmount_mix_eq_NH4Cl</t>
  </si>
  <si>
    <t>cimp_mix_eq_NH4Cl</t>
  </si>
  <si>
    <t>dmount_mix_eq_NH4Cl</t>
  </si>
  <si>
    <t>dimp_mix_eq_NH4Cl</t>
  </si>
  <si>
    <t>Phosphoric Acid Storage Tank Mixer</t>
  </si>
  <si>
    <t>Phosphoric Acid Day Tank Mixer</t>
  </si>
  <si>
    <t>cmount_mix_eq_H3PO4</t>
  </si>
  <si>
    <t>cimp_mix_eq_H3PO4</t>
  </si>
  <si>
    <t>dmount_mix_eq_H3PO4</t>
  </si>
  <si>
    <t>dimp_mix_eq_H3PO4</t>
  </si>
  <si>
    <t>Hydrogen Peroxide Storage Tank Mixer</t>
  </si>
  <si>
    <t>Hydrogen Peroxide Day Tank Mixer</t>
  </si>
  <si>
    <t>cmount_mix_eq_H2O2</t>
  </si>
  <si>
    <t>cimp_mix_eq_H2O2</t>
  </si>
  <si>
    <t>dmount_mix_eq_H2O2</t>
  </si>
  <si>
    <t>dimp_mix_eq_H2O2</t>
  </si>
  <si>
    <t>Mixers for Ammonium Chloride Day Tanks</t>
  </si>
  <si>
    <t>Mixers for Phosphoric Acid Storage Tanks</t>
  </si>
  <si>
    <t>Mixers for Phosphoric Acid Day Tanks</t>
  </si>
  <si>
    <t>Mixers for Hydrogen Peroxide Storage Tanks</t>
  </si>
  <si>
    <t>Mixers for Hydrogen Peroxide Day Tanks</t>
  </si>
  <si>
    <t>7.3.1</t>
  </si>
  <si>
    <t>7.4.1</t>
  </si>
  <si>
    <t>7.5.1</t>
  </si>
  <si>
    <t>7.6.1</t>
  </si>
  <si>
    <t>7.7.1</t>
  </si>
  <si>
    <t>7.8.1</t>
  </si>
  <si>
    <t>7.9.1</t>
  </si>
  <si>
    <t>build2_cool</t>
  </si>
  <si>
    <t>Building 2 cooling selection</t>
  </si>
  <si>
    <t>build2_heat</t>
  </si>
  <si>
    <t>Building 2 heating selection</t>
  </si>
  <si>
    <t>build2_row</t>
  </si>
  <si>
    <t>Row selected</t>
  </si>
  <si>
    <t>Air conditioner</t>
  </si>
  <si>
    <t>Total annual cost</t>
  </si>
  <si>
    <t>Annual cost</t>
  </si>
  <si>
    <t>Cooling option</t>
  </si>
  <si>
    <t>Heating option</t>
  </si>
  <si>
    <t>Building 2 Selection</t>
  </si>
  <si>
    <t>build1_cool</t>
  </si>
  <si>
    <t>Building 1 cooling selection</t>
  </si>
  <si>
    <t>build1_heat</t>
  </si>
  <si>
    <t>Building 1 heating selection</t>
  </si>
  <si>
    <t>build1_row</t>
  </si>
  <si>
    <t>Building 1 Selection</t>
  </si>
  <si>
    <t>We will select the option with the lowest annual cost for each building.</t>
  </si>
  <si>
    <t>Heating and Cooling Selection</t>
  </si>
  <si>
    <t>Total Annual Cost</t>
  </si>
  <si>
    <t>Annual Energy Cost</t>
  </si>
  <si>
    <t>Energy Unit Cost</t>
  </si>
  <si>
    <t>Energy/Yr</t>
  </si>
  <si>
    <t>Annualized Capital Cost, All Zones</t>
  </si>
  <si>
    <t>Useful Life (yrs)</t>
  </si>
  <si>
    <t>Direct Cost Per Zone</t>
  </si>
  <si>
    <t>Size selected (tons)</t>
  </si>
  <si>
    <t>Size needed per zone (tons)</t>
  </si>
  <si>
    <t>Option</t>
  </si>
  <si>
    <t>build2_cool_options</t>
  </si>
  <si>
    <t>build1_cool_options</t>
  </si>
  <si>
    <t>Cooling Options</t>
  </si>
  <si>
    <t>n/a</t>
  </si>
  <si>
    <t>capital costs are in the cooling table</t>
  </si>
  <si>
    <t>Size selected (MBH)</t>
  </si>
  <si>
    <t>Size needed per zone (MBH)</t>
  </si>
  <si>
    <t>build2_heat_options</t>
  </si>
  <si>
    <t>build1_heat_options</t>
  </si>
  <si>
    <t>hp_ok_2</t>
  </si>
  <si>
    <t>Heat pump OK for building 2?</t>
  </si>
  <si>
    <t>For heat pumps, we check both heating and cooling capacities.</t>
  </si>
  <si>
    <t>hp_ok_1</t>
  </si>
  <si>
    <t>Heat pump OK for building 1?</t>
  </si>
  <si>
    <t>build2_zones</t>
  </si>
  <si>
    <t>Building 2 number of HVAC zones</t>
  </si>
  <si>
    <t>build1_zones</t>
  </si>
  <si>
    <t>Building 1 number of HVAC zones</t>
  </si>
  <si>
    <t>Heating Options</t>
  </si>
  <si>
    <t>build2_cool_zones</t>
  </si>
  <si>
    <t>Building 2 number of cooling zones</t>
  </si>
  <si>
    <t>build2_cooling_tons</t>
  </si>
  <si>
    <t>Building 2 total cooling requirement in tons</t>
  </si>
  <si>
    <t>BTU/yr</t>
  </si>
  <si>
    <t>build2_cooling_yr</t>
  </si>
  <si>
    <t>Building 2 annual cooling requirement</t>
  </si>
  <si>
    <t>build2_cooling_req</t>
  </si>
  <si>
    <t>Building 2 total cooling requirement</t>
  </si>
  <si>
    <t>build2_cooling_loss_hr</t>
  </si>
  <si>
    <t>Building 2 cooling loss per hour</t>
  </si>
  <si>
    <t>build2_cooling_loss_yr</t>
  </si>
  <si>
    <t>Building 2 total annual cooling loss</t>
  </si>
  <si>
    <t>build1_cool_zones</t>
  </si>
  <si>
    <t>Building 1 number of cooling zones</t>
  </si>
  <si>
    <t>build1_cooling_tons</t>
  </si>
  <si>
    <t>Building 1 total cooling requirement in tons</t>
  </si>
  <si>
    <t>build1_cooling_yr</t>
  </si>
  <si>
    <t>Building 1 annual cooling requirement</t>
  </si>
  <si>
    <t>build1_cooling_req</t>
  </si>
  <si>
    <t>Building 1 total cooling requirement</t>
  </si>
  <si>
    <t>build1_cooling_loss_hr</t>
  </si>
  <si>
    <t>Building 1 cooling loss per hour</t>
  </si>
  <si>
    <t>build1_cooling_loss_yr</t>
  </si>
  <si>
    <t>Building 1 total annual cooling loss</t>
  </si>
  <si>
    <t>Cooling Requirements</t>
  </si>
  <si>
    <t>build2_heat_zones</t>
  </si>
  <si>
    <t>Building 2 number of heating zones</t>
  </si>
  <si>
    <t>MBH</t>
  </si>
  <si>
    <t>build2_heat_mbh</t>
  </si>
  <si>
    <t>Building 2 heating requirement in thousand BTU/hr</t>
  </si>
  <si>
    <t>build2_heat_loss_yr</t>
  </si>
  <si>
    <t>Building 2 total annual heat loss</t>
  </si>
  <si>
    <t>build1_heat_zones</t>
  </si>
  <si>
    <t>Building 1 number of heating zones</t>
  </si>
  <si>
    <t>build1_heat_mbh</t>
  </si>
  <si>
    <t>Building 1 heating requirement in thousand BTU/hr</t>
  </si>
  <si>
    <t>build1_heat_loss_yr</t>
  </si>
  <si>
    <t>Building 1 total annual heat loss</t>
  </si>
  <si>
    <t>Heating Requirements</t>
  </si>
  <si>
    <t>Heating and Cooling</t>
  </si>
  <si>
    <t>Ventilation</t>
  </si>
  <si>
    <t>General information</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</si>
  <si>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</si>
  <si>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</si>
  <si>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</si>
  <si>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</si>
  <si>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</si>
  <si>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</si>
  <si>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</si>
  <si>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</si>
  <si>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</si>
  <si>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</si>
  <si>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</si>
  <si>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</si>
  <si>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</si>
  <si>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</si>
  <si>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</si>
  <si>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</si>
  <si>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</si>
  <si>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</si>
  <si>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</si>
  <si>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</si>
  <si>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</si>
  <si>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</si>
  <si>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</si>
  <si>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</si>
  <si>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</si>
  <si>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bldg_lo_eq_2</t>
  </si>
  <si>
    <t>bldg_mid_eq_2</t>
  </si>
  <si>
    <t>bldg_hi_eq_2</t>
  </si>
  <si>
    <t>hvac_elec_eq_2</t>
  </si>
  <si>
    <t>hvac_gas_non_eq_2</t>
  </si>
  <si>
    <t>hvac_gas_eq_2</t>
  </si>
  <si>
    <t>hvac_oil_std_eq_2</t>
  </si>
  <si>
    <t>hvac_oil_mid_eq_2</t>
  </si>
  <si>
    <t>hvac_ac_eq_2</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</si>
  <si>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</si>
  <si>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</si>
  <si>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</si>
  <si>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</si>
  <si>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</si>
  <si>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</si>
  <si>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</si>
  <si>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</si>
  <si>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</si>
  <si>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</si>
  <si>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</si>
  <si>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</si>
  <si>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</si>
  <si>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</si>
  <si>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</si>
  <si>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</si>
  <si>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</si>
  <si>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</si>
  <si>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</si>
  <si>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Small Low Cost Shed</t>
  </si>
  <si>
    <t>Low Quality</t>
  </si>
  <si>
    <t>Medium Quality</t>
  </si>
  <si>
    <t>High Quality</t>
  </si>
  <si>
    <t>Booster Pump</t>
  </si>
  <si>
    <t>Backwash Pump</t>
  </si>
  <si>
    <t>Residuals Pump</t>
  </si>
  <si>
    <t>The largest size for which costs are available</t>
  </si>
  <si>
    <t>3.10</t>
  </si>
  <si>
    <t>build2_need_heat</t>
  </si>
  <si>
    <t>Process costs</t>
  </si>
  <si>
    <t>Building costs</t>
  </si>
  <si>
    <t>Total direct capital cost</t>
  </si>
  <si>
    <t>Total of process and building costs</t>
  </si>
  <si>
    <t>Total of permits, piloting, and land</t>
  </si>
  <si>
    <t>Internal use</t>
  </si>
  <si>
    <t>Vessel Constraints</t>
  </si>
  <si>
    <t>Backwash - Cast Iron</t>
  </si>
  <si>
    <t>Bypass - Polypropylene/PVC</t>
  </si>
  <si>
    <t>Bypass - Stainless Steel</t>
  </si>
  <si>
    <t>Bypass - Cast Iron</t>
  </si>
  <si>
    <t>One CPU is needed to run the local and expansion bases and modules (max 8192 I/O); using two to provide redundancy</t>
  </si>
  <si>
    <t>One ethernet module is needed; using two to provide redundancy</t>
  </si>
  <si>
    <t>Two to provide redundancy in the event of SCADA node failure</t>
  </si>
  <si>
    <t>TSS in residuals (influent TSS removal contribution)</t>
  </si>
  <si>
    <t>TSS in residuals (media attrition contribution)</t>
  </si>
  <si>
    <t>media_loss</t>
  </si>
  <si>
    <t>Normal media attrition rate is in the range of 3-10 % per year, usually balanced by adding media to the filter</t>
  </si>
  <si>
    <t>media_loss_rate</t>
  </si>
  <si>
    <t>Minimum residuals pipe diameter</t>
  </si>
  <si>
    <t>min_res_pipe_size</t>
  </si>
  <si>
    <t>in. diam.</t>
  </si>
  <si>
    <t>F</t>
  </si>
  <si>
    <t>Pipe diameter with a minimum of 6 inches</t>
  </si>
  <si>
    <t>T</t>
  </si>
  <si>
    <t>Thrust block volume</t>
  </si>
  <si>
    <t>block_vol</t>
  </si>
  <si>
    <t>Trench Cross-section Area</t>
  </si>
  <si>
    <t>trench_area</t>
  </si>
  <si>
    <t>Trench Volume Source Water</t>
  </si>
  <si>
    <t>Trench Volume Between Buildings</t>
  </si>
  <si>
    <t>pp_man_eq_back</t>
  </si>
  <si>
    <t>ss_man_eq_back</t>
  </si>
  <si>
    <t>ci_man_eq_back</t>
  </si>
  <si>
    <t>pp_man_eq_bp</t>
  </si>
  <si>
    <t>ss_man_eq_bp</t>
  </si>
  <si>
    <t>ci_man_eq_bp</t>
  </si>
  <si>
    <t>pp_man_eq_res</t>
  </si>
  <si>
    <t>ss_man_eq_res</t>
  </si>
  <si>
    <t>ci_man_eq_res</t>
  </si>
  <si>
    <t>Minimum will always be one, but larger systems will have multiple workstations to control the system</t>
  </si>
  <si>
    <r>
      <t xml:space="preserve">Printers per </t>
    </r>
    <r>
      <rPr>
        <i/>
        <sz val="10"/>
        <rFont val="Arial"/>
        <family val="2"/>
      </rPr>
      <t>x</t>
    </r>
    <r>
      <rPr>
        <sz val="10"/>
        <rFont val="Arial"/>
        <family val="2"/>
      </rPr>
      <t xml:space="preserve"> computer workstations</t>
    </r>
  </si>
  <si>
    <t>printer_ratio</t>
  </si>
  <si>
    <t>workstations/printer</t>
  </si>
  <si>
    <t>Minimum will always be one, but larger systems will have multiple printers</t>
  </si>
  <si>
    <t>Structure/Floorplan</t>
  </si>
  <si>
    <t>Non fire Buffer for buildings</t>
  </si>
  <si>
    <t>Fire Buffer for Buildings</t>
  </si>
  <si>
    <t>Office space per employee</t>
  </si>
  <si>
    <t>space_office</t>
  </si>
  <si>
    <t>square ft</t>
  </si>
  <si>
    <t>Number of check valves for electron donor line</t>
  </si>
  <si>
    <t>Number of check valves for ammonium chloride line</t>
  </si>
  <si>
    <t>Number of check valves phosphoric acid line</t>
  </si>
  <si>
    <t>tot_e_donor_chv</t>
  </si>
  <si>
    <t>tot_NH4Cl_chv</t>
  </si>
  <si>
    <t>tot_H3PO4_chv</t>
  </si>
  <si>
    <t>pp_chv_eq_e_donor</t>
  </si>
  <si>
    <t>ss_chv_eq_e_donor</t>
  </si>
  <si>
    <t>pp_chv_eq_NH4Cl</t>
  </si>
  <si>
    <t>ss_chv_eq_NH4Cl</t>
  </si>
  <si>
    <t>pp_chv_eq_H3PO4</t>
  </si>
  <si>
    <t>ss_chv_eq_H3PO4</t>
  </si>
  <si>
    <t>Number of motor/air operated control valves on chemical line per vessel</t>
  </si>
  <si>
    <t>chem_MOV_vessel</t>
  </si>
  <si>
    <t>chem_MOV_pump</t>
  </si>
  <si>
    <t>back_man_no_back</t>
  </si>
  <si>
    <t>Number of manual control valves on backwash line if no backwash pumps</t>
  </si>
  <si>
    <t>Number of manual control valves on chemical line per vessel</t>
  </si>
  <si>
    <t>Number of check valves on chemcial line per chemical pump</t>
  </si>
  <si>
    <t>Design Flow Rate</t>
  </si>
  <si>
    <t>design_flow_rate</t>
  </si>
  <si>
    <t>load_min</t>
  </si>
  <si>
    <t>load_max</t>
  </si>
  <si>
    <t>square feet</t>
  </si>
  <si>
    <t>Vessel surface area</t>
  </si>
  <si>
    <t>max_sa</t>
  </si>
  <si>
    <t>Maximum flow per vessel</t>
  </si>
  <si>
    <t>flow_per_vessel</t>
  </si>
  <si>
    <t>num_treat_lines</t>
  </si>
  <si>
    <t>lines</t>
  </si>
  <si>
    <t>NRD</t>
  </si>
  <si>
    <t>Total number of vessels including redundancy</t>
  </si>
  <si>
    <t>final_num_tanks</t>
  </si>
  <si>
    <t>Number of vessels excluding redundancy</t>
  </si>
  <si>
    <t>op_num_tanks</t>
  </si>
  <si>
    <t>contact_material</t>
  </si>
  <si>
    <t>cubic feet</t>
  </si>
  <si>
    <t>Total high/low alarms for backwash</t>
  </si>
  <si>
    <t>This is INFLUENT TSS.  Backwash TSS is calculated and will be higher, as TSS removed are concentrated.</t>
  </si>
  <si>
    <t>General_Oper_Labor</t>
  </si>
  <si>
    <t>max_length</t>
  </si>
  <si>
    <t>Number of booster pumps</t>
  </si>
  <si>
    <t>booster_pumps</t>
  </si>
  <si>
    <t>pump_rating</t>
  </si>
  <si>
    <t>Total booster pumps</t>
  </si>
  <si>
    <t>total_booster_pumps</t>
  </si>
  <si>
    <t>Safety factor for pumps</t>
  </si>
  <si>
    <t>pump_safety_factor</t>
  </si>
  <si>
    <t>Includes safety factor</t>
  </si>
  <si>
    <t>in_out_pipe_flow</t>
  </si>
  <si>
    <t>inches</t>
  </si>
  <si>
    <t>Process pipe flow</t>
  </si>
  <si>
    <t>proc_pipe_flow</t>
  </si>
  <si>
    <t>Maximum chemical storage tank size</t>
  </si>
  <si>
    <t>Heating oil heat content</t>
  </si>
  <si>
    <t>A minimum of 2 two cells is essential to ensure availability of storage space during cleaning, maintainance or emergency conditions. "Dewatering Municipal Wastewater Sludge,EPA design Manual, Dewatering Municipal Wastewater Sludges.EPA/625/1-87/014, September 1987".</t>
  </si>
  <si>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</si>
  <si>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</si>
  <si>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</si>
  <si>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</si>
  <si>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</si>
  <si>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</si>
  <si>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</si>
  <si>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</si>
  <si>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</si>
  <si>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</si>
  <si>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</si>
  <si>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</si>
  <si>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</si>
  <si>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</si>
  <si>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</si>
  <si>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Evaporation Pond or Holding Tank Solids</t>
  </si>
  <si>
    <t>Evaporation pond TSS accumulation</t>
  </si>
  <si>
    <t>ep_solids</t>
  </si>
  <si>
    <t>Number of motor/air operated control valves on residuals line per cell</t>
  </si>
  <si>
    <t>Access space per residuals holding tank</t>
  </si>
  <si>
    <t>space_ht</t>
  </si>
  <si>
    <t>Residuals pump footprint</t>
  </si>
  <si>
    <t>Residuals holding tank footprint</t>
  </si>
  <si>
    <t>htank_fp</t>
  </si>
  <si>
    <t>recycle</t>
  </si>
  <si>
    <t>Bed expansion during backwash</t>
  </si>
  <si>
    <t>lbs/cubic ft</t>
  </si>
  <si>
    <t>NRD_small_1</t>
  </si>
  <si>
    <t>If a design includes only one operating vessel, there should be at least one additional vessel</t>
  </si>
  <si>
    <t>NRD_small</t>
  </si>
  <si>
    <t>Small systems can operate at reduced capacity while one vessel is down for backwash, if there are multiple vessels</t>
  </si>
  <si>
    <t>redund_freq</t>
  </si>
  <si>
    <t>Residuals Holding Tanks</t>
  </si>
  <si>
    <t>Steel Tanks</t>
  </si>
  <si>
    <t>st_ht_eq</t>
  </si>
  <si>
    <t>Fiberglass Tanks</t>
  </si>
  <si>
    <t>res_eff_transfer_rate</t>
  </si>
  <si>
    <t>res_eductor_size</t>
  </si>
  <si>
    <t>lbs/hr</t>
  </si>
  <si>
    <t>Slurry Pump System for solids</t>
  </si>
  <si>
    <t>res_slurry_eq</t>
  </si>
  <si>
    <t>gac_slurry_eq</t>
  </si>
  <si>
    <t>Eductors for solids</t>
  </si>
  <si>
    <t>res_seductor_eq</t>
  </si>
  <si>
    <t>seductor_eq</t>
  </si>
  <si>
    <t>Maximum eductor size</t>
  </si>
  <si>
    <t>max_eductor_size</t>
  </si>
  <si>
    <t>Residual solids storage height (for drying pad)</t>
  </si>
  <si>
    <t>solids_storage_height</t>
  </si>
  <si>
    <t>number of parallel lines/redundant unit</t>
  </si>
  <si>
    <t>Underdrain space for horizontal vessels</t>
  </si>
  <si>
    <t>horiz_underdrain</t>
  </si>
  <si>
    <t>fg_ht_eq</t>
  </si>
  <si>
    <t>hdpe_ht_eq</t>
  </si>
  <si>
    <t>Residuals Piping</t>
  </si>
  <si>
    <t>cpvc_pipe_eq_res</t>
  </si>
  <si>
    <t>pvc_pipe_eq_res</t>
  </si>
  <si>
    <t>ss_pipe_eq_res</t>
  </si>
  <si>
    <t>st_pipe_eq_res</t>
  </si>
  <si>
    <t>Polypropylene/PVC - residuals</t>
  </si>
  <si>
    <t>pp_mov_eq_res</t>
  </si>
  <si>
    <t>Stainless Steel - residuals</t>
  </si>
  <si>
    <t>1.5 feet is a conservative value for a 10' tank. Bob Dvorin, 5/16/05.</t>
  </si>
  <si>
    <t>Minutes per valve per week</t>
  </si>
  <si>
    <t>uloe_valve</t>
  </si>
  <si>
    <t>min/week</t>
  </si>
  <si>
    <t>uloe_fp</t>
  </si>
  <si>
    <t>For semiautomated and automated systems</t>
  </si>
  <si>
    <t>Number of operating vessels</t>
  </si>
  <si>
    <t>Total vessels (incl. redundancy, below)</t>
  </si>
  <si>
    <t xml:space="preserve">    Required vessel diameter (circular vessels)</t>
  </si>
  <si>
    <t>comm_vol</t>
  </si>
  <si>
    <t>Volume</t>
  </si>
  <si>
    <t>gal</t>
  </si>
  <si>
    <t>Final surface area of contact material</t>
  </si>
  <si>
    <t>comm_SA</t>
  </si>
  <si>
    <t>max_height</t>
  </si>
  <si>
    <t>max_diam</t>
  </si>
  <si>
    <t>Maximum vessel length (longitudinal vessels)</t>
  </si>
  <si>
    <t>tot_chem_alarm</t>
  </si>
  <si>
    <t>Total footprint</t>
  </si>
  <si>
    <t>yes</t>
  </si>
  <si>
    <t>cstore_days</t>
  </si>
  <si>
    <t>build2_cfm</t>
  </si>
  <si>
    <t>Building 1 side conductance heat loss</t>
  </si>
  <si>
    <t>Buiding 1 ceiling conductance heat loss</t>
  </si>
  <si>
    <t>Building 1 air exchange heat loss</t>
  </si>
  <si>
    <t>Building 2 side conductance heat loss</t>
  </si>
  <si>
    <t>Buiding 2 ceiling conductance heat loss</t>
  </si>
  <si>
    <t>Building 2 air exchange heat loss</t>
  </si>
  <si>
    <t>heating</t>
  </si>
  <si>
    <t>heating_hp</t>
  </si>
  <si>
    <t>Additional sampling ports</t>
  </si>
  <si>
    <t>add_ports</t>
  </si>
  <si>
    <t>Labor and Materials</t>
  </si>
  <si>
    <t>Booster pumps</t>
  </si>
  <si>
    <t>General Labor</t>
  </si>
  <si>
    <t>Booster pump operating horsepower</t>
  </si>
  <si>
    <t>Lighting</t>
  </si>
  <si>
    <t>lighting</t>
  </si>
  <si>
    <t>Building 1 weighted average air changes</t>
  </si>
  <si>
    <t>air_changes_build1</t>
  </si>
  <si>
    <t>max bed depth for max_height, given freeboard and bed expansion</t>
  </si>
  <si>
    <t>strictest max of the above, rounded</t>
  </si>
  <si>
    <t>from guidance provided by Bob Dvorin, 5/16/05</t>
  </si>
  <si>
    <t>from max_diam CDA</t>
  </si>
  <si>
    <t>strictest maximum of the above</t>
  </si>
  <si>
    <t>from max load and actual diameter</t>
  </si>
  <si>
    <t>strictest min of the above, rounded</t>
  </si>
  <si>
    <t>max_length CDA</t>
  </si>
  <si>
    <t>max volume combined with actual diameter</t>
  </si>
  <si>
    <t>ensures that bed depth is sufficient for required volume of medium</t>
  </si>
  <si>
    <t>from media constraint table</t>
  </si>
  <si>
    <t>max bed depth for max_height or max_diam, given freeboard and bed expansion</t>
  </si>
  <si>
    <t>set by the autosize algorithm; TRUE if it finds a valid size, FALSE otherwise</t>
  </si>
  <si>
    <t>actual diameter</t>
  </si>
  <si>
    <t>Include pilot study costs?</t>
  </si>
  <si>
    <t>include_pilot</t>
  </si>
  <si>
    <t>include_land</t>
  </si>
  <si>
    <t>Mobilization percentage for small systems</t>
  </si>
  <si>
    <t>mob_pct_small</t>
  </si>
  <si>
    <t>of direct capital cost</t>
  </si>
  <si>
    <t>Typically 2-5% of the estimated construction cost.  Enter 0% to exclude.</t>
  </si>
  <si>
    <t>Mobilization percentage for medium systems</t>
  </si>
  <si>
    <t>mob_pct_medium</t>
  </si>
  <si>
    <t>Mobilization percentage for large systems</t>
  </si>
  <si>
    <t>mob_pct_large</t>
  </si>
  <si>
    <t>Installation, Transportatation, and O&amp;P</t>
  </si>
  <si>
    <t>Installation, Transportatation, and O&amp;P percentage</t>
  </si>
  <si>
    <t>inst_pct</t>
  </si>
  <si>
    <t>Included in line item unit costs.  Add a percentage for special considerations such as a remote site or high cost location.</t>
  </si>
  <si>
    <t>Sitework</t>
  </si>
  <si>
    <t>Include sitework costs?</t>
  </si>
  <si>
    <t>include_sitework</t>
  </si>
  <si>
    <t>Include yard piping costs?</t>
  </si>
  <si>
    <t>include_yardpipe</t>
  </si>
  <si>
    <t>Include geotechnical costs for low cost systems?</t>
  </si>
  <si>
    <t>include_geo_low</t>
  </si>
  <si>
    <t>Include geotechnical costs for medium cost systems?</t>
  </si>
  <si>
    <t>include_geo_medium</t>
  </si>
  <si>
    <t>Include geotechnical costs for high cost systems?</t>
  </si>
  <si>
    <t>include_geo_high</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</si>
  <si>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</si>
  <si>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</si>
  <si>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</si>
  <si>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</si>
  <si>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</si>
  <si>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</si>
  <si>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</si>
  <si>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</si>
  <si>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</si>
  <si>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</si>
  <si>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</si>
  <si>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</si>
  <si>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</si>
  <si>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Engineering percentage for large systems</t>
  </si>
  <si>
    <t>eng_pct_large</t>
  </si>
  <si>
    <t>&lt;-- pick one</t>
  </si>
  <si>
    <t>Invalid reason?</t>
  </si>
  <si>
    <t>ebct_I</t>
  </si>
  <si>
    <t>Total Cost</t>
  </si>
  <si>
    <t>Pressure Vessels</t>
  </si>
  <si>
    <t>Stainless Steel</t>
  </si>
  <si>
    <t>comm_vol_gal</t>
  </si>
  <si>
    <t>Tanks</t>
  </si>
  <si>
    <t>Backwash Tanks</t>
  </si>
  <si>
    <t>Fiberglass</t>
  </si>
  <si>
    <t>System Size Category</t>
  </si>
  <si>
    <t>Piping</t>
  </si>
  <si>
    <t>Process Piping</t>
  </si>
  <si>
    <t>lf</t>
  </si>
  <si>
    <t>in. diam</t>
  </si>
  <si>
    <t>CPVC</t>
  </si>
  <si>
    <t>Apply POTW discharge TSS charge (i.e., $/lb of TSS over limit below)</t>
  </si>
  <si>
    <t>POTW_TSS_fee</t>
  </si>
  <si>
    <t>pvc_mmpump_eq</t>
  </si>
  <si>
    <t>ss_mmpump_eq</t>
  </si>
  <si>
    <t>pvc_empump_eq</t>
  </si>
  <si>
    <t>ss_empump_eq</t>
  </si>
  <si>
    <t>Geotechnical &amp; Sitework</t>
  </si>
  <si>
    <t>Test pit length</t>
  </si>
  <si>
    <t>pit_length</t>
  </si>
  <si>
    <t>Test pit width</t>
  </si>
  <si>
    <t>Building 2 weighted average air changes</t>
  </si>
  <si>
    <t>air_changes_build2</t>
  </si>
  <si>
    <t>Building 1 ventilation</t>
  </si>
  <si>
    <t>Building 2 ventilation</t>
  </si>
  <si>
    <t>Buiding 1 length and width</t>
  </si>
  <si>
    <t>build1_side</t>
  </si>
  <si>
    <t>Building 2 length and width</t>
  </si>
  <si>
    <t>build2_side</t>
  </si>
  <si>
    <t>Building 1 air exchange rate</t>
  </si>
  <si>
    <t>build1_cfm</t>
  </si>
  <si>
    <t>Building 2 air exchange rate</t>
  </si>
  <si>
    <t>Cast Iron - Backwash</t>
  </si>
  <si>
    <t>ci_mov_eq_back</t>
  </si>
  <si>
    <t>Cast Iron - Bypass</t>
  </si>
  <si>
    <t>ci_mov_eq_bp</t>
  </si>
  <si>
    <t>ci_chv_eq_bp</t>
  </si>
  <si>
    <t>ci_chv_eq</t>
  </si>
  <si>
    <t>Residuals - Cast Iron</t>
  </si>
  <si>
    <t>High/Low Alarm (for backwash tanks)</t>
  </si>
  <si>
    <t>High/Low Alarm (for holding tanks)</t>
  </si>
  <si>
    <t>Carbon Steel - Stainless Internals</t>
  </si>
  <si>
    <t>Carbon Steel - Plastic Internals</t>
  </si>
  <si>
    <t>curve</t>
  </si>
  <si>
    <t>cs_pv_eq</t>
  </si>
  <si>
    <t>csp_pv_eq</t>
  </si>
  <si>
    <t>fg_bwt_eq</t>
  </si>
  <si>
    <t>hdpe_bwt_eq</t>
  </si>
  <si>
    <t>cpvc_pipe_eq_proc</t>
  </si>
  <si>
    <t>pvc_pipe_eq_proc</t>
  </si>
  <si>
    <t>fg_pv_eq</t>
  </si>
  <si>
    <t>ss_pipe_eq_proc</t>
  </si>
  <si>
    <t>st_pipe_eq_proc</t>
  </si>
  <si>
    <t>cpvc_pipe_eq_back</t>
  </si>
  <si>
    <t>POTW TSS discharge limit (over which fee would be imposed)</t>
  </si>
  <si>
    <t>POTW_TSS_limit</t>
  </si>
  <si>
    <t>Most common limit for cities with a limit.</t>
  </si>
  <si>
    <t>Number of motor/air operated control valves on backwash line if no backwash pumps</t>
  </si>
  <si>
    <t>back_MOV_no_back</t>
  </si>
  <si>
    <t>Solids transfer for holding tanks</t>
  </si>
  <si>
    <t>Transfer rate required</t>
  </si>
  <si>
    <t>Transfer rate in gallons</t>
  </si>
  <si>
    <t>Number of slurry pump systems</t>
  </si>
  <si>
    <t>Effective transfer rate</t>
  </si>
  <si>
    <t>Eductor size</t>
  </si>
  <si>
    <t>no_backwash_I</t>
  </si>
  <si>
    <t>tot_temp_meters</t>
  </si>
  <si>
    <t>plc_cpu</t>
  </si>
  <si>
    <t xml:space="preserve">plc_ethernet </t>
  </si>
  <si>
    <t>plc_interface</t>
  </si>
  <si>
    <t>ups</t>
  </si>
  <si>
    <t>UPS protects the PLC system from undesired outages and surges that can adversely affect the performance of the PLC unit</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</si>
  <si>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</si>
  <si>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</si>
  <si>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</si>
  <si>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</si>
  <si>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</si>
  <si>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</si>
  <si>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</si>
  <si>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</si>
  <si>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</si>
  <si>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</si>
  <si>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</si>
  <si>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</si>
  <si>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</si>
  <si>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</si>
  <si>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</si>
  <si>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</si>
  <si>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CPUs</t>
  </si>
  <si>
    <t>I/O discrete input modules</t>
  </si>
  <si>
    <t>I/O discrete output modules</t>
  </si>
  <si>
    <t>I/O combination analog modules</t>
  </si>
  <si>
    <t>Ethernet modules</t>
  </si>
  <si>
    <t>Base expansion modules</t>
  </si>
  <si>
    <t>Base expansion controller modules</t>
  </si>
  <si>
    <t>UPSs</t>
  </si>
  <si>
    <t>Operator Equipment</t>
  </si>
  <si>
    <t>Drive controllers</t>
  </si>
  <si>
    <t>PLC programming software</t>
  </si>
  <si>
    <t>PLC data collection software</t>
  </si>
  <si>
    <t>Bypass Piping</t>
  </si>
  <si>
    <t>Valves and Fittings</t>
  </si>
  <si>
    <t>Portable</t>
  </si>
  <si>
    <t>Mounted</t>
  </si>
  <si>
    <t>Standard oil furnace efficiency</t>
  </si>
  <si>
    <t>Mid-efficiency oil furnace efficiency</t>
  </si>
  <si>
    <t>Size used in estimate</t>
  </si>
  <si>
    <t>Useful Life</t>
  </si>
  <si>
    <t>Sampling port</t>
  </si>
  <si>
    <t>&lt;-- 1 for holding tank, 2 for no holding tank</t>
  </si>
  <si>
    <t>Missing Cost?:</t>
  </si>
  <si>
    <t>Operating pumps</t>
  </si>
  <si>
    <t>Minutes per instrument per day</t>
  </si>
  <si>
    <t>uloe_inst</t>
  </si>
  <si>
    <t>min/day</t>
  </si>
  <si>
    <t>For manual systems only</t>
  </si>
  <si>
    <t>Minutes per pump per day</t>
  </si>
  <si>
    <t>uloe_pump</t>
  </si>
  <si>
    <t>For manual and semiautomated systems</t>
  </si>
  <si>
    <t>Redundant residuals pumps</t>
  </si>
  <si>
    <t>NRD_res_pump</t>
  </si>
  <si>
    <t>Applies only if pumping is included</t>
  </si>
  <si>
    <t>Based on general operator labor and percentages in critical design assumptions</t>
  </si>
  <si>
    <t>General Operator Labor</t>
  </si>
  <si>
    <t>Number of chemical metering pumps</t>
  </si>
  <si>
    <t>heating_gas_non</t>
  </si>
  <si>
    <t>heating_gas</t>
  </si>
  <si>
    <t>heating_diesel_non</t>
  </si>
  <si>
    <t>heating_diesel</t>
  </si>
  <si>
    <t>Building 1 side conductance cooling loss</t>
  </si>
  <si>
    <t>Manual system controls</t>
  </si>
  <si>
    <t>1 for yes, 0 for no</t>
  </si>
  <si>
    <t>Residual solids disposal frequency</t>
  </si>
  <si>
    <t>uloe_throwaway</t>
  </si>
  <si>
    <t>hours/cubic foot</t>
  </si>
  <si>
    <t>hours/year</t>
  </si>
  <si>
    <t>res_transfer_method</t>
  </si>
  <si>
    <t>&lt;-- 1 for slurry pumps, 2 for eductors, 3 for manual trabsfer</t>
  </si>
  <si>
    <t>transfer_time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</si>
  <si>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</si>
  <si>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Holding tank annual TSS accumulation</t>
  </si>
  <si>
    <t>ht_solids</t>
  </si>
  <si>
    <t>Residual solids quantity (total per event)</t>
  </si>
  <si>
    <t>res_solids</t>
  </si>
  <si>
    <t>sol_disp_freq</t>
  </si>
  <si>
    <t>Capital Items</t>
  </si>
  <si>
    <t>Holding tanks (for flow equalization)</t>
  </si>
  <si>
    <t>Number of holding tanks</t>
  </si>
  <si>
    <t>htanks</t>
  </si>
  <si>
    <t>Holding tank volume</t>
  </si>
  <si>
    <t>htank_vol</t>
  </si>
  <si>
    <t>Number of pumps</t>
  </si>
  <si>
    <t>res_pumps</t>
  </si>
  <si>
    <t>Pump design rating</t>
  </si>
  <si>
    <t>res_pump_rating</t>
  </si>
  <si>
    <t>Pipe diameter</t>
  </si>
  <si>
    <t>res_pipe_diam</t>
  </si>
  <si>
    <t>Valves and instrumentation</t>
  </si>
  <si>
    <t>Residuals valve size</t>
  </si>
  <si>
    <t>res_valve_size</t>
  </si>
  <si>
    <t>htank_clean_pct</t>
  </si>
  <si>
    <t>Maximum holding tank size</t>
  </si>
  <si>
    <t>max_htank_size</t>
  </si>
  <si>
    <t xml:space="preserve">Administrative LOE as a percent of average technical labor </t>
  </si>
  <si>
    <t>Annual Administrative LOE</t>
  </si>
  <si>
    <t>Administrative</t>
  </si>
  <si>
    <t>Vessel requirements based on bed depth and contact time</t>
  </si>
  <si>
    <t>Quantities based on user-specified vessel dimensions</t>
  </si>
  <si>
    <t>media_volume_expanded</t>
  </si>
  <si>
    <t>Checks on user-specified dimensions</t>
  </si>
  <si>
    <t>resin_per_vessel</t>
  </si>
  <si>
    <t>total_resin</t>
  </si>
  <si>
    <t>Default Critical Design Assumptions</t>
  </si>
  <si>
    <t>For emergency shut off</t>
  </si>
  <si>
    <t>Drive controller</t>
  </si>
  <si>
    <t>Target Bed Depth (Designs &lt; 1MGD)</t>
  </si>
  <si>
    <t>target_bed_depth_under</t>
  </si>
  <si>
    <t>Used only for autosize procedure</t>
  </si>
  <si>
    <t>target_bed_depth_over</t>
  </si>
  <si>
    <t>Number of check valves on backwash line if no backwash pumps</t>
  </si>
  <si>
    <t>back_chv_no_back</t>
  </si>
  <si>
    <t>PVC - Motor Driven</t>
  </si>
  <si>
    <t>Stainless Steel - Motor Driven</t>
  </si>
  <si>
    <t>PVC - Electric</t>
  </si>
  <si>
    <t>Stainless Steel - Electric</t>
  </si>
  <si>
    <t>Small system geotechnical investigation can be completed with test pits, larger systems require boreholes</t>
  </si>
  <si>
    <t>Minimum number of boreholes</t>
  </si>
  <si>
    <t>min_holes</t>
  </si>
  <si>
    <t>Borehole needed every x square feet</t>
  </si>
  <si>
    <t>hole_per_sf</t>
  </si>
  <si>
    <t>Boreholes per job</t>
  </si>
  <si>
    <t>hole_per_job</t>
  </si>
  <si>
    <t>boreholes/job</t>
  </si>
  <si>
    <t>Linear feet bored per day</t>
  </si>
  <si>
    <t>hole_per_day</t>
  </si>
  <si>
    <t>Holding Tank Solids Disposal Fees</t>
  </si>
  <si>
    <t>Total annual solids diposal fee</t>
  </si>
  <si>
    <t>Residuals Discharge/Disposal</t>
  </si>
  <si>
    <t>Access space per backwash tank</t>
  </si>
  <si>
    <t>space_bt</t>
  </si>
  <si>
    <t>Number of mechanical ventilation days per year first building (small system)</t>
  </si>
  <si>
    <t>fan_days_build1_small</t>
  </si>
  <si>
    <t>Number of mechanical ventilation days per year 2nd building (small system)</t>
  </si>
  <si>
    <t>fan_days_build2_small</t>
  </si>
  <si>
    <t>For small systems (&lt;1 MGD)</t>
  </si>
  <si>
    <t>Number of mechanical ventilation days per year first building (medium system)</t>
  </si>
  <si>
    <t>fan_days_build1_medium</t>
  </si>
  <si>
    <t>For medium systems (1 - 10 MGD)</t>
  </si>
  <si>
    <t>Harding ESE, 2001</t>
  </si>
  <si>
    <t>rounded to reflect the length we will actually use on the input sheet</t>
  </si>
  <si>
    <t>rounded only if the vessel design sheet is rounding</t>
  </si>
  <si>
    <t>volume of a horizontal slice of a cylinder</t>
  </si>
  <si>
    <t>total of the two void volumes above</t>
  </si>
  <si>
    <t>remaining volume in a max-size pressure vessel, minus bed expansion</t>
  </si>
  <si>
    <t>we will search the number of lines until we find a minumum cost, then go this much farther to make sure we aren't in a local minimum</t>
  </si>
  <si>
    <t>the autosize_opt macro varies this number automatically as a search parameter.  Not user adjustable.</t>
  </si>
  <si>
    <t>Applies to systems requiring 1 acre of land or greater</t>
  </si>
  <si>
    <t>Not applicable for this technology</t>
  </si>
  <si>
    <t>Assumption</t>
  </si>
  <si>
    <t>Range Name</t>
  </si>
  <si>
    <t>Value</t>
  </si>
  <si>
    <t>Units</t>
  </si>
  <si>
    <t>include_buildings</t>
  </si>
  <si>
    <t>Include permit costs?</t>
  </si>
  <si>
    <t>include_permits</t>
  </si>
  <si>
    <t>Always include NEPA compliance costs?</t>
  </si>
  <si>
    <t>include_NEPA</t>
  </si>
  <si>
    <t>Flow meter lookup code - backwash</t>
  </si>
  <si>
    <t>fm_lkp_back</t>
  </si>
  <si>
    <t>Flow meter lookup code - residuals</t>
  </si>
  <si>
    <t>fm_lkp_res</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</si>
  <si>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</si>
  <si>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</si>
  <si>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</si>
  <si>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</si>
  <si>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</si>
  <si>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</si>
  <si>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</si>
  <si>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Include architectural fee?</t>
  </si>
  <si>
    <t>include_arch</t>
  </si>
  <si>
    <t>Must be added to building cost. Change for special considerations. Includes structural, mechanical, and electrical engineering for building only.</t>
  </si>
  <si>
    <t>Construction Management and General Contractor Overhead</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</si>
  <si>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</si>
  <si>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</si>
  <si>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MANUAL INPUTS</t>
  </si>
  <si>
    <r>
      <t xml:space="preserve">Cells in </t>
    </r>
    <r>
      <rPr>
        <i/>
        <sz val="10"/>
        <color indexed="52"/>
        <rFont val="Arial"/>
        <family val="2"/>
      </rPr>
      <t>gold</t>
    </r>
    <r>
      <rPr>
        <i/>
        <sz val="10"/>
        <rFont val="Arial"/>
        <family val="2"/>
      </rPr>
      <t xml:space="preserve"> are required; cells in </t>
    </r>
    <r>
      <rPr>
        <i/>
        <sz val="10"/>
        <color indexed="40"/>
        <rFont val="Arial"/>
        <family val="2"/>
      </rPr>
      <t>blue</t>
    </r>
    <r>
      <rPr>
        <i/>
        <sz val="10"/>
        <rFont val="Arial"/>
        <family val="2"/>
      </rPr>
      <t xml:space="preserve"> are optional</t>
    </r>
  </si>
  <si>
    <t>Design Flow (including bypass)</t>
  </si>
  <si>
    <t>Average Flow (including bypass)</t>
  </si>
  <si>
    <t>For information:</t>
  </si>
  <si>
    <t>Treatment system design flow</t>
  </si>
  <si>
    <t>Bypass design flow</t>
  </si>
  <si>
    <t>Select units</t>
  </si>
  <si>
    <t>Used?</t>
  </si>
  <si>
    <t>Valid input?</t>
  </si>
  <si>
    <t>Clerical_percent</t>
  </si>
  <si>
    <t>Annual Operator LOE</t>
  </si>
  <si>
    <t>Operator_LOE</t>
  </si>
  <si>
    <t>Annual Manager LOE</t>
  </si>
  <si>
    <t>Manager_LOE</t>
  </si>
  <si>
    <t>Clerical_LOE</t>
  </si>
  <si>
    <t>Manager</t>
  </si>
  <si>
    <t>Energy for lighting</t>
  </si>
  <si>
    <t>Energy for ventilation</t>
  </si>
  <si>
    <t>Energy for cooling</t>
  </si>
  <si>
    <t>Annual contactor materials cost as a percent of capital</t>
  </si>
  <si>
    <t>Materials_pct</t>
  </si>
  <si>
    <t>1 indicates small system, 2 indicates medium, 3 indicates large</t>
  </si>
  <si>
    <t>influent_TSS</t>
  </si>
  <si>
    <t>solids_haz</t>
  </si>
  <si>
    <t>Building 2 air exchange cooling loss</t>
  </si>
  <si>
    <t>cooling</t>
  </si>
  <si>
    <t>cooling_hp</t>
  </si>
  <si>
    <t>psi</t>
  </si>
  <si>
    <t>hp</t>
  </si>
  <si>
    <t>hr/yr</t>
  </si>
  <si>
    <t>/yr</t>
  </si>
  <si>
    <t>free_board</t>
  </si>
  <si>
    <t>space_office_small</t>
  </si>
  <si>
    <t>Small systems do not require office space</t>
  </si>
  <si>
    <t>Concrete pad thickness</t>
  </si>
  <si>
    <t>pad_thick</t>
  </si>
  <si>
    <t>Concrete pad thickness for small systems</t>
  </si>
  <si>
    <t>pad_thick_small</t>
  </si>
  <si>
    <t>Area required</t>
  </si>
  <si>
    <t>solids_pad_area</t>
  </si>
  <si>
    <t>Concrete</t>
  </si>
  <si>
    <t>solids_pad_concrete</t>
  </si>
  <si>
    <t>cubic yds</t>
  </si>
  <si>
    <t>Solids drying pad</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</si>
  <si>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</si>
  <si>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</si>
  <si>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</si>
  <si>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</si>
  <si>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</si>
  <si>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</si>
  <si>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</si>
  <si>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</si>
  <si>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</si>
  <si>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</si>
  <si>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</si>
  <si>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Operating LOE assumptions</t>
  </si>
  <si>
    <t>Lighting power per sf, building 1</t>
  </si>
  <si>
    <t>lighting_energy_1</t>
  </si>
  <si>
    <t>Lighting power per sf, building 2</t>
  </si>
  <si>
    <t>lighting_energy_2</t>
  </si>
  <si>
    <t>Ventilation air change rate for contactor</t>
  </si>
  <si>
    <t>Air_changes_contactor</t>
  </si>
  <si>
    <t>Backwash tank diameter</t>
  </si>
  <si>
    <t>bt_diam</t>
  </si>
  <si>
    <t>Manual on residuals line per holding or neutralization tank</t>
  </si>
  <si>
    <t>res_man_tank</t>
  </si>
  <si>
    <t>pit_width</t>
  </si>
  <si>
    <t>Test pit depth</t>
  </si>
  <si>
    <t>pit_depth</t>
  </si>
  <si>
    <t>Borehole depth</t>
  </si>
  <si>
    <t>bore_depth</t>
  </si>
  <si>
    <t>Technology footprint above which boreholes are needed</t>
  </si>
  <si>
    <t>bore_need</t>
  </si>
  <si>
    <t>See Appendix E</t>
  </si>
  <si>
    <t>Builder's risk insurance percentage</t>
  </si>
  <si>
    <t>br_ins_pct</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</si>
  <si>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</si>
  <si>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</si>
  <si>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</si>
  <si>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</si>
  <si>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</si>
  <si>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</si>
  <si>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</si>
  <si>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</si>
  <si>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</si>
  <si>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</si>
  <si>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</si>
  <si>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</si>
  <si>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</si>
  <si>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Percentage is applied only to process cost. Building direct costs include electrical components.</t>
  </si>
  <si>
    <t>Construction Management and GC Overhead</t>
  </si>
  <si>
    <t>of installed cost</t>
  </si>
  <si>
    <t>Number of redundant chemical metering pumps</t>
  </si>
  <si>
    <t>NRD_cm_pump</t>
  </si>
  <si>
    <t>ss_mov_eq_res</t>
  </si>
  <si>
    <t>Cast Iron - residuals</t>
  </si>
  <si>
    <t>ci_mov_eq_res</t>
  </si>
  <si>
    <t>Polypropylene/PVC - Residuals</t>
  </si>
  <si>
    <t>pp_chv_eq_res</t>
  </si>
  <si>
    <t>Stainless Steel - Residuals</t>
  </si>
  <si>
    <t>ss_chv_eq_res</t>
  </si>
  <si>
    <t>Cast Iron - Residuals</t>
  </si>
  <si>
    <t>ci_chv_eq_res</t>
  </si>
  <si>
    <t>Residuals</t>
  </si>
  <si>
    <t>res_pump_eq</t>
  </si>
  <si>
    <t>op_fm_eq_res</t>
  </si>
  <si>
    <t>Residuals - Polypropylene/PVC</t>
  </si>
  <si>
    <t>Residuals - Stainless Steel</t>
  </si>
  <si>
    <t>Number of CPUs</t>
  </si>
  <si>
    <t xml:space="preserve">Operator interfaces </t>
  </si>
  <si>
    <t xml:space="preserve">UPSs </t>
  </si>
  <si>
    <t>air changes/hr</t>
  </si>
  <si>
    <t>Ventilation air change rate for pump room</t>
  </si>
  <si>
    <t>Air_changes_pump</t>
  </si>
  <si>
    <t>Ventilation air change rate for chemical storage</t>
  </si>
  <si>
    <t>Air_changes_chem_storage</t>
  </si>
  <si>
    <t>Ventilation air change rate for offices</t>
  </si>
  <si>
    <t>Air_changes_office</t>
  </si>
  <si>
    <t>Building height</t>
  </si>
  <si>
    <t>Building_height</t>
  </si>
  <si>
    <t>contact_mat_per_vessel</t>
  </si>
  <si>
    <t>SA</t>
  </si>
  <si>
    <t>diameter</t>
  </si>
  <si>
    <t>height</t>
  </si>
  <si>
    <t>Phosphoric Acid density</t>
  </si>
  <si>
    <t>H3PO4_dens</t>
  </si>
  <si>
    <t>NH4CL_dens</t>
  </si>
  <si>
    <t>Electron donor storage tank size</t>
  </si>
  <si>
    <t>Number of electron donor storage tanks</t>
  </si>
  <si>
    <t>chem_storage</t>
  </si>
  <si>
    <t>ELECTRON DONOR</t>
  </si>
  <si>
    <t>e_donor_type_I</t>
  </si>
  <si>
    <t>e_donor_type</t>
  </si>
  <si>
    <t>&lt;-- 1 for Acetic Acid, 2 for Ethanol</t>
  </si>
  <si>
    <t>lbs/day</t>
  </si>
  <si>
    <t>Electron Donor Type (from Input)</t>
  </si>
  <si>
    <t>Electron Donor Dose (from Input)</t>
  </si>
  <si>
    <t>gal/day</t>
  </si>
  <si>
    <t>lbs/gal</t>
  </si>
  <si>
    <t>e_donor_dose</t>
  </si>
  <si>
    <t>e_donor_day</t>
  </si>
  <si>
    <t>e_donor_day_vol</t>
  </si>
  <si>
    <t>Electron donor storage</t>
  </si>
  <si>
    <t>e_donor_store</t>
  </si>
  <si>
    <t>e_donor_tanks</t>
  </si>
  <si>
    <t>e_donor_tank_vol</t>
  </si>
  <si>
    <t>cm_pumps_e_donor</t>
  </si>
  <si>
    <t>cm_pump_rating_e_donor</t>
  </si>
  <si>
    <t>&lt;-- 1 for no additional nutrients required, 2 for additional nitrogen required, 3 for additional phosphorous required, 4 for both nitrogen and phosphorous required</t>
  </si>
  <si>
    <t>nutrient_option</t>
  </si>
  <si>
    <t>NH4Cl_day</t>
  </si>
  <si>
    <t>NH4Cl_vol</t>
  </si>
  <si>
    <t>NH4Cl_store</t>
  </si>
  <si>
    <t>NH4Cl_tanks</t>
  </si>
  <si>
    <t>NH4Cl_tank_vol</t>
  </si>
  <si>
    <t>Ammonium Chloride Dose (from Input)</t>
  </si>
  <si>
    <t>Ammonium Chloride needed per day (design flow)</t>
  </si>
  <si>
    <t>Ammonium Chloride storage</t>
  </si>
  <si>
    <t>Number of Ammonium Chloride storage tanks</t>
  </si>
  <si>
    <t>comp_target_bed_depth_horiz</t>
  </si>
  <si>
    <t>comp_sa_required_horiz</t>
  </si>
  <si>
    <t>back_pump_energy</t>
  </si>
  <si>
    <t>Backwash pump operating horsepower (all pumps)</t>
  </si>
  <si>
    <t>Backwash pump head</t>
  </si>
  <si>
    <t>back_pump_head</t>
  </si>
  <si>
    <t>Backwash pumping time</t>
  </si>
  <si>
    <t>hours/yr</t>
  </si>
  <si>
    <t>Energy for all backwash pumps</t>
  </si>
  <si>
    <t>Energy for backwash pumps</t>
  </si>
  <si>
    <t>hmount_mix_eq</t>
  </si>
  <si>
    <t>Use?</t>
  </si>
  <si>
    <t>ss_pipe_eq_bp</t>
  </si>
  <si>
    <t>st_pipe_eq_bp</t>
  </si>
  <si>
    <t>cpvc_pipe_eq_bp</t>
  </si>
  <si>
    <t>Polypropylene/PVC - Process</t>
  </si>
  <si>
    <t>Polypropylene/PVC - Backwash</t>
  </si>
  <si>
    <t>Residuals holding tank diameter</t>
  </si>
  <si>
    <t>ht_diam</t>
  </si>
  <si>
    <t>chem_chv_pump</t>
  </si>
  <si>
    <t>High/Low alarms for chemical tank</t>
  </si>
  <si>
    <t>Coagulant is presumed to be ferric chloride</t>
  </si>
  <si>
    <t>Days of coagulant storage</t>
  </si>
  <si>
    <t>Distance to discharge or recycle point</t>
  </si>
  <si>
    <t>Drive controllers per residuals pump</t>
  </si>
  <si>
    <t>Default 0%.  Apply a percentage to increase standby power requirements.</t>
  </si>
  <si>
    <t>Include heating in standby power</t>
  </si>
  <si>
    <t>need_heat</t>
  </si>
  <si>
    <t>The next four inputs may be entered manually, or calculated with AutoSize button. All other gold inputs must be complete before AutoSizing.</t>
  </si>
  <si>
    <t>Borehole depth (pressure systems)</t>
  </si>
  <si>
    <t>bore_depth_p</t>
  </si>
  <si>
    <t>Borehole depth for shallow basins</t>
  </si>
  <si>
    <t>bore_depth_min</t>
  </si>
  <si>
    <t>Borehole depth for deep basins</t>
  </si>
  <si>
    <t>bore_depth_max</t>
  </si>
  <si>
    <t>Basin excavation depth above which deeper boreholes are needed</t>
  </si>
  <si>
    <t>deep_bore_need</t>
  </si>
  <si>
    <t>Large gravity systems with deep basins require deeper investigation</t>
  </si>
  <si>
    <t>Maximum basin excavation depth</t>
  </si>
  <si>
    <t>max_excav_depth</t>
  </si>
  <si>
    <t>turb_tank_g</t>
  </si>
  <si>
    <t>units/basin</t>
  </si>
  <si>
    <t>level_switch_g</t>
  </si>
  <si>
    <t>level_switch_small_g</t>
  </si>
  <si>
    <t>backwash_yr</t>
  </si>
  <si>
    <t>(including redundancy)</t>
  </si>
  <si>
    <t>Aluminum Railing</t>
  </si>
  <si>
    <t>Aluminum Stairs</t>
  </si>
  <si>
    <t>Excavation</t>
  </si>
  <si>
    <t>Backfill and Compaction</t>
  </si>
  <si>
    <t>Number of stair risers for storage basins</t>
  </si>
  <si>
    <t>risers</t>
  </si>
  <si>
    <t>/acre</t>
  </si>
  <si>
    <t>ppm</t>
  </si>
  <si>
    <t>Residuals Discharge</t>
  </si>
  <si>
    <t>Pipe length</t>
  </si>
  <si>
    <t>manual</t>
  </si>
  <si>
    <t>di_pipe_eq_proc</t>
  </si>
  <si>
    <t>Natural gas non-condensing furnace efficiency</t>
  </si>
  <si>
    <t>gas_non_eff</t>
  </si>
  <si>
    <t>Natural gas condensing furnace efficiency</t>
  </si>
  <si>
    <t>gas_eff</t>
  </si>
  <si>
    <t>diesel_non_eff</t>
  </si>
  <si>
    <t>diesel_eff</t>
  </si>
  <si>
    <t>Air conditioning EER</t>
  </si>
  <si>
    <t>EER</t>
  </si>
  <si>
    <t>Heat pump cooling mode EER</t>
  </si>
  <si>
    <t>hp_EER</t>
  </si>
  <si>
    <t>BTU/hr</t>
  </si>
  <si>
    <t>in_valve_size</t>
  </si>
  <si>
    <t>bypass_valve_size</t>
  </si>
  <si>
    <t>Number of MOVs for process line</t>
  </si>
  <si>
    <t>tot_proc_MOVs</t>
  </si>
  <si>
    <t>Number of MOVs for backwash line</t>
  </si>
  <si>
    <t>tot_back_MOVs</t>
  </si>
  <si>
    <t>Number of check valves backwash line</t>
  </si>
  <si>
    <t>tot_back_chv</t>
  </si>
  <si>
    <t>Size of flow meters for influent line</t>
  </si>
  <si>
    <t>in_meter_size</t>
  </si>
  <si>
    <t>Size of flow meters for process line</t>
  </si>
  <si>
    <t>proc_meter_size</t>
  </si>
  <si>
    <t>Number of flow meters for process line</t>
  </si>
  <si>
    <t>STEP 1</t>
  </si>
  <si>
    <t>back_interval_I</t>
  </si>
  <si>
    <t>Discharge option for spent backwash</t>
  </si>
  <si>
    <t>Holding tank for spent backwash</t>
  </si>
  <si>
    <t>Fixed Bed Pressure Vessel</t>
  </si>
  <si>
    <t>Fixed Bed Gravity Basin</t>
  </si>
  <si>
    <t>Fluidized Bed</t>
  </si>
  <si>
    <t>&lt;-- 1 for Fixed Bed Pressure Vessel, 2 for Fixed Bed Gravity Basin, 3 for Fluidized Bed</t>
  </si>
  <si>
    <t>Interval between bioreactor backwashes</t>
  </si>
  <si>
    <t>Interval between filter backwashes</t>
  </si>
  <si>
    <t>include_post_I</t>
  </si>
  <si>
    <t>filter_back_interval_I</t>
  </si>
  <si>
    <t>include_post</t>
  </si>
  <si>
    <t>Interval between filter backwashes (from inputs)</t>
  </si>
  <si>
    <t>filter_back_interval</t>
  </si>
  <si>
    <t>from inputs</t>
  </si>
  <si>
    <t>Bioreactor backwashes per year</t>
  </si>
  <si>
    <t>Filter Backwashes per year</t>
  </si>
  <si>
    <t>Bioreactor water backwash rate</t>
  </si>
  <si>
    <t>Bioreactor backwash time</t>
  </si>
  <si>
    <t>Filter water backwash rate</t>
  </si>
  <si>
    <t>Filter backwash time</t>
  </si>
  <si>
    <t>filter_backwash_time</t>
  </si>
  <si>
    <t>filter_h2oflush_backwash_rate</t>
  </si>
  <si>
    <t>BIOREACTOR BACKWASH</t>
  </si>
  <si>
    <t>filter_water_flush</t>
  </si>
  <si>
    <t>filter_waterflush_vol</t>
  </si>
  <si>
    <t>FILTER BACKWASH</t>
  </si>
  <si>
    <t>Spent Bioreactor Backwash</t>
  </si>
  <si>
    <t>Spent Filter Backwash</t>
  </si>
  <si>
    <t>Backwashing one filter</t>
  </si>
  <si>
    <t>filter_res_vol</t>
  </si>
  <si>
    <t>filter_res_stagger_time</t>
  </si>
  <si>
    <t>filter_res_flow_actual</t>
  </si>
  <si>
    <t>filter_res_flow</t>
  </si>
  <si>
    <t>filter_res_flow_annual</t>
  </si>
  <si>
    <t>TSS in residuals (influent TSS removal contribution for fluidized beds)</t>
  </si>
  <si>
    <t>filter_backwash_yr</t>
  </si>
  <si>
    <t>H2O2_mixers</t>
  </si>
  <si>
    <t>Media attrition during biomass removal air scour</t>
  </si>
  <si>
    <t>fluid_media_loss_rate</t>
  </si>
  <si>
    <t>Bioreactor GAC Media attrition replacement</t>
  </si>
  <si>
    <t>Filter GAC Media attrition replacement</t>
  </si>
  <si>
    <t>filter_media_loss</t>
  </si>
  <si>
    <t>Media attrition during bioreactor backwash</t>
  </si>
  <si>
    <t>Normal media attrition rate is in the range of 3-10 % per year, usually balanced by adding media to the bioreactor</t>
  </si>
  <si>
    <t>filter_media_loss_rate</t>
  </si>
  <si>
    <t>filt_NRD_small_1</t>
  </si>
  <si>
    <t>filt_NRD_small</t>
  </si>
  <si>
    <t>Small systems can operate at reduced capacity while one filter is down for backwash, if there are multiple filters</t>
  </si>
  <si>
    <t>If a design includes only one operatingfilter, there should be at least one additional vessel</t>
  </si>
  <si>
    <t>filt_NRD_basins_medium</t>
  </si>
  <si>
    <t>filt_NRD_basins_large</t>
  </si>
  <si>
    <t>filter_fp</t>
  </si>
  <si>
    <t>Two times basin area for walkways and equipment</t>
  </si>
  <si>
    <t>Drive controllers per chemical  metering pump</t>
  </si>
  <si>
    <t>S_cm_pump</t>
  </si>
  <si>
    <t>include_post_h2o2_I</t>
  </si>
  <si>
    <t>Include GAC Filtration Post-Treatment Filters</t>
  </si>
  <si>
    <t>include_post_h2o2</t>
  </si>
  <si>
    <t>Number of redundant bioreactor basins for medium systems</t>
  </si>
  <si>
    <t>Number of redundant bioreactor basins for large systems</t>
  </si>
  <si>
    <t>Number of redundant bioreactorvessels for small systems with only one vessel</t>
  </si>
  <si>
    <t>Number of redundant bioreactor vessels for small systems with multiple vessels</t>
  </si>
  <si>
    <t>The largest pump size for which costs are available.  Applies to booster pumps and backwash pumps.  For booster pumps, will override bioreactors per pump input, if this input results in pumps that are too large.</t>
  </si>
  <si>
    <t>Level switch/alarms per bioreactoror</t>
  </si>
  <si>
    <t>Level switch/alarms per bioreactoror for small systems</t>
  </si>
  <si>
    <t>Turbitity meters per gravity bioreactoror</t>
  </si>
  <si>
    <t>for backwahing fixed bed bioreactors</t>
  </si>
  <si>
    <t>for backwahing  filters</t>
  </si>
  <si>
    <t>chem_man_post</t>
  </si>
  <si>
    <t>Number of manual control valves on chemical post-treatment line</t>
  </si>
  <si>
    <t>chem_MOV_post</t>
  </si>
  <si>
    <t>Number of motor/air operated control valves on chemical post-treatment line</t>
  </si>
  <si>
    <t>Media attrition during post-treatment filter backwash</t>
  </si>
  <si>
    <t>Design flow expressed in gpm</t>
  </si>
  <si>
    <t>Average flow expressed in gpm</t>
  </si>
  <si>
    <t>Minimum average flow as percentage of design</t>
  </si>
  <si>
    <t>min_avg_flow</t>
  </si>
  <si>
    <t>The minimum ratio of average flow to design flow. If the ratio falls below this value, it will trigger a warning on the INPUT sheet. If this value is zero, no minimum is enforced.</t>
  </si>
  <si>
    <t>Treatment Flow</t>
  </si>
  <si>
    <t>Enter 0 to exclude booster pumps (i.e., use existing pumps). Leave blank to accept model defaults (no pumps for systems &lt;1 MGD, otherwise sized per average and design flows)</t>
  </si>
  <si>
    <t>Default inputs represent typical options used to generate national average compliance costs.</t>
  </si>
  <si>
    <t>Additional building after…</t>
  </si>
  <si>
    <t>add_2nd_building</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</si>
  <si>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</si>
  <si>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</si>
  <si>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</si>
  <si>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</si>
  <si>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</si>
  <si>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</si>
  <si>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</si>
  <si>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</si>
  <si>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</si>
  <si>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Drive controllers per mixer</t>
  </si>
  <si>
    <t>Day tank storage volume required (based on design flow)</t>
  </si>
  <si>
    <t>Ammonium chloride storage tank diameter</t>
  </si>
  <si>
    <t>Phosphoric acid storage tank diameter</t>
  </si>
  <si>
    <t>e_donor_st_diam</t>
  </si>
  <si>
    <t>NH4Cl_st_diam</t>
  </si>
  <si>
    <t>Access space per ammonium chloride storage tank</t>
  </si>
  <si>
    <t>Access space per phosphoric acid storage tank</t>
  </si>
  <si>
    <t>Access space per electron donor storage tank</t>
  </si>
  <si>
    <t>space_NH4Cl_st</t>
  </si>
  <si>
    <t>space_e_donor_st</t>
  </si>
  <si>
    <t>Electron donor storage tank footprint</t>
  </si>
  <si>
    <t>e_donor_fp</t>
  </si>
  <si>
    <t>Phosphoric acid storage tank footprint</t>
  </si>
  <si>
    <t>Ammonium chloride storage tank footprint</t>
  </si>
  <si>
    <t>NH4Cl_donor_fp</t>
  </si>
  <si>
    <t>H3PO4_st_diam</t>
  </si>
  <si>
    <t>space_H3PO4_st</t>
  </si>
  <si>
    <t>H3PO4_donor_fp</t>
  </si>
  <si>
    <t>e_donor_valve_size</t>
  </si>
  <si>
    <t>H3PO4_valve_size</t>
  </si>
  <si>
    <t>NH4Cl_valve_size</t>
  </si>
  <si>
    <t>alarm_chem</t>
  </si>
  <si>
    <t>Electron Donor Piping</t>
  </si>
  <si>
    <t>Ammonium Chloride Piping</t>
  </si>
  <si>
    <t>cpvc_pipe_eq_e_donor</t>
  </si>
  <si>
    <t>pvc_pipe_eq_e_donor</t>
  </si>
  <si>
    <t>ss_pipe_eq_e_donor</t>
  </si>
  <si>
    <t>st_pipe_eq_e_donor</t>
  </si>
  <si>
    <t>cpvc_pipe_eq_NH4Cl</t>
  </si>
  <si>
    <t>pvc_pipe_eq_NH4Cl</t>
  </si>
  <si>
    <t>ss_pipe_eq_NH4Cl</t>
  </si>
  <si>
    <t>st_pipe_eq_NH4Cl</t>
  </si>
  <si>
    <t>cpvc_pipe_eq_H3PO4</t>
  </si>
  <si>
    <t>pvc_pipe_eq_H3PO4</t>
  </si>
  <si>
    <t>ss_pipe_eq_H3PO4</t>
  </si>
  <si>
    <t>st_pipe_eq_H3PO4</t>
  </si>
  <si>
    <t>Electron Donor Storage Tanks</t>
  </si>
  <si>
    <t>Phosphoric Acid Piping</t>
  </si>
  <si>
    <t>Phosphoric Acid Storage Tanks</t>
  </si>
  <si>
    <t>Ammonium Chloride Storage Tanks</t>
  </si>
  <si>
    <t>pl_e_donor_st_eq</t>
  </si>
  <si>
    <t>fg_e_donor_st_eq</t>
  </si>
  <si>
    <t>pl_NH4Cl_st_eq</t>
  </si>
  <si>
    <t>fg_NH4Cl_st_eq</t>
  </si>
  <si>
    <t>pl_H3PO4_st_eq</t>
  </si>
  <si>
    <t>fg_H3PO4_st_eq</t>
  </si>
  <si>
    <t>ss_mov_eq_H3PO4</t>
  </si>
  <si>
    <t>pp_mov_eq_H3PO4</t>
  </si>
  <si>
    <t>Polypropylene/PVC - H3PO4</t>
  </si>
  <si>
    <t>Stainless Steel - H3PO4</t>
  </si>
  <si>
    <t>ss_mov_eq_NH4Cl</t>
  </si>
  <si>
    <t>pp_mov_eq_NH4Cl</t>
  </si>
  <si>
    <t>Polypropylene/PVC - NH4Cl</t>
  </si>
  <si>
    <t>Stainless Steel - NH4Cl</t>
  </si>
  <si>
    <t>pp_mov_eq_e_donor</t>
  </si>
  <si>
    <t>ss_mov_eq_e_donor</t>
  </si>
  <si>
    <t>pp_man_eq_H3PO4</t>
  </si>
  <si>
    <t>ss_man_eq_H3PO4</t>
  </si>
  <si>
    <t>ss_man_eq_NH4Cl</t>
  </si>
  <si>
    <t>pp_man_eq_NH4Cl</t>
  </si>
  <si>
    <t>Polypropylene/PVC - Electron Donor</t>
  </si>
  <si>
    <t>Stainless Steel - Electron Donor</t>
  </si>
  <si>
    <t>pp_man_eq_e_donor</t>
  </si>
  <si>
    <t>ss_man_eq_e_donor</t>
  </si>
  <si>
    <t>pvc_e_donor_mmpump_eq</t>
  </si>
  <si>
    <t>pvc_e_donor_empump_eq</t>
  </si>
  <si>
    <t>ss_e_donor_empump_eq</t>
  </si>
  <si>
    <t>pvc_NH4Cl_mmpump_eq</t>
  </si>
  <si>
    <t>ss_NH4Cl_mmpump_eq</t>
  </si>
  <si>
    <t>pvc_NH4Cl_empump_eq</t>
  </si>
  <si>
    <t>ss_NH4Cl_empump_eq</t>
  </si>
  <si>
    <t>pvc_H3PO4_mmpump_eq</t>
  </si>
  <si>
    <t>pvc_H3PO4_empump_eq</t>
  </si>
  <si>
    <t>4.4.1</t>
  </si>
  <si>
    <t>4.5.1</t>
  </si>
  <si>
    <t>e_donor_pipe_length</t>
  </si>
  <si>
    <t>NH4Cl_pipe_length</t>
  </si>
  <si>
    <t>H3PO4_pipe_length</t>
  </si>
  <si>
    <t>Electron donor piping length</t>
  </si>
  <si>
    <t>Phosphoric acid piping length</t>
  </si>
  <si>
    <t>Ammonium chloride piping length</t>
  </si>
  <si>
    <t>Electron Donor - Polypropylene/PVC</t>
  </si>
  <si>
    <t>Electron Donor - Stainless Steel</t>
  </si>
  <si>
    <t>Ammonium Chloride - Polypropylene/PVC</t>
  </si>
  <si>
    <t>Ammonium Chloride - Stainless Steel</t>
  </si>
  <si>
    <t>Phosphoric Acid - Polypropylene/PVC</t>
  </si>
  <si>
    <t>Phosphoric Acid - Stainless Steel</t>
  </si>
  <si>
    <t>Number of MOVs for electron donor line</t>
  </si>
  <si>
    <t>Number of MOVs for ammonium chloride line</t>
  </si>
  <si>
    <t>Number of MOVs for phosphoric acid line</t>
  </si>
  <si>
    <t>tot_e_donor_MOVs</t>
  </si>
  <si>
    <t>tot_NH4Cl_MOVs</t>
  </si>
  <si>
    <t>tot_H3PO4_MOVs</t>
  </si>
  <si>
    <t>Number of manual valves for electron donor line</t>
  </si>
  <si>
    <t>Number of manual valves for ammonium chloride line</t>
  </si>
  <si>
    <t>Number of manual valves for phosphoric acid line</t>
  </si>
  <si>
    <t>tot_H3PO4_man</t>
  </si>
  <si>
    <t>tot_NH4Cl_man</t>
  </si>
  <si>
    <t>tot_e_donor_man</t>
  </si>
  <si>
    <t>Electron Donor Metering</t>
  </si>
  <si>
    <t>Ammonium Chloride Metering</t>
  </si>
  <si>
    <t>Phosphoric Acid Metering</t>
  </si>
  <si>
    <t>ss_e_donor_mmpump_eq</t>
  </si>
  <si>
    <t>Annual ammonium chloride use</t>
  </si>
  <si>
    <t>Annual phopshoric acid use</t>
  </si>
  <si>
    <t>Annual acetic acid use</t>
  </si>
  <si>
    <t>Annual ethanol use</t>
  </si>
  <si>
    <t>acetic_use</t>
  </si>
  <si>
    <t>ethanol_use</t>
  </si>
  <si>
    <t>NH4Cl_use</t>
  </si>
  <si>
    <t>H3PO4_use</t>
  </si>
  <si>
    <t>Media</t>
  </si>
  <si>
    <t># of bioreactors</t>
  </si>
  <si>
    <t>Electron Donor dose (mg/l)</t>
  </si>
  <si>
    <t>Influent Perchlorate Conc</t>
  </si>
  <si>
    <t>Influent DO Conc</t>
  </si>
  <si>
    <t>Influent Nitrate Conc</t>
  </si>
  <si>
    <t>Electron Donor Inputs</t>
  </si>
  <si>
    <t>Nutrient Inputs</t>
  </si>
  <si>
    <t>Nutrient Options</t>
  </si>
  <si>
    <t>Gravity Bioreactor Design</t>
  </si>
  <si>
    <t>O2_in</t>
  </si>
  <si>
    <t>solids_haz_I</t>
  </si>
  <si>
    <t>lines_pump_I</t>
  </si>
  <si>
    <r>
      <t xml:space="preserve">For information: </t>
    </r>
    <r>
      <rPr>
        <sz val="10"/>
        <color indexed="17"/>
        <rFont val="Arial"/>
        <family val="2"/>
      </rPr>
      <t># of booster pumps</t>
    </r>
  </si>
  <si>
    <t>&lt;-- pick or leave blank</t>
  </si>
  <si>
    <t>Leave blank to use low cost components</t>
  </si>
  <si>
    <t>Leave blank to allow model to pick based on component level</t>
  </si>
  <si>
    <t>blank = low cost, 1 = mid cost, 2 = high cost</t>
  </si>
  <si>
    <t>Number of days per year where natural ventilation is applicable cannot be greater than 365 days</t>
  </si>
  <si>
    <t>R-value for walls</t>
  </si>
  <si>
    <t>R_wall</t>
  </si>
  <si>
    <t>hr-sf-degF/BTU</t>
  </si>
  <si>
    <t>R-value for ceilings</t>
  </si>
  <si>
    <t>R_ceiling</t>
  </si>
  <si>
    <t>Annual heating degree days</t>
  </si>
  <si>
    <t>heat_DD</t>
  </si>
  <si>
    <t>degree days</t>
  </si>
  <si>
    <t>OUTPUT SUMMARY</t>
  </si>
  <si>
    <t>Technology</t>
  </si>
  <si>
    <t>Direct Capital Cost</t>
  </si>
  <si>
    <t>Add-on Cost</t>
  </si>
  <si>
    <t>Indirect Capital Cost</t>
  </si>
  <si>
    <t>Total Capital Cost</t>
  </si>
  <si>
    <t>Annual O&amp;M Cost</t>
  </si>
  <si>
    <t>MGD (excludes bypass flow)</t>
  </si>
  <si>
    <t>temp_meters_small</t>
  </si>
  <si>
    <t>level_switch_small</t>
  </si>
  <si>
    <t>res_transfer_rate</t>
  </si>
  <si>
    <t>res_transfer_rate_gal</t>
  </si>
  <si>
    <t>comp_max_vert_bed_depth</t>
  </si>
  <si>
    <t xml:space="preserve"> -horizontal vessel diameter</t>
  </si>
  <si>
    <t>comp_min_horiz_diam</t>
  </si>
  <si>
    <t>comp_max_horiz_diam</t>
  </si>
  <si>
    <t xml:space="preserve"> - horizontal vessel length</t>
  </si>
  <si>
    <t>comp_min_horiz_length</t>
  </si>
  <si>
    <t>comp_max_horiz_length</t>
  </si>
  <si>
    <t xml:space="preserve"> - horizontal bed depth</t>
  </si>
  <si>
    <t xml:space="preserve">For information:  </t>
  </si>
  <si>
    <t>vessels</t>
  </si>
  <si>
    <t>tank_geom_I</t>
  </si>
  <si>
    <t>upright</t>
  </si>
  <si>
    <t xml:space="preserve">&lt;-- 1 for upright cylindrical, 2 for horizontally-laid cylinder </t>
  </si>
  <si>
    <t>Minimum bed depth for autosize</t>
  </si>
  <si>
    <t>min_bed_depth</t>
  </si>
  <si>
    <t>Maximum bed depth for autosize</t>
  </si>
  <si>
    <t>max_bed_depth</t>
  </si>
  <si>
    <t>Contingency</t>
  </si>
  <si>
    <t>Process Engineering</t>
  </si>
  <si>
    <t>di_pipe_eq_in_out</t>
  </si>
  <si>
    <t>Ductile Iron</t>
  </si>
  <si>
    <t>Office space</t>
  </si>
  <si>
    <t>office_fp</t>
  </si>
  <si>
    <t>Total ventilation</t>
  </si>
  <si>
    <t>ventilation</t>
  </si>
  <si>
    <t>Sampling Ports</t>
  </si>
  <si>
    <t>Total standby power requirements</t>
  </si>
  <si>
    <t>std_power</t>
  </si>
  <si>
    <t>Total standby power cost</t>
  </si>
  <si>
    <t>std_power_cost</t>
  </si>
  <si>
    <t>Component level</t>
  </si>
  <si>
    <t>component_level</t>
  </si>
  <si>
    <t>Average flow units</t>
  </si>
  <si>
    <t>Bed Depth</t>
  </si>
  <si>
    <t>Vessel Geometry</t>
  </si>
  <si>
    <t>Bold blue cells are copied to the input sheet</t>
  </si>
  <si>
    <t>Bold gold cells are inputs to the sizing procedure</t>
  </si>
  <si>
    <t>Should be consistent with (reflect same climate as) heating and cooling assumptions on O&amp;M assumptions page.  Assumptions are for St. Louis, Missouri.</t>
  </si>
  <si>
    <t>Characteristics of spent solids</t>
  </si>
  <si>
    <t>TSS in system influent</t>
  </si>
  <si>
    <t>Set to zero because vendor designs and quotes are usually expressed in inside diameter.  Increase if user desires to input outside diameter.</t>
  </si>
  <si>
    <t>Top_bottom_Vessel_space</t>
  </si>
  <si>
    <t>num_bio_blowers</t>
  </si>
  <si>
    <t>design_air_flow_bio</t>
  </si>
  <si>
    <t>Blower footprint for backwash</t>
  </si>
  <si>
    <t>Blower footprint for biomass seperation</t>
  </si>
  <si>
    <t>Footprint for Blowers</t>
  </si>
  <si>
    <t>Fluidized Bed Designs Only</t>
  </si>
  <si>
    <t>Blowers of Biomass Removal</t>
  </si>
  <si>
    <t>assume equal to half of contactor valve size</t>
  </si>
  <si>
    <t>bio_air_valve_size</t>
  </si>
  <si>
    <t>Size of valves for biomass removal air line</t>
  </si>
  <si>
    <t>Number of MOVs for biomass removal air line</t>
  </si>
  <si>
    <t>tot_bio_air_MOVs</t>
  </si>
  <si>
    <t>tot_bio_air_man</t>
  </si>
  <si>
    <t>Number of manual valves for biomass removal air line</t>
  </si>
  <si>
    <t>Air Scour - Positive Displacement</t>
  </si>
  <si>
    <t>Biomass Removal - Positive Displacement</t>
  </si>
  <si>
    <t>pd_bio_blow_eq</t>
  </si>
  <si>
    <t>Bioreactors</t>
  </si>
  <si>
    <t>1.1.1</t>
  </si>
  <si>
    <t>Gravity Basins</t>
  </si>
  <si>
    <t>1.2.1</t>
  </si>
  <si>
    <t>1.2.2</t>
  </si>
  <si>
    <t>1.2.3</t>
  </si>
  <si>
    <t>1.2.4</t>
  </si>
  <si>
    <t>1.2.5</t>
  </si>
  <si>
    <t>1.2.6</t>
  </si>
  <si>
    <t>1.3.1</t>
  </si>
  <si>
    <t>Post-Treatment Filters</t>
  </si>
  <si>
    <t>3.1.1</t>
  </si>
  <si>
    <t>3.2.1</t>
  </si>
  <si>
    <t>3.3.1</t>
  </si>
  <si>
    <t>3.4</t>
  </si>
  <si>
    <t>3.4.1</t>
  </si>
  <si>
    <t>3.5.1</t>
  </si>
  <si>
    <t>3.6.1</t>
  </si>
  <si>
    <t>4.5</t>
  </si>
  <si>
    <t>4.7.1</t>
  </si>
  <si>
    <t>4.8.1</t>
  </si>
  <si>
    <t>4.8.2</t>
  </si>
  <si>
    <t>4.8.3</t>
  </si>
  <si>
    <t>4.8.4</t>
  </si>
  <si>
    <t>4.9.1</t>
  </si>
  <si>
    <t>4.10.1</t>
  </si>
  <si>
    <t>5.1.2</t>
  </si>
  <si>
    <t>5.1.3</t>
  </si>
  <si>
    <t>5.1.4</t>
  </si>
  <si>
    <t>5.1.5</t>
  </si>
  <si>
    <t>5.1.6</t>
  </si>
  <si>
    <t>5.1.7</t>
  </si>
  <si>
    <t>5.1.8</t>
  </si>
  <si>
    <t>5.1.9</t>
  </si>
  <si>
    <t>5.1.10</t>
  </si>
  <si>
    <t>5.2.2</t>
  </si>
  <si>
    <t>5.2.3</t>
  </si>
  <si>
    <t>5.2.4</t>
  </si>
  <si>
    <t>5.2.5</t>
  </si>
  <si>
    <t>5.2.6</t>
  </si>
  <si>
    <t>5.2.7</t>
  </si>
  <si>
    <t>5.2.8</t>
  </si>
  <si>
    <t>5.2.9</t>
  </si>
  <si>
    <t>5.2.10</t>
  </si>
  <si>
    <t>5.2.11</t>
  </si>
  <si>
    <t>5.3.2</t>
  </si>
  <si>
    <t>5.3.3</t>
  </si>
  <si>
    <t>5.3.4</t>
  </si>
  <si>
    <t>5.3.5</t>
  </si>
  <si>
    <t>5.3.6</t>
  </si>
  <si>
    <t>5.3.7</t>
  </si>
  <si>
    <t>6.5.1</t>
  </si>
  <si>
    <t>6.6.1</t>
  </si>
  <si>
    <t>6.7.1</t>
  </si>
  <si>
    <t>6.8.1</t>
  </si>
  <si>
    <t>7</t>
  </si>
  <si>
    <t>7.1.1</t>
  </si>
  <si>
    <t>9.1.1</t>
  </si>
  <si>
    <t>9.3.1</t>
  </si>
  <si>
    <t>9.4.1</t>
  </si>
  <si>
    <t>9.10</t>
  </si>
  <si>
    <t>9.10.1</t>
  </si>
  <si>
    <t>10.1.2</t>
  </si>
  <si>
    <t>10.1.3</t>
  </si>
  <si>
    <t>10.1.4</t>
  </si>
  <si>
    <t>10.1.5</t>
  </si>
  <si>
    <t>10.1.6</t>
  </si>
  <si>
    <t>10.1.7</t>
  </si>
  <si>
    <t>10.1.8</t>
  </si>
  <si>
    <t>10.1.9</t>
  </si>
  <si>
    <t>10.2.2</t>
  </si>
  <si>
    <t>10.2.3</t>
  </si>
  <si>
    <t>10.2.4</t>
  </si>
  <si>
    <t>10.3.2</t>
  </si>
  <si>
    <t>10.3.3</t>
  </si>
  <si>
    <t>10.3.4</t>
  </si>
  <si>
    <t>Number of manual valves for hydrogen peroxide line</t>
  </si>
  <si>
    <t>Include construction management cost for pre-engineered packages?</t>
  </si>
  <si>
    <t>include_cm_pre</t>
  </si>
  <si>
    <t>&lt;-- 1 for surface water, 2 for POTW, 3 for recycle,4 for evaporation pond</t>
  </si>
  <si>
    <t>Evaporation Ponds</t>
  </si>
  <si>
    <t>Total open surface area required</t>
  </si>
  <si>
    <t>ep_total_sa</t>
  </si>
  <si>
    <t>Required depth for solids accumulation</t>
  </si>
  <si>
    <t>ep_solids_depth</t>
  </si>
  <si>
    <t>Required depth for liquid accumulation</t>
  </si>
  <si>
    <t>ep_water_depth</t>
  </si>
  <si>
    <t>Total excavated depth</t>
  </si>
  <si>
    <t>ep_depth</t>
  </si>
  <si>
    <t>Number of cells</t>
  </si>
  <si>
    <t>Building Structure</t>
  </si>
  <si>
    <t>Footprints for vessels</t>
  </si>
  <si>
    <t>vessel_fp</t>
  </si>
  <si>
    <t>Footprint for backwash tank</t>
  </si>
  <si>
    <t>back_tank_fp</t>
  </si>
  <si>
    <t>Footprint for pumps</t>
  </si>
  <si>
    <t>Residuals pump head</t>
  </si>
  <si>
    <t>res_pump_psi</t>
  </si>
  <si>
    <t>Single event volume</t>
  </si>
  <si>
    <t>res_vol</t>
  </si>
  <si>
    <t>Time between events</t>
  </si>
  <si>
    <t>res_stagger_time</t>
  </si>
  <si>
    <t>Actual residuals discharge flow rate</t>
  </si>
  <si>
    <t>res_flow_actual</t>
  </si>
  <si>
    <t>Design residuals discharge flow rate</t>
  </si>
  <si>
    <t>res_flow</t>
  </si>
  <si>
    <t>Annual residuals dischage</t>
  </si>
  <si>
    <t>res_flow_annual</t>
  </si>
  <si>
    <t>Operator</t>
  </si>
  <si>
    <t>Volume Tolerance, vertical vessels &lt;1 mgd</t>
  </si>
  <si>
    <t>vol_tol_vert_small</t>
  </si>
  <si>
    <t>Used to check size compatibility of specified volume with required volume</t>
  </si>
  <si>
    <t>Volume Tolerance, vertical vessels &gt;1 mgd</t>
  </si>
  <si>
    <t>vol_tol_vert_med</t>
  </si>
  <si>
    <t>Volume Tolerance, horizontal vessels</t>
  </si>
  <si>
    <t>vol_tol_horiz</t>
  </si>
  <si>
    <t>Yard Piping</t>
  </si>
  <si>
    <t>Geotechnical</t>
  </si>
  <si>
    <t>Standby Power</t>
  </si>
  <si>
    <t>Electrical (including yard wiring)</t>
  </si>
  <si>
    <t>Instrumentation and Control</t>
  </si>
  <si>
    <t>Permits</t>
  </si>
  <si>
    <t>Pilot Study</t>
  </si>
  <si>
    <t>total_fp</t>
  </si>
  <si>
    <t>Concrete Class A for vessel and pumps padding</t>
  </si>
  <si>
    <t>concrete</t>
  </si>
  <si>
    <t>cubic yards</t>
  </si>
  <si>
    <t>Access space per pump</t>
  </si>
  <si>
    <t>space_pumps</t>
  </si>
  <si>
    <t>WBS #</t>
  </si>
  <si>
    <t>Item</t>
  </si>
  <si>
    <t>Quantity</t>
  </si>
  <si>
    <t>Unit Cost</t>
  </si>
  <si>
    <t>kWh/yr</t>
  </si>
  <si>
    <t>MWh/yr</t>
  </si>
  <si>
    <t>/sf/yr</t>
  </si>
  <si>
    <t>Pump head for booster pumps</t>
  </si>
  <si>
    <t>booster_pump_head</t>
  </si>
  <si>
    <t>booster_pump_efficiency</t>
  </si>
  <si>
    <t>booster_pump_maintenance</t>
  </si>
  <si>
    <t>Energy per booster pump</t>
  </si>
  <si>
    <t>Energy for all active booster pumps</t>
  </si>
  <si>
    <t>res_man_ep</t>
  </si>
  <si>
    <t>valves/cell</t>
  </si>
  <si>
    <t>res_MOV_ep</t>
  </si>
  <si>
    <t>Additional footprint for evaporation pond</t>
  </si>
  <si>
    <t>ep_fp</t>
  </si>
  <si>
    <t>Evaporation Pond</t>
  </si>
  <si>
    <t>Backfill</t>
  </si>
  <si>
    <t>Liner</t>
  </si>
  <si>
    <t>Dike Construction</t>
  </si>
  <si>
    <t>Ammonium Chloride storage tank size</t>
  </si>
  <si>
    <t>NH4Cl_dose_I</t>
  </si>
  <si>
    <t>H3PO4_dose_I</t>
  </si>
  <si>
    <t>H3PO4_day</t>
  </si>
  <si>
    <t>H3PO4_vol</t>
  </si>
  <si>
    <t>H3PO4_store</t>
  </si>
  <si>
    <t>H3PO4_tanks</t>
  </si>
  <si>
    <t>H3PO4_tank_vol</t>
  </si>
  <si>
    <t>NUTRIENTS</t>
  </si>
  <si>
    <t>AIR SCOUR</t>
  </si>
  <si>
    <t>cm_pumps_NH4Cl</t>
  </si>
  <si>
    <t>cm_pump_rating_NH4Cl</t>
  </si>
  <si>
    <t>Ammonium Chloride Pump</t>
  </si>
  <si>
    <t>Electron Donor Pump</t>
  </si>
  <si>
    <t>Phosphoric Acid Pump</t>
  </si>
  <si>
    <t>cm_pumps_H3PO4</t>
  </si>
  <si>
    <t>cm_pump_rating_H3PO4</t>
  </si>
  <si>
    <t>Size of valves for electron donor line</t>
  </si>
  <si>
    <t>Size of valves for ammonium chloride line</t>
  </si>
  <si>
    <t>Size of valves for phosphoric acid line</t>
  </si>
  <si>
    <t>Electron donor pipe diameter</t>
  </si>
  <si>
    <t>Electron donor pipe flow</t>
  </si>
  <si>
    <t>e_donor_pipe_flow</t>
  </si>
  <si>
    <t>e_donor_pipe_diam</t>
  </si>
  <si>
    <t>H3PO4_pipe_flow</t>
  </si>
  <si>
    <t>H3PO4_pipe_diam</t>
  </si>
  <si>
    <t>NH4Cl_pipe_diam</t>
  </si>
  <si>
    <t>NH4Cl_pipe_flow</t>
  </si>
  <si>
    <t>Ammonium chloride pipe flow</t>
  </si>
  <si>
    <t>Ammonium chloride pipe diameter</t>
  </si>
  <si>
    <t>Phosphoric acid pipe flow</t>
  </si>
  <si>
    <t>Phosphoric acid pipe diameter</t>
  </si>
  <si>
    <t>Electron donor storage tank diameter</t>
  </si>
  <si>
    <t>Guidance: Typical recycle rates are 30-80%</t>
  </si>
  <si>
    <t>freeboard_fluidized_small</t>
  </si>
  <si>
    <t>Guidance: 3 to 5 ft</t>
  </si>
  <si>
    <t>Guidance: 6 to 8 ft</t>
  </si>
  <si>
    <t>Freeboard above fully expanded media (Design &lt; 1MGD)</t>
  </si>
  <si>
    <t>Freeboard above fully expanded media (Design &gt; 1MGD)</t>
  </si>
  <si>
    <t>Number of redundant bioreactors</t>
  </si>
  <si>
    <t>Guidance: Typical bioreactor backwash rates are between 6-10 gpm/square ft</t>
  </si>
  <si>
    <t>Free board above media at full expansion (fixed bed designs)</t>
  </si>
  <si>
    <t>additional phosphorous required</t>
  </si>
  <si>
    <t>Empty bed contact time or Hydraulic Residence Time</t>
  </si>
  <si>
    <t>required volume</t>
  </si>
  <si>
    <t>volume of media or fluidized bed in vessels</t>
  </si>
  <si>
    <t>Number of recycle pumps</t>
  </si>
  <si>
    <t>recycle_pumps</t>
  </si>
  <si>
    <t>Recycle pump rating</t>
  </si>
  <si>
    <t>recycle_pump_rating</t>
  </si>
  <si>
    <t>Redundant recycle pumps</t>
  </si>
  <si>
    <t>NRD_recycle_pumps</t>
  </si>
  <si>
    <t>Minimum volume of contact area needed</t>
  </si>
  <si>
    <t>Minimum volume of contact area per vessel</t>
  </si>
  <si>
    <t>Biomass Generation</t>
  </si>
  <si>
    <t>biomass_I</t>
  </si>
  <si>
    <t>biomass_sample</t>
  </si>
  <si>
    <t>fully automated</t>
  </si>
  <si>
    <t>Number of check valves on nutrient feed line</t>
  </si>
  <si>
    <t>Prevents biomass gorwth in nutirent line</t>
  </si>
  <si>
    <t>tot_nutrient_chv</t>
  </si>
  <si>
    <t>ClO4_analyzer</t>
  </si>
  <si>
    <t>Online Dissolved Oxygen Analyzer</t>
  </si>
  <si>
    <t>DO_analyzer</t>
  </si>
  <si>
    <t>Total perchlorate/nitrate analyzers</t>
  </si>
  <si>
    <t>Total dissolved oxygen analyzer</t>
  </si>
  <si>
    <t>strictest maximum of the above, rounded</t>
  </si>
  <si>
    <t>ensures that bed depth is sufficient to pass diameter check on vessel design sheet</t>
  </si>
  <si>
    <t>from guidance on input sheet</t>
  </si>
  <si>
    <t>Flow meter lookup code - process</t>
  </si>
  <si>
    <t>fm_lkp_proc</t>
  </si>
  <si>
    <t>Number of mechanical ventilation days per year 2nd building (medium system)</t>
  </si>
  <si>
    <t>fan_days_build2_medium</t>
  </si>
  <si>
    <t>Number of mechanical ventilation days per year first building (large system)</t>
  </si>
  <si>
    <t>fan_days_build1_large</t>
  </si>
  <si>
    <t>For large systems (&gt; 10 MGD)</t>
  </si>
  <si>
    <t>Number of mechanical ventilation days per year 2nd building (large system)</t>
  </si>
  <si>
    <t>fan_days_build2_large</t>
  </si>
  <si>
    <t>ss_cat2 is used to select ventilation requirements and building type</t>
  </si>
  <si>
    <t>System size</t>
  </si>
  <si>
    <t>ss_cat2</t>
  </si>
  <si>
    <t>res_MOV_pump</t>
  </si>
  <si>
    <t>res_MOV_tank</t>
  </si>
  <si>
    <t>Manual on residuals line per residuals pump</t>
  </si>
  <si>
    <t>res_man_pump</t>
  </si>
  <si>
    <t>mg/L</t>
  </si>
  <si>
    <t>System automation</t>
  </si>
  <si>
    <t>Cost estimating method</t>
  </si>
  <si>
    <t>&lt;-- enter 1 to use cost equations, leave blank to use lookup tables for component costs</t>
  </si>
  <si>
    <t>System Automation</t>
  </si>
  <si>
    <t>Footprint of building 2</t>
  </si>
  <si>
    <t>Footprint of building 1</t>
  </si>
  <si>
    <t>build1_fp</t>
  </si>
  <si>
    <t>build2_fp</t>
  </si>
  <si>
    <t>Concrete Pad</t>
  </si>
  <si>
    <t>sf</t>
  </si>
  <si>
    <t>cy</t>
  </si>
  <si>
    <t>Design #</t>
  </si>
  <si>
    <t>Diameter</t>
  </si>
  <si>
    <t>unit</t>
  </si>
  <si>
    <t>Size of valves for backwash pipe line</t>
  </si>
  <si>
    <t>Motor/Air Operated (on/off)</t>
  </si>
  <si>
    <t>Redundant booster pumps</t>
  </si>
  <si>
    <t>NRD_pumps</t>
  </si>
  <si>
    <t>Redundant backwash pumps</t>
  </si>
  <si>
    <t>NRD_back_pumps</t>
  </si>
  <si>
    <t>Maximum pump size</t>
  </si>
  <si>
    <t>max_pump_size</t>
  </si>
  <si>
    <t>pump</t>
  </si>
  <si>
    <t>Backwash tank volume</t>
  </si>
  <si>
    <t>back_tank_vol</t>
  </si>
  <si>
    <t>Buildup error?</t>
  </si>
  <si>
    <t>1</t>
  </si>
  <si>
    <t>2</t>
  </si>
  <si>
    <t>3</t>
  </si>
  <si>
    <t>4</t>
  </si>
  <si>
    <t>4.1.1</t>
  </si>
  <si>
    <t>4.2.1</t>
  </si>
  <si>
    <t>4.3.1</t>
  </si>
  <si>
    <t>5</t>
  </si>
  <si>
    <t>5.1.1</t>
  </si>
  <si>
    <t>5.2.1</t>
  </si>
  <si>
    <t>5.3.1</t>
  </si>
  <si>
    <t>6</t>
  </si>
  <si>
    <t>9.2.1</t>
  </si>
  <si>
    <t>10.1.1</t>
  </si>
  <si>
    <t>10.2.1</t>
  </si>
  <si>
    <t>10.3.1</t>
  </si>
  <si>
    <t>Heating Table (1=include heating in buildings and O&amp;M, 0 = do not include heating)</t>
  </si>
  <si>
    <t>Component Level</t>
  </si>
  <si>
    <t>Small (&lt;1 mgd)</t>
  </si>
  <si>
    <t>Medium (1-10 mgd)</t>
  </si>
  <si>
    <t>Large (&gt;10 mgd)</t>
  </si>
  <si>
    <t>Buildings 500 square feet or greater</t>
  </si>
  <si>
    <t>low cost</t>
  </si>
  <si>
    <t>heating_table</t>
  </si>
  <si>
    <t>mid cost</t>
  </si>
  <si>
    <t>high cost</t>
  </si>
  <si>
    <t>Buildings less than 500 ft2 (other than those used for chlorine storage)</t>
  </si>
  <si>
    <t>heating_table_shed</t>
  </si>
  <si>
    <t>Cooling Table (1=include cooling in buildings and O&amp;M, 0 = do not include cooling)</t>
  </si>
  <si>
    <t>cooling_table</t>
  </si>
  <si>
    <t>cooling_table_shed</t>
  </si>
  <si>
    <t>Clearance space beneath the ceiling</t>
  </si>
  <si>
    <t>ceiling_clearance</t>
  </si>
  <si>
    <t>Minimum space between the tops of storage tanks and the ceiling</t>
  </si>
  <si>
    <t>Total technology footprint</t>
  </si>
  <si>
    <t>tech_fp</t>
  </si>
  <si>
    <t>Number of test pits</t>
  </si>
  <si>
    <t>num_pits</t>
  </si>
  <si>
    <t>Number of boreholes</t>
  </si>
  <si>
    <t>num_holes</t>
  </si>
  <si>
    <t>Costs</t>
  </si>
  <si>
    <t>Borings, initial field stake out &amp; determination of elevations</t>
  </si>
  <si>
    <t>Borings, drawings showing boring details</t>
  </si>
  <si>
    <t>Borings, report and recommendations from P.E.</t>
  </si>
  <si>
    <t>Borings, mobilization and demobilization, minimum</t>
  </si>
  <si>
    <t>heat_viload</t>
  </si>
  <si>
    <t>BTU/cfm</t>
  </si>
  <si>
    <t>Cooling ventilation/infiltration load</t>
  </si>
  <si>
    <t>cool_viload</t>
  </si>
  <si>
    <t>Electric resistance heating efficiency</t>
  </si>
  <si>
    <t>resist_eff</t>
  </si>
  <si>
    <t>Heat pump heating coefficient of performance</t>
  </si>
  <si>
    <t>COP</t>
  </si>
  <si>
    <t>To change the degree of automation, change the number of controllers to zero for the appropriate items.</t>
  </si>
  <si>
    <t>Drive controllers per booster pump</t>
  </si>
  <si>
    <t>Drive controllers per eductor</t>
  </si>
  <si>
    <t>Total drive controllers</t>
  </si>
  <si>
    <t>Ferric Chloride</t>
  </si>
  <si>
    <t>Impeller Mixers</t>
  </si>
  <si>
    <t>himp_mix_eq</t>
  </si>
  <si>
    <t>imp_mix_eq</t>
  </si>
  <si>
    <t>Impeller</t>
  </si>
  <si>
    <t>Temperature meters for small systems</t>
  </si>
  <si>
    <t>tot_switches</t>
  </si>
  <si>
    <t>Total discrete inputs</t>
  </si>
  <si>
    <t>discrete_inputs</t>
  </si>
  <si>
    <t>Total discrete outputs</t>
  </si>
  <si>
    <t>discrete_outputs</t>
  </si>
  <si>
    <t>Total analog inputs</t>
  </si>
  <si>
    <t>analog_inputs</t>
  </si>
  <si>
    <t>Total analog outputs</t>
  </si>
  <si>
    <t>analog_outputs</t>
  </si>
  <si>
    <t>Number of computer workstations</t>
  </si>
  <si>
    <t>workstations</t>
  </si>
  <si>
    <t>Number of printers</t>
  </si>
  <si>
    <t>printers</t>
  </si>
  <si>
    <t>Cast Iron - Process</t>
  </si>
  <si>
    <t>Manual</t>
  </si>
  <si>
    <t>Check Valves</t>
  </si>
  <si>
    <t>Level Switch/Alarm (for vessels)</t>
  </si>
  <si>
    <t>For calculating cost of actual maintenance materials; not to be confused with depreciation.  Initial proposed estimate of 5% seems high  (Richard E. Hubel, Peter Keenan, American Water Works Service Company, Inc)</t>
  </si>
  <si>
    <t>Count?</t>
  </si>
  <si>
    <t>Depreciation</t>
  </si>
  <si>
    <t>direct_for_UL</t>
  </si>
  <si>
    <t>total_direct_depreciation</t>
  </si>
  <si>
    <t>build_UL</t>
  </si>
  <si>
    <t>ANNUALIZED COSTS</t>
  </si>
  <si>
    <t>Discount rate</t>
  </si>
  <si>
    <t>Calculate households based on:</t>
  </si>
  <si>
    <t>Household size (people per household)</t>
  </si>
  <si>
    <t>Useful Life (Reciprocal Weighted Average)</t>
  </si>
  <si>
    <t>Number of households served</t>
  </si>
  <si>
    <t>Annualized cost per 1,000 gallons average flow</t>
  </si>
  <si>
    <t>Annualized cost per household</t>
  </si>
  <si>
    <t>User adjustable</t>
  </si>
  <si>
    <t>ground water</t>
  </si>
  <si>
    <t>households</t>
  </si>
  <si>
    <t>/year</t>
  </si>
  <si>
    <t>/kgal</t>
  </si>
  <si>
    <t>/household/year</t>
  </si>
  <si>
    <t xml:space="preserve">Enter 0% to exclude. </t>
  </si>
  <si>
    <t>Minimum standby power generator size</t>
  </si>
  <si>
    <t>min_standby</t>
  </si>
  <si>
    <t>Booster pump footprint</t>
  </si>
  <si>
    <t>Process pipe diameter</t>
  </si>
  <si>
    <t>proc_pipe_diam</t>
  </si>
  <si>
    <t>water_flush</t>
  </si>
  <si>
    <t>Total water flush</t>
  </si>
  <si>
    <t>waterflush_vol</t>
  </si>
  <si>
    <t>Piping Design</t>
  </si>
  <si>
    <t>Backwash pump rating</t>
  </si>
  <si>
    <t>Booster pump rating</t>
  </si>
  <si>
    <t>back_pump_rating</t>
  </si>
  <si>
    <t>Backwash pipe flow</t>
  </si>
  <si>
    <t>back_pipe_flow</t>
  </si>
  <si>
    <t>Backwash pipe diameter</t>
  </si>
  <si>
    <t>back_pipe_diam</t>
  </si>
  <si>
    <t>lbs</t>
  </si>
  <si>
    <t>days</t>
  </si>
  <si>
    <t>tank_valve_size</t>
  </si>
  <si>
    <t>back_valve_size</t>
  </si>
  <si>
    <t>Materials for backwash pumps</t>
  </si>
  <si>
    <t>Materials for filter basins</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</si>
  <si>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</si>
  <si>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</si>
  <si>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</si>
  <si>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</si>
  <si>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</si>
  <si>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</si>
  <si>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</si>
  <si>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</si>
  <si>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</si>
  <si>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</si>
  <si>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</si>
  <si>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</si>
  <si>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</si>
  <si>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</si>
  <si>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</si>
  <si>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Design Categories</t>
  </si>
  <si>
    <t>Design type chosen</t>
  </si>
  <si>
    <t>design_type</t>
  </si>
  <si>
    <t>STEP 2</t>
  </si>
  <si>
    <t>PRESSURE VESSELS</t>
  </si>
  <si>
    <t>The next three inputs may be entered manually, or calculated with AutoSize button. All other gold inputs must be complete before AutoSizing.</t>
  </si>
  <si>
    <t>Basin Width</t>
  </si>
  <si>
    <t>basin_width</t>
  </si>
  <si>
    <t>Basin Length</t>
  </si>
  <si>
    <t>basin_length</t>
  </si>
  <si>
    <t>basin_op_depth</t>
  </si>
  <si>
    <t>shifts_day</t>
  </si>
  <si>
    <t>shifts/day</t>
  </si>
  <si>
    <t>Used to determine number of workstations</t>
  </si>
  <si>
    <t>Result</t>
  </si>
  <si>
    <t>Variable</t>
  </si>
  <si>
    <t>ss_pv_eq</t>
  </si>
  <si>
    <t>no equation</t>
  </si>
  <si>
    <t>st_bwt_eq</t>
  </si>
  <si>
    <t>cpvc_pipe_eq</t>
  </si>
  <si>
    <t>pvc_pipe_eq</t>
  </si>
  <si>
    <t>ss_pipe_eq</t>
  </si>
  <si>
    <t>st_pipe_eq</t>
  </si>
  <si>
    <t>di_pipe_eq</t>
  </si>
  <si>
    <t>ss_mov_eq</t>
  </si>
  <si>
    <t>ci_mov_eq_tank</t>
  </si>
  <si>
    <t>ci_mov_eq</t>
  </si>
  <si>
    <t>ss_mov_eq_bp</t>
  </si>
  <si>
    <t>pp_mov_eq_bp</t>
  </si>
  <si>
    <t>pp_man_eq</t>
  </si>
  <si>
    <t>ss_man_eq</t>
  </si>
  <si>
    <t>ci_bfv_eq</t>
  </si>
  <si>
    <t>pp_chv_eq</t>
  </si>
  <si>
    <t>ss_chv_eq</t>
  </si>
  <si>
    <t>back_pump_eq</t>
  </si>
  <si>
    <t>Number of manual control valves on bypass line</t>
  </si>
  <si>
    <t>proc_man_vessel_par</t>
  </si>
  <si>
    <t>Total base standby power requirement</t>
  </si>
  <si>
    <t>std_base</t>
  </si>
  <si>
    <t>Standby power for heating</t>
  </si>
  <si>
    <t>std_heat</t>
  </si>
  <si>
    <t>Magnetic flow meter</t>
  </si>
  <si>
    <t>flow_mag</t>
  </si>
  <si>
    <t>Orifice plate flow meter</t>
  </si>
  <si>
    <t>flow_op</t>
  </si>
  <si>
    <t>Propeller flow meter</t>
  </si>
  <si>
    <t>flow_prop</t>
  </si>
  <si>
    <t>Venturi flow meter</t>
  </si>
  <si>
    <t>flow_ven</t>
  </si>
  <si>
    <t>Orifice Plate</t>
  </si>
  <si>
    <t>Propeller</t>
  </si>
  <si>
    <t>prop_fm_eq_in</t>
  </si>
  <si>
    <t>prop_fm_eq</t>
  </si>
  <si>
    <t>Venturi</t>
  </si>
  <si>
    <t>ven_fm_eq_in</t>
  </si>
  <si>
    <t>ven_fm_eq</t>
  </si>
  <si>
    <t>Magnetic</t>
  </si>
  <si>
    <t>mag_fm_eq_in</t>
  </si>
  <si>
    <t>mag_fm_eq</t>
  </si>
  <si>
    <t>Flow Meters - Process</t>
  </si>
  <si>
    <t>prop_fm_eq_proc</t>
  </si>
  <si>
    <t>ven_fm_eq_proc</t>
  </si>
  <si>
    <t>mag_fm_eq_proc</t>
  </si>
  <si>
    <t>Flow Meters - Backwash</t>
  </si>
  <si>
    <t>prop_fm_eq_back</t>
  </si>
  <si>
    <t>ven_fm_eq_back</t>
  </si>
  <si>
    <t>mag_fm_eq_back</t>
  </si>
  <si>
    <t>Flow Meters - Residuals</t>
  </si>
  <si>
    <t>prop_fm_eq_res</t>
  </si>
  <si>
    <t>ven_fm_eq_res</t>
  </si>
  <si>
    <t>mag_fm_eq_res</t>
  </si>
  <si>
    <t>fm_lkp_io</t>
  </si>
  <si>
    <t>These codes are used to look up SCADA requirements, which depend on the type of flow meter selected.</t>
  </si>
  <si>
    <t>Leave blank to accept model defaults (0 for systems &lt;1 MGD, calculated otherwise)</t>
  </si>
  <si>
    <t>Control Valves and Instrumentation</t>
  </si>
  <si>
    <t>Size of flow meters for backwash line</t>
  </si>
  <si>
    <t>High/Low alarm for backwash tank</t>
  </si>
  <si>
    <t>alarm_back</t>
  </si>
  <si>
    <t>Sampling ports</t>
  </si>
  <si>
    <t>tot_ClO4_analyzer</t>
  </si>
  <si>
    <t>tot_DO_analyzer</t>
  </si>
  <si>
    <t>Perchlorate/Nitrate Analyzer</t>
  </si>
  <si>
    <t>DO analyzer</t>
  </si>
  <si>
    <t>clo4</t>
  </si>
  <si>
    <t>do</t>
  </si>
  <si>
    <t>Dissolved Oxygen Analyzer</t>
  </si>
  <si>
    <t>Perchlorate Analysis</t>
  </si>
  <si>
    <t>Consumables for online perchlorate analysis</t>
  </si>
  <si>
    <t>Fraction of media anthracite</t>
  </si>
  <si>
    <t>anthracite_fraction</t>
  </si>
  <si>
    <t>Fraction of media sand</t>
  </si>
  <si>
    <t>sand_fraction</t>
  </si>
  <si>
    <t>Fraction of media garnet/ilmenite</t>
  </si>
  <si>
    <t>garnet_fraction</t>
  </si>
  <si>
    <t>Fraction of media GAC</t>
  </si>
  <si>
    <t>GAC_fraction</t>
  </si>
  <si>
    <t>EBCT for Filtration</t>
  </si>
  <si>
    <t>Bed Depth for Filtration &lt; 0.1 MGD</t>
  </si>
  <si>
    <t>Bed Depth for Filtration 0.1 MGD-10 MGD</t>
  </si>
  <si>
    <t>Bed Depth for Filtration &gt; 10 MGD</t>
  </si>
  <si>
    <t>Anthracite density</t>
  </si>
  <si>
    <t>anthracite_density</t>
  </si>
  <si>
    <t>lb/cubic ft</t>
  </si>
  <si>
    <t>Garnet density</t>
  </si>
  <si>
    <t>garnet_density</t>
  </si>
  <si>
    <t>Sand filter media</t>
  </si>
  <si>
    <t>sand_vol</t>
  </si>
  <si>
    <t>Anthracite filter media</t>
  </si>
  <si>
    <t>anthracite</t>
  </si>
  <si>
    <t>Garnet filter media</t>
  </si>
  <si>
    <t>garnet</t>
  </si>
  <si>
    <t>GAC filter media</t>
  </si>
  <si>
    <t>Anthracite</t>
  </si>
  <si>
    <t>Sand</t>
  </si>
  <si>
    <t>Garnet/illmenite</t>
  </si>
  <si>
    <t>cf</t>
  </si>
  <si>
    <t>Anthracite quantity each filter</t>
  </si>
  <si>
    <t>Garnet quantity each filter</t>
  </si>
  <si>
    <t>Sand quantity each filter</t>
  </si>
  <si>
    <t>Size Constraints</t>
  </si>
  <si>
    <t xml:space="preserve"> - bed depth</t>
  </si>
  <si>
    <t>comp_min_bed_depth_a</t>
  </si>
  <si>
    <t>comp_max_bed_depth_a</t>
  </si>
  <si>
    <t xml:space="preserve"> - surface area</t>
  </si>
  <si>
    <t>comp_min_sa_a</t>
  </si>
  <si>
    <t>comp_max_sa_a</t>
  </si>
  <si>
    <t xml:space="preserve"> - contactor length</t>
  </si>
  <si>
    <t>comp_min_length_a</t>
  </si>
  <si>
    <t>comp_max_length_a</t>
  </si>
  <si>
    <t xml:space="preserve"> - contactor width</t>
  </si>
  <si>
    <t>comp_min_width_a</t>
  </si>
  <si>
    <t>comp_max_width_a</t>
  </si>
  <si>
    <t>comp_out_success_a</t>
  </si>
  <si>
    <t>from min_depth CDA</t>
  </si>
  <si>
    <t>assuming max-size contactor and number of contactors above, min depth for sufficient media volume</t>
  </si>
  <si>
    <t>from max_depth CDA</t>
  </si>
  <si>
    <t>from loading: based on design flow per target line, max loading</t>
  </si>
  <si>
    <t>from loading: based on design flow per target line, min loading</t>
  </si>
  <si>
    <t>from min_length CDA</t>
  </si>
  <si>
    <t>from max_length CDA</t>
  </si>
  <si>
    <t>from min_width CDA</t>
  </si>
  <si>
    <t>from max_width CDA</t>
  </si>
  <si>
    <t>based on Target Bed Depth CDA</t>
  </si>
  <si>
    <t>kWh/sf/yr</t>
  </si>
  <si>
    <t>diesel_heat_content</t>
  </si>
  <si>
    <t>BTU/gal</t>
  </si>
  <si>
    <t>proc_pipe_length</t>
  </si>
  <si>
    <t>Backwash piping length</t>
  </si>
  <si>
    <t>back_pipe_length</t>
  </si>
  <si>
    <t>linear feet</t>
  </si>
  <si>
    <t>h2oflush_backwash_rate</t>
  </si>
  <si>
    <t>backwash_time</t>
  </si>
  <si>
    <t>gpm/square ft</t>
  </si>
  <si>
    <t>gpm</t>
  </si>
  <si>
    <t>gallons</t>
  </si>
  <si>
    <t>valves</t>
  </si>
  <si>
    <t>sand_each</t>
  </si>
  <si>
    <t>anthracite_each</t>
  </si>
  <si>
    <t>garnet_each</t>
  </si>
  <si>
    <t>Filter anthracite attrition replacement</t>
  </si>
  <si>
    <t>Filter sand attrition replacement</t>
  </si>
  <si>
    <t>Filter garnet attrition replacement</t>
  </si>
  <si>
    <t>filter_sand_loss</t>
  </si>
  <si>
    <t>filter_anthracite_loss</t>
  </si>
  <si>
    <t>filter_garnet_loss</t>
  </si>
  <si>
    <t>cuft/yr</t>
  </si>
  <si>
    <t>GAC annual attrition replacement - Bioreactor</t>
  </si>
  <si>
    <t>GAC annual attrition replacement- Filter</t>
  </si>
  <si>
    <t>Sand annual attrition replacement- Filter</t>
  </si>
  <si>
    <t>Anthracite annual attrition replacement- Filter</t>
  </si>
  <si>
    <t>Garnet annual attrition replacement- Filter</t>
  </si>
  <si>
    <t>/cuft</t>
  </si>
  <si>
    <t>Recycle Pump Footprint</t>
  </si>
  <si>
    <t>rec_MOV_pump</t>
  </si>
  <si>
    <t>Number of motor/air operated control valves on recycle line per recycle pump</t>
  </si>
  <si>
    <t>rec_man_pump</t>
  </si>
  <si>
    <t>Drive controllers per recycle pump</t>
  </si>
  <si>
    <t>S_recycle_pump</t>
  </si>
  <si>
    <t>6.8</t>
  </si>
  <si>
    <t>6.8.2</t>
  </si>
  <si>
    <t>6.9.1</t>
  </si>
  <si>
    <t>Recycle Pump</t>
  </si>
  <si>
    <t>Recycle</t>
  </si>
  <si>
    <t>recycle_pump_eq</t>
  </si>
  <si>
    <t>3.11.1</t>
  </si>
  <si>
    <t>Aeration</t>
  </si>
  <si>
    <t>Maximum aeration tank size</t>
  </si>
  <si>
    <t>max_aeration_tank_size</t>
  </si>
  <si>
    <t xml:space="preserve">The largest size for which costs are available. </t>
  </si>
  <si>
    <t>aeration_tanks</t>
  </si>
  <si>
    <t>aeration_tank_vol</t>
  </si>
  <si>
    <t>Aeration Tank Residence Time</t>
  </si>
  <si>
    <t>Aeration Rate</t>
  </si>
  <si>
    <t>hrt_aeration</t>
  </si>
  <si>
    <t>rate_aeration</t>
  </si>
  <si>
    <t>scfm/100gpm</t>
  </si>
  <si>
    <t>Total aeration tank volume required</t>
  </si>
  <si>
    <t>aeration_tank_vol_required</t>
  </si>
  <si>
    <t>Aeration tanks</t>
  </si>
  <si>
    <t>Aeration tank volume</t>
  </si>
  <si>
    <t>&lt;-- 1 for use H2O2, 0 to use Aeration</t>
  </si>
  <si>
    <t>Design Air Flow</t>
  </si>
  <si>
    <t>Maximum diffuser size</t>
  </si>
  <si>
    <t>max_diffuser_size</t>
  </si>
  <si>
    <t>air_flow_tot</t>
  </si>
  <si>
    <t>Total diffusers</t>
  </si>
  <si>
    <t>total_diffusers</t>
  </si>
  <si>
    <t>scfm</t>
  </si>
  <si>
    <t>Diffuser size</t>
  </si>
  <si>
    <t>diffuser_size</t>
  </si>
  <si>
    <t>Blowers of Aeration</t>
  </si>
  <si>
    <t>num_aeration_blowers</t>
  </si>
  <si>
    <t>design_air_flow_aeration</t>
  </si>
  <si>
    <t>Motor/air operated control valves for per blower</t>
  </si>
  <si>
    <t>Manual control valves per blower</t>
  </si>
  <si>
    <t>Additional manual control valves for air blower line</t>
  </si>
  <si>
    <t>Additional motor/air operated control valves for air blower line</t>
  </si>
  <si>
    <t>aeration_valve_size</t>
  </si>
  <si>
    <t>Aeration tank pipe flow</t>
  </si>
  <si>
    <t>Aeration tank pipe diameter</t>
  </si>
  <si>
    <t>aer_tank_pipe_flow</t>
  </si>
  <si>
    <t>aer_tank_pipe_diam</t>
  </si>
  <si>
    <t>Blower footprint for aeration</t>
  </si>
  <si>
    <t>space_aer</t>
  </si>
  <si>
    <t>Aeration tank diameter</t>
  </si>
  <si>
    <t>aer_tank_diam</t>
  </si>
  <si>
    <t>aer_tank_fp</t>
  </si>
  <si>
    <t>Footprint for aeration tank</t>
  </si>
  <si>
    <t>Size of valves for aeration air line</t>
  </si>
  <si>
    <t>aer_tank_valve_size</t>
  </si>
  <si>
    <t>Polypropylene/PVC - Air Scour</t>
  </si>
  <si>
    <t>Stainless Steel - Air Scour</t>
  </si>
  <si>
    <t>Cast Iron - Air Scour</t>
  </si>
  <si>
    <t>Polypropylene/PVC - Air Biomass Removal</t>
  </si>
  <si>
    <t>Stainless Steel - Air Biomass Removal</t>
  </si>
  <si>
    <t>Cast Iron - Air Biomass Removal</t>
  </si>
  <si>
    <t>ci_mov_eq_aeration</t>
  </si>
  <si>
    <t>ss_mov_eq_aeration</t>
  </si>
  <si>
    <t>pp_mov_eq_aeration</t>
  </si>
  <si>
    <t>pp_mov_eq_bio_air</t>
  </si>
  <si>
    <t>ss_mov_eq_bio_air</t>
  </si>
  <si>
    <t>ci_mov_eq_bio_air</t>
  </si>
  <si>
    <t>5.1.11</t>
  </si>
  <si>
    <t>5.1.12</t>
  </si>
  <si>
    <t>tot_aeration_MOVs</t>
  </si>
  <si>
    <t>tot_aeration_man</t>
  </si>
  <si>
    <t>Number of manual valves for aeration air line</t>
  </si>
  <si>
    <t>Number of MOVs for aeration air line</t>
  </si>
  <si>
    <t>Polypropylene/PVC - Aeration</t>
  </si>
  <si>
    <t>Stainless Steel - Aeration</t>
  </si>
  <si>
    <t>Cast Iron - Aeration</t>
  </si>
  <si>
    <t>pp_man_eq_bio_air</t>
  </si>
  <si>
    <t>ss_man_eq_bio_air</t>
  </si>
  <si>
    <t>ci_man_eq_bio_air</t>
  </si>
  <si>
    <t>pp_man_eq_aeration</t>
  </si>
  <si>
    <t>ss_man_eq_aeration</t>
  </si>
  <si>
    <t>ci_man_eq_aeration</t>
  </si>
  <si>
    <t>5.2.12</t>
  </si>
  <si>
    <t>5.2.13</t>
  </si>
  <si>
    <t>Aeration Tanks</t>
  </si>
  <si>
    <t>st_aeration_eq</t>
  </si>
  <si>
    <t>fg_aeration_eq</t>
  </si>
  <si>
    <t>hdpe_aeration_eq</t>
  </si>
  <si>
    <t>3.11.2</t>
  </si>
  <si>
    <t>Diffusers</t>
  </si>
  <si>
    <t>Aerators</t>
  </si>
  <si>
    <t>diffuser_eq</t>
  </si>
  <si>
    <t>Polymer dose</t>
  </si>
  <si>
    <t>polymer_dose</t>
  </si>
  <si>
    <t>polymer_res</t>
  </si>
  <si>
    <t>Annual polymer use</t>
  </si>
  <si>
    <t>polymer_yr</t>
  </si>
  <si>
    <t>Coagulant and Polymer Use</t>
  </si>
  <si>
    <t>cm_pumps_polymer</t>
  </si>
  <si>
    <t>cm_pump_rating_polymer</t>
  </si>
  <si>
    <t>polymer_density</t>
  </si>
  <si>
    <t>lb/gal</t>
  </si>
  <si>
    <t>Polymer Addition</t>
  </si>
  <si>
    <t>polymer_day</t>
  </si>
  <si>
    <t>polymer_storage</t>
  </si>
  <si>
    <t>polymer_tanks</t>
  </si>
  <si>
    <t>polymer_tank_vol</t>
  </si>
  <si>
    <t>Polymer storage in gallons</t>
  </si>
  <si>
    <t>polymer_cmix_per_tank</t>
  </si>
  <si>
    <t>polymer_cmixers</t>
  </si>
  <si>
    <t>polymer_cmix_size</t>
  </si>
  <si>
    <t>polymer_rate</t>
  </si>
  <si>
    <t>Polymer pipe flow</t>
  </si>
  <si>
    <t>Polymer pipe diameter</t>
  </si>
  <si>
    <t>polymer_pipe_flow</t>
  </si>
  <si>
    <t>polymer_pipe_diam</t>
  </si>
  <si>
    <t>Polymer storage tank diameter</t>
  </si>
  <si>
    <t>polymer_st_diam</t>
  </si>
  <si>
    <t>space_polymer_st</t>
  </si>
  <si>
    <t>Polymer storage tank footprint</t>
  </si>
  <si>
    <t>polymer_fp</t>
  </si>
  <si>
    <t>Polymer addition pipe length</t>
  </si>
  <si>
    <t>polymer_pipe_length</t>
  </si>
  <si>
    <t>4.11.1</t>
  </si>
  <si>
    <t>Polymer Addition Piping</t>
  </si>
  <si>
    <t>Polymer Piping</t>
  </si>
  <si>
    <t>cpvc_pipe_eq_polymer</t>
  </si>
  <si>
    <t>pvc_pipe_eq_polymer</t>
  </si>
  <si>
    <t>ss_pipe_eq_polymer</t>
  </si>
  <si>
    <t>st_pipe_eq_polymer</t>
  </si>
  <si>
    <t>3.12.1</t>
  </si>
  <si>
    <t>Polymer Storage Tanks</t>
  </si>
  <si>
    <t>pl_polymer_st_eq</t>
  </si>
  <si>
    <t>fg_polymer_st_eq</t>
  </si>
  <si>
    <t>6.10</t>
  </si>
  <si>
    <t>Polymer Metering</t>
  </si>
  <si>
    <t>6.10.1</t>
  </si>
  <si>
    <t>pvc_polymer_mmpump_eq</t>
  </si>
  <si>
    <t>ss_polymer_mmpump_eq</t>
  </si>
  <si>
    <t>pvc_polymer_empump_eq</t>
  </si>
  <si>
    <t>ss_polymer_empump_eq</t>
  </si>
  <si>
    <t>Number of MOVs for polymer addition line</t>
  </si>
  <si>
    <t>tot_polymer_MOVs</t>
  </si>
  <si>
    <t>tot_polymer_man</t>
  </si>
  <si>
    <t>pp_man_eq_polymer</t>
  </si>
  <si>
    <t>ss_man_eq_polymer</t>
  </si>
  <si>
    <t>polymer_valve_size</t>
  </si>
  <si>
    <t>Size of valves for polymer line</t>
  </si>
  <si>
    <t>Polypropylene/PVC - Polymer</t>
  </si>
  <si>
    <t>Stainless Steel - Polymer</t>
  </si>
  <si>
    <t>pp_mov_eq_polymer</t>
  </si>
  <si>
    <t>ss_mov_eq_polymer</t>
  </si>
  <si>
    <t>ci_mov_eq_polymer</t>
  </si>
  <si>
    <t>Cast Iron - Polymer</t>
  </si>
  <si>
    <t>ci_man_eq_polymer</t>
  </si>
  <si>
    <t>5.1.13</t>
  </si>
  <si>
    <t>5.2.14</t>
  </si>
  <si>
    <t>7.11.1</t>
  </si>
  <si>
    <t>Mixers for Polymer Storage Tanks</t>
  </si>
  <si>
    <t>Polymer Storage Tank Mixer</t>
  </si>
  <si>
    <t>cmount_mix_eq_polymer</t>
  </si>
  <si>
    <t>cimp_mix_eq_polymer</t>
  </si>
  <si>
    <t>6.8.3</t>
  </si>
  <si>
    <t>pd_aeration_blow_eq</t>
  </si>
  <si>
    <t>US DoD, 2009</t>
  </si>
  <si>
    <t xml:space="preserve"> 15 CFH air for 50 gpm water treated (U.S. DoD, 2009)</t>
  </si>
  <si>
    <t>US DoD 2009</t>
  </si>
  <si>
    <t>Additional residuals assumtions loacted on the cirtical deisgn assumptions page</t>
  </si>
  <si>
    <r>
      <t xml:space="preserve">For information: </t>
    </r>
    <r>
      <rPr>
        <sz val="10"/>
        <color indexed="17"/>
        <rFont val="Arial"/>
        <family val="2"/>
      </rPr>
      <t>Redundant bioreactors</t>
    </r>
  </si>
  <si>
    <t>For biomass buildup, backwash bioreactor about every 24-36 hours</t>
  </si>
  <si>
    <t>Typically 36-48 hours</t>
  </si>
  <si>
    <t>Actual residuals discharge/recycle flow rate</t>
  </si>
  <si>
    <t>Design residuals discharge/recycle flow rate</t>
  </si>
  <si>
    <t>Annual residuals dischage/recycle</t>
  </si>
  <si>
    <t>Re-oxygenation approach</t>
  </si>
  <si>
    <t>Calculated biomass generation</t>
  </si>
  <si>
    <r>
      <t>Cbio = 1.016 O</t>
    </r>
    <r>
      <rPr>
        <b/>
        <i/>
        <sz val="10"/>
        <color indexed="17"/>
        <rFont val="Arial"/>
        <family val="2"/>
      </rPr>
      <t>2</t>
    </r>
    <r>
      <rPr>
        <b/>
        <sz val="10"/>
        <color indexed="17"/>
        <rFont val="Arial"/>
        <family val="2"/>
      </rPr>
      <t xml:space="preserve"> + 0.155 NO3-N + 0.659 ClO4- (Batista)</t>
    </r>
  </si>
  <si>
    <t>Bioreactor Pressure Vessels</t>
  </si>
  <si>
    <t>Bioreactor Fixed Bed Gravity Contact Basins</t>
  </si>
  <si>
    <t>Select Bioreactor Design Type</t>
  </si>
  <si>
    <t>aeration</t>
  </si>
  <si>
    <t>Polishing Filter Type</t>
  </si>
  <si>
    <t>filter_type_I</t>
  </si>
  <si>
    <t>gravity basin</t>
  </si>
  <si>
    <t>Include polishing filter</t>
  </si>
  <si>
    <t>Polishing filter design type</t>
  </si>
  <si>
    <t>filter_type</t>
  </si>
  <si>
    <t>&lt;-- 1 for Yes, 0 for No</t>
  </si>
  <si>
    <t>Polishing Filter Gravity Contact Basins</t>
  </si>
  <si>
    <t>Polishing Filter Pressure Vessels</t>
  </si>
  <si>
    <t>filt_basin_length</t>
  </si>
  <si>
    <t>filt_basin_width</t>
  </si>
  <si>
    <t>filt_basin_op_depth</t>
  </si>
  <si>
    <t>filt_bed_depth</t>
  </si>
  <si>
    <t>filt_tank_geom_I</t>
  </si>
  <si>
    <t>filt_comm_height_length</t>
  </si>
  <si>
    <t>filt_comm_diam</t>
  </si>
  <si>
    <t>max_sa_filt</t>
  </si>
  <si>
    <t>FILTER GRAVITY CONTACT BASINS</t>
  </si>
  <si>
    <t>FILTER PRESSURE VESSELS</t>
  </si>
  <si>
    <t>&lt;-- 1 for gravity basin, 2 for pressure vessel, 0 for no polishing filter</t>
  </si>
  <si>
    <t>tank_geom_filt</t>
  </si>
  <si>
    <t>EBCT_tank_filt</t>
  </si>
  <si>
    <t>distance_above_filt</t>
  </si>
  <si>
    <t>void_above_filt</t>
  </si>
  <si>
    <t>flow_per_vessel_filt</t>
  </si>
  <si>
    <t>num_treat_lines_filt</t>
  </si>
  <si>
    <t>op_num_tanks_filt</t>
  </si>
  <si>
    <t>final_num_tanks_filt</t>
  </si>
  <si>
    <t>contact_material_filt</t>
  </si>
  <si>
    <t>contact_mat_per_vessel_filt</t>
  </si>
  <si>
    <t>SA_filt</t>
  </si>
  <si>
    <t>comm_SA_filt</t>
  </si>
  <si>
    <t>comm_load_rate_filt</t>
  </si>
  <si>
    <t>comm_vol_filt</t>
  </si>
  <si>
    <t>comm_vol_gal_filt</t>
  </si>
  <si>
    <t>height_filt</t>
  </si>
  <si>
    <t>diameter_filt</t>
  </si>
  <si>
    <t>min_comm_height_filt</t>
  </si>
  <si>
    <t>max_comm_height_filt</t>
  </si>
  <si>
    <t>freeboard_horiz_void_filt</t>
  </si>
  <si>
    <t>underdrain_horiz_void_filt</t>
  </si>
  <si>
    <t>horiz_void_filt</t>
  </si>
  <si>
    <t>vert_vol_available_filt</t>
  </si>
  <si>
    <t>horiz_vol_available_filt</t>
  </si>
  <si>
    <t>NRD_filt_p</t>
  </si>
  <si>
    <t>Media volume per filter</t>
  </si>
  <si>
    <t>media_volume_filt</t>
  </si>
  <si>
    <t>Number of redundant polishing filters for small systems with only one vessel</t>
  </si>
  <si>
    <t>Number of redundant polishing filters for small systems with multiple vessels</t>
  </si>
  <si>
    <t>Number of redundant polishing filters for medium systems</t>
  </si>
  <si>
    <t>Number of redundant polishing filters for large systems</t>
  </si>
  <si>
    <t>2.3.1</t>
  </si>
  <si>
    <t>2.3.2</t>
  </si>
  <si>
    <t>2.3.3</t>
  </si>
  <si>
    <t>2.3.4</t>
  </si>
  <si>
    <t>Footprint for polishing filter basins</t>
  </si>
  <si>
    <t>filter_vessel_fp</t>
  </si>
  <si>
    <t>POLISHING FILTER VESSELS</t>
  </si>
  <si>
    <t>POLISHING FILTER BASINS</t>
  </si>
  <si>
    <t>BIOREACTOR PRESSURE VESSELS</t>
  </si>
  <si>
    <t>BIOREACTOR GRAVITY CONTACTORS</t>
  </si>
  <si>
    <t>comp_vol_required_stg1_filt</t>
  </si>
  <si>
    <t>comp_round_sa_filt</t>
  </si>
  <si>
    <t>comp_sa_min_filt</t>
  </si>
  <si>
    <t>comp_sa_max_filt</t>
  </si>
  <si>
    <t>comp_vol_required_filt</t>
  </si>
  <si>
    <t>comp_vert_max_media_filt</t>
  </si>
  <si>
    <t>comp_vert_max_sa_filt</t>
  </si>
  <si>
    <t>comp_target_bed_depth_vert_filt</t>
  </si>
  <si>
    <t>comp_sa_required_vert_filt</t>
  </si>
  <si>
    <t>comp_vert_min_number_filt</t>
  </si>
  <si>
    <t>comp_max_vol_filt</t>
  </si>
  <si>
    <t>comp_max_vol_length_filt</t>
  </si>
  <si>
    <t>comp_max_horiz_sa_filt</t>
  </si>
  <si>
    <t>comp_target_bed_depth_horiz_filt</t>
  </si>
  <si>
    <t>comp_sa_required_horiz_filt</t>
  </si>
  <si>
    <t>comp_horiz_void_required_filt</t>
  </si>
  <si>
    <t>comp_horiz_max_media_filt</t>
  </si>
  <si>
    <t>comp_horiz_min_number_filt</t>
  </si>
  <si>
    <t>comp_nlines_extra_search_filt</t>
  </si>
  <si>
    <t>comp_in_nlines_filt</t>
  </si>
  <si>
    <t>comp_tank_geom_filt</t>
  </si>
  <si>
    <t>comp_vert_diam_filt</t>
  </si>
  <si>
    <t>comp_vert_bed_depth_filt</t>
  </si>
  <si>
    <t>comp_vert_height_filt</t>
  </si>
  <si>
    <t>comp_horiz_void_area_filt</t>
  </si>
  <si>
    <t>comp_horiz_expanded_bd_filt</t>
  </si>
  <si>
    <t>comp_horiz_diam_filt</t>
  </si>
  <si>
    <t>comp_horiz_length_filt</t>
  </si>
  <si>
    <t>comp_horiz_bed_depth_filt</t>
  </si>
  <si>
    <t>comp_bed_depth_filt</t>
  </si>
  <si>
    <t>comp_min_sa_vessel_filt</t>
  </si>
  <si>
    <t>comp_max_sa_vessel_filt</t>
  </si>
  <si>
    <t>comp_min_vert_height_filt</t>
  </si>
  <si>
    <t>comp_max_vert_height_filt</t>
  </si>
  <si>
    <t>comp_min_vert_diam_filt</t>
  </si>
  <si>
    <t>comp_max_vert_diam_filt</t>
  </si>
  <si>
    <t>comp_min_vert_bed_depth_filt</t>
  </si>
  <si>
    <t>comp_max_vert_bed_depth_filt</t>
  </si>
  <si>
    <t>comp_min_horiz_diam_filt</t>
  </si>
  <si>
    <t>comp_max_horiz_diam_filt</t>
  </si>
  <si>
    <t>comp_min_horiz_length_filt</t>
  </si>
  <si>
    <t>comp_max_horiz_length_filt</t>
  </si>
  <si>
    <t>comp_min_horiz_bed_depth_filt</t>
  </si>
  <si>
    <t>comp_max_horiz_bed_depth_filt</t>
  </si>
  <si>
    <t>comp_out_success_filt</t>
  </si>
  <si>
    <t>comp_round_sa_a_filt</t>
  </si>
  <si>
    <t>comp_vol_required_a_filt</t>
  </si>
  <si>
    <t>comp_vert_max_media_a_filt</t>
  </si>
  <si>
    <t>comp_sa_min_a_filt</t>
  </si>
  <si>
    <t>comp_sa_max_a_filt</t>
  </si>
  <si>
    <t>comp_target_bed_depth_vert_a_filt</t>
  </si>
  <si>
    <t>comp_sa_required_vert_a_filt</t>
  </si>
  <si>
    <t>comp_vert_min_number_a_filt</t>
  </si>
  <si>
    <t>comp_nlines_extra_search_a_filt</t>
  </si>
  <si>
    <t>comp_in_nlines_a_filt</t>
  </si>
  <si>
    <t>comp_length_width_a_filt</t>
  </si>
  <si>
    <t>comp_bed_depth_a_filt</t>
  </si>
  <si>
    <t>comp_min_bed_depth_a_filt</t>
  </si>
  <si>
    <t>comp_max_bed_depth_a_filt</t>
  </si>
  <si>
    <t>comp_min_sa_a_filt</t>
  </si>
  <si>
    <t>comp_max_sa_a_filt</t>
  </si>
  <si>
    <t>comp_min_length_a_filt</t>
  </si>
  <si>
    <t>comp_max_length_a_filt</t>
  </si>
  <si>
    <t>comp_min_width_a_filt</t>
  </si>
  <si>
    <t>comp_max_width_a_filt</t>
  </si>
  <si>
    <t>comp_out_success_a_filt</t>
  </si>
  <si>
    <t>used in autosize routine</t>
  </si>
  <si>
    <t>load_min_filt</t>
  </si>
  <si>
    <t>load_max_filt</t>
  </si>
  <si>
    <t>Filter loading rate minimum</t>
  </si>
  <si>
    <t>Filter loading rate maximum</t>
  </si>
  <si>
    <t>based on target bed depth CDA</t>
  </si>
  <si>
    <t>from CDA sheet</t>
  </si>
  <si>
    <t>Post-Treatment Oxidation Option</t>
  </si>
  <si>
    <t>Post-Treatment Options</t>
  </si>
  <si>
    <t>Bioreactor Vessel Inputs</t>
  </si>
  <si>
    <t>Static Bed Depth</t>
  </si>
  <si>
    <t>Height (straight)</t>
  </si>
  <si>
    <t>Add polymer to holding tank?</t>
  </si>
  <si>
    <t>basins</t>
  </si>
  <si>
    <t>Total basins (incl. redundancy, below)</t>
  </si>
  <si>
    <t>Guidance: basins typically are square or with maximum length 1.5x width</t>
  </si>
  <si>
    <t>Aeration - Positive Displacement</t>
  </si>
  <si>
    <t>Mixers for Ammonium Chloride Storage Tanks</t>
  </si>
  <si>
    <t>Includes labor for regular operations, maintenance, residuals management, etc.</t>
  </si>
  <si>
    <t>Include air scour</t>
  </si>
  <si>
    <t>Electron donor type</t>
  </si>
  <si>
    <t>Electron donor dose</t>
  </si>
  <si>
    <t>Biomass generation</t>
  </si>
  <si>
    <t>Polishing filter type</t>
  </si>
  <si>
    <t>Post-treatment oxidation option</t>
  </si>
  <si>
    <t xml:space="preserve">Guidance: between 2 and 5 ft </t>
  </si>
  <si>
    <t>Basin width</t>
  </si>
  <si>
    <t>Basin length</t>
  </si>
  <si>
    <t>Nutrient requirements</t>
  </si>
  <si>
    <t>Ammonium chloride dose</t>
  </si>
  <si>
    <t>Phosphoric acid dose</t>
  </si>
  <si>
    <t>Includes optimizing electron donor/nutrient feed feed</t>
  </si>
  <si>
    <t>Number of manual control valves on backwash line per backwash tank</t>
  </si>
  <si>
    <t>land_required</t>
  </si>
  <si>
    <t>Land acquisition required</t>
  </si>
  <si>
    <t>acres</t>
  </si>
  <si>
    <t>non_fire_buffer</t>
  </si>
  <si>
    <t>pvc_pipe_eq_back</t>
  </si>
  <si>
    <t>ss_pipe_eq_back</t>
  </si>
  <si>
    <t>st_pipe_eq_back</t>
  </si>
  <si>
    <t>pp_mov_eq_tank</t>
  </si>
  <si>
    <t>ss_mov_eq_tank</t>
  </si>
  <si>
    <t>pp_mov_eq_back</t>
  </si>
  <si>
    <t>ss_mov_eq_back</t>
  </si>
  <si>
    <t>pump_eq</t>
  </si>
  <si>
    <t>pump_eq_back</t>
  </si>
  <si>
    <t>op_fm_eq_back</t>
  </si>
  <si>
    <t>pl_cst_eq</t>
  </si>
  <si>
    <t>fg_cst_eq</t>
  </si>
  <si>
    <t>pvc_pipe_eq_bp</t>
  </si>
  <si>
    <t>pump_fp</t>
  </si>
  <si>
    <t>Design dimensions for vertical vessels:</t>
  </si>
  <si>
    <t xml:space="preserve">    Minimum commercial height given diameter</t>
  </si>
  <si>
    <t>min_comm_height</t>
  </si>
  <si>
    <t xml:space="preserve">    Maximum commercial height given diameter</t>
  </si>
  <si>
    <t>max_comm_height</t>
  </si>
  <si>
    <t>Void space required for horizontal vessels:</t>
  </si>
  <si>
    <t>For freeboard</t>
  </si>
  <si>
    <t>freeboard_horiz_void</t>
  </si>
  <si>
    <t>For underdrain</t>
  </si>
  <si>
    <t>underdrain_horiz_void</t>
  </si>
  <si>
    <t>Total</t>
  </si>
  <si>
    <t>horiz_void</t>
  </si>
  <si>
    <t>Volume of a horizontal slice taken out of a cylinder</t>
  </si>
  <si>
    <t>Volume available for media and expansion:</t>
  </si>
  <si>
    <t>Vertical vessel</t>
  </si>
  <si>
    <t>vert_vol_available</t>
  </si>
  <si>
    <t>Horizontal vessel</t>
  </si>
  <si>
    <t>horiz_vol_available</t>
  </si>
  <si>
    <t>For selected vessel geometry</t>
  </si>
  <si>
    <t>input_vol_vess</t>
  </si>
  <si>
    <t>To be compared to vol_vessel, to determine whether vessel is oversized.</t>
  </si>
  <si>
    <t>Trench Volume to Distribution Network</t>
  </si>
  <si>
    <t>Trench Volume total</t>
  </si>
  <si>
    <t>trench_vol</t>
  </si>
  <si>
    <t>PLC Unit(s)</t>
  </si>
  <si>
    <t>Controls Software</t>
  </si>
  <si>
    <t>Operator interface software</t>
  </si>
  <si>
    <t>Instrumentation and Controls</t>
  </si>
  <si>
    <t>Vessel thickness of wall</t>
  </si>
  <si>
    <t>Maximum backwash tank size</t>
  </si>
  <si>
    <t>max_back_tank_size</t>
  </si>
  <si>
    <t>no_back_tank</t>
  </si>
  <si>
    <t>mount_mix_eq</t>
  </si>
  <si>
    <t>op_fm_eq_in</t>
  </si>
  <si>
    <t>op_fm_eq</t>
  </si>
  <si>
    <t>op_fm_eq_proc</t>
  </si>
  <si>
    <t>Number of motor/air operated control valves on backwash line per vessel</t>
  </si>
  <si>
    <t>back_MOV_vessel</t>
  </si>
  <si>
    <t>Number of motor/air operated control valves on backwash line per backwash pump</t>
  </si>
  <si>
    <t>back_MOV_pump</t>
  </si>
  <si>
    <t>Number of motor/air operated control valves on backwash line per backwash tank</t>
  </si>
  <si>
    <t>back_MOV_tank</t>
  </si>
  <si>
    <t>valves/tank</t>
  </si>
  <si>
    <t>valves/eductor</t>
  </si>
  <si>
    <t>Number of motor/air operated control valves on bypass line</t>
  </si>
  <si>
    <t>tot_bp_MOVs</t>
  </si>
  <si>
    <t>tot_man_valves</t>
  </si>
  <si>
    <t>Excluded for pre-engineered packages</t>
  </si>
  <si>
    <t>Access space per pump for custom designed systems</t>
  </si>
  <si>
    <t>space_pumps_cust</t>
  </si>
  <si>
    <t>Access space per pump for pre-engineered packages</t>
  </si>
  <si>
    <t>space_pumps_pre</t>
  </si>
  <si>
    <t>Pumps on skid for pre-engineered packages, no additional access space</t>
  </si>
  <si>
    <t>Influent perchlorate concentration</t>
  </si>
  <si>
    <t>Electron Donor Type</t>
  </si>
  <si>
    <t>e_donor_dose_I</t>
  </si>
  <si>
    <t>Electron Donor</t>
  </si>
  <si>
    <t>acetic acid</t>
  </si>
  <si>
    <t>Influent dissolved oxygen concentration</t>
  </si>
  <si>
    <t>Influent nitrate-nitrogen concentration</t>
  </si>
  <si>
    <t>NO3_in</t>
  </si>
  <si>
    <t>ClO4_in</t>
  </si>
  <si>
    <t>nutrient_option_I</t>
  </si>
  <si>
    <t>NH4Cl_dose</t>
  </si>
  <si>
    <t>proc_MOV_vessel_par</t>
  </si>
  <si>
    <t>ex_TSS_total</t>
  </si>
  <si>
    <t>TSS in residuals</t>
  </si>
  <si>
    <t>TSS_residuals</t>
  </si>
  <si>
    <t>Could be lower (annual average 3 changes/hr) in a northern climate</t>
  </si>
  <si>
    <t>Number of manual valves for residuals line</t>
  </si>
  <si>
    <t>total_res_man</t>
  </si>
  <si>
    <t>Full automation includes all inputs and outputs, semi-automated uses inputs only, manual control uses neither</t>
  </si>
  <si>
    <t>Motor/air operated valve</t>
  </si>
  <si>
    <t>valve</t>
  </si>
  <si>
    <t>tot_inst</t>
  </si>
  <si>
    <t>tot_pumps</t>
  </si>
  <si>
    <t>Number of process valves</t>
  </si>
  <si>
    <t>tot_valves</t>
  </si>
  <si>
    <t>Backwash tanks</t>
  </si>
  <si>
    <t>back_tanks</t>
  </si>
  <si>
    <t>Water flush rate (gpm)</t>
  </si>
  <si>
    <t>Bypass pipe flow</t>
  </si>
  <si>
    <t>Bypass pipe diameter</t>
  </si>
  <si>
    <t>bp_pipe_flow</t>
  </si>
  <si>
    <t>bp_pipe_diam</t>
  </si>
  <si>
    <t>bp_pct</t>
  </si>
  <si>
    <t>Bypass Flow Rate (design)</t>
  </si>
  <si>
    <t>bp_flow_rate</t>
  </si>
  <si>
    <t>From Inputs</t>
  </si>
  <si>
    <t>Size of valves for bypass pipe line</t>
  </si>
  <si>
    <t>coag_res</t>
  </si>
  <si>
    <t>&lt;-- 1 for yes, 0 for no</t>
  </si>
  <si>
    <t>For additional TSS removal, if desired</t>
  </si>
  <si>
    <t>coag_dose</t>
  </si>
  <si>
    <t>coag_density</t>
  </si>
  <si>
    <t>coag_spf</t>
  </si>
  <si>
    <t>lbs accumulated per pound added</t>
  </si>
  <si>
    <t>coag_TSSrem</t>
  </si>
  <si>
    <t>hmix_size</t>
  </si>
  <si>
    <t>TSS in treated water</t>
  </si>
  <si>
    <t>effluent_TSS</t>
  </si>
  <si>
    <t>Holding tank annual coagulant accumulation</t>
  </si>
  <si>
    <t>Coagulant Addition</t>
  </si>
  <si>
    <t>hmixers</t>
  </si>
  <si>
    <t>cfm</t>
  </si>
  <si>
    <t>coag_yr</t>
  </si>
  <si>
    <t>Buiding 1 ceiling conductance cooling loss</t>
  </si>
  <si>
    <t>Building 1 air exchange cooling loss</t>
  </si>
  <si>
    <t>Building 2 side conductance cooling loss</t>
  </si>
  <si>
    <t>Buiding 2 ceiling conductance cooling loss</t>
  </si>
  <si>
    <t>Miscellaneous allowance percentage</t>
  </si>
  <si>
    <t>misc_pct</t>
  </si>
  <si>
    <t>Loading rate</t>
  </si>
  <si>
    <t>contactors</t>
  </si>
  <si>
    <t>gpm/ft2</t>
  </si>
  <si>
    <t>Level switch/ alarm to PLC for small systems</t>
  </si>
  <si>
    <t>ep_cells</t>
  </si>
  <si>
    <t>Cell side length</t>
  </si>
  <si>
    <t>ep_cell_side</t>
  </si>
  <si>
    <t>Total excavation volume</t>
  </si>
  <si>
    <t>ep_excavation_vol</t>
  </si>
  <si>
    <t>Total backfill volume</t>
  </si>
  <si>
    <t>ep_backfill_vol</t>
  </si>
  <si>
    <t>Dike volume</t>
  </si>
  <si>
    <t>dike_volume</t>
  </si>
  <si>
    <t>Liner area</t>
  </si>
  <si>
    <t>liner_area</t>
  </si>
  <si>
    <t>Additional freeboard provided above grade by dike</t>
  </si>
  <si>
    <t>cells</t>
  </si>
  <si>
    <t>Assumes liner extends 2 feet up dike side slope</t>
  </si>
  <si>
    <t>Average annual pan evaporation rate</t>
  </si>
  <si>
    <t>pan_evap</t>
  </si>
  <si>
    <t>cm/year</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</si>
  <si>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</si>
  <si>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</si>
  <si>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</si>
  <si>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</si>
  <si>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</si>
  <si>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</si>
  <si>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</si>
  <si>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</si>
  <si>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</si>
  <si>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</si>
  <si>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</si>
  <si>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</si>
  <si>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</si>
  <si>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max_ep_cell_area</t>
  </si>
  <si>
    <t>Minimum number of pond cells</t>
  </si>
  <si>
    <t>min_ep_cells</t>
  </si>
  <si>
    <t>Equivalent pipe length</t>
  </si>
  <si>
    <t>yard_pipe_length</t>
  </si>
  <si>
    <t>Include concrete pad in total capital cost?</t>
  </si>
  <si>
    <t>include_pad</t>
  </si>
  <si>
    <t>res_slurry_pumps</t>
  </si>
  <si>
    <t>res_eductors</t>
  </si>
  <si>
    <t>Borings, drill rig and crew with truck mounted auger</t>
  </si>
  <si>
    <t>Borings, cased borings in earth, w/samples, 2.5" dia</t>
  </si>
  <si>
    <t>Test pits</t>
  </si>
  <si>
    <t>Total geotechnical cost</t>
  </si>
  <si>
    <t>geotech_cost</t>
  </si>
  <si>
    <t>Total sitework cost</t>
  </si>
  <si>
    <t>sitework_cost</t>
  </si>
  <si>
    <t>Actual yard piping diameter</t>
  </si>
  <si>
    <t>yard_pipe_diam</t>
  </si>
  <si>
    <t>Trench depth to top of pipe</t>
  </si>
  <si>
    <t>trench_depth</t>
  </si>
  <si>
    <t>Thrust force</t>
  </si>
  <si>
    <t>thrust_force</t>
  </si>
  <si>
    <t>Bearing Area (L x H)</t>
  </si>
  <si>
    <t>bearing_area</t>
  </si>
  <si>
    <t>L</t>
  </si>
  <si>
    <t>H</t>
  </si>
  <si>
    <t>Building 2</t>
  </si>
  <si>
    <t>Include heating for building 1</t>
  </si>
  <si>
    <t>build1_need_heat</t>
  </si>
  <si>
    <t>&lt;--- enter 1 for yes, 0 for no</t>
  </si>
  <si>
    <t>Include cooling for building 1</t>
  </si>
  <si>
    <t>build1_need_cool</t>
  </si>
  <si>
    <t>Include heating for building 2</t>
  </si>
  <si>
    <t>Number of check valves on backwash line per backwash pump</t>
  </si>
  <si>
    <t>back_chv_pump</t>
  </si>
  <si>
    <t>tot_fm_in</t>
  </si>
  <si>
    <t>Flow meter assemblies include pressure gauges</t>
  </si>
  <si>
    <t>fm_proc</t>
  </si>
  <si>
    <t>Temperature meters</t>
  </si>
  <si>
    <t>temp_meters</t>
  </si>
  <si>
    <t>Head loss sensors per vessel</t>
  </si>
  <si>
    <t>head_tank</t>
  </si>
  <si>
    <t>units/vessel</t>
  </si>
  <si>
    <t>ports_tank</t>
  </si>
  <si>
    <t>ports_bp</t>
  </si>
  <si>
    <t>elec_encl</t>
  </si>
  <si>
    <t>Sampling ports per vessel</t>
  </si>
  <si>
    <t>Number of electrical enclosures</t>
  </si>
  <si>
    <t>System Controls</t>
  </si>
  <si>
    <t>manual_I</t>
  </si>
  <si>
    <t>Legal, Fiscal, and Administrative</t>
  </si>
  <si>
    <t>Sales Tax</t>
  </si>
  <si>
    <t>May be exempt if constructed with public funds.  May be as high as 7.25% of equipment and construction, with national average 4.75%.</t>
  </si>
  <si>
    <t>Financing during Construction</t>
  </si>
  <si>
    <t>Labor</t>
  </si>
  <si>
    <t>/hr</t>
  </si>
  <si>
    <t>hrs/yr</t>
  </si>
  <si>
    <t>Materials</t>
  </si>
  <si>
    <t>Materials for booster pumps</t>
  </si>
  <si>
    <t>calculated as a percentage of capital</t>
  </si>
  <si>
    <t>pump_mtl</t>
  </si>
  <si>
    <t>lbs/yr</t>
  </si>
  <si>
    <t>/lb</t>
  </si>
  <si>
    <t>Energy</t>
  </si>
  <si>
    <t>pump_energy</t>
  </si>
  <si>
    <t>Energy for booster pumps</t>
  </si>
  <si>
    <t>Mwh/yr</t>
  </si>
  <si>
    <t>/kwh</t>
  </si>
  <si>
    <t>comm_height_length</t>
  </si>
  <si>
    <t>comm_diam</t>
  </si>
  <si>
    <t>Maximum vessel diameter</t>
  </si>
  <si>
    <t>Maximum vessel height (circular vessels)</t>
  </si>
  <si>
    <t>Bypass piping length</t>
  </si>
  <si>
    <t>bp_pipe_length</t>
  </si>
  <si>
    <t>Adjust bypass percentage</t>
  </si>
  <si>
    <t>Adjust bed depth constraints</t>
  </si>
  <si>
    <t>Adjust vessel size constraints</t>
  </si>
  <si>
    <t>Adjust loading constraints</t>
  </si>
  <si>
    <t>Residuals Mixers</t>
  </si>
  <si>
    <t>Indirect cost multiplier</t>
  </si>
  <si>
    <t>Total indirect capital cost</t>
  </si>
  <si>
    <t>Total of indirect line items</t>
  </si>
  <si>
    <t>Indirect costs added</t>
  </si>
  <si>
    <t>TOTAL CAPITAL COST DETAILS</t>
  </si>
  <si>
    <t>User adjustable.  Can be used to adjust estimated costs to be more reflective of a specific geographical location</t>
  </si>
  <si>
    <t>Subtotal indirect and add-on cost</t>
  </si>
  <si>
    <t>Total Direct Capital Cost (from above)</t>
  </si>
  <si>
    <t>Total Add-on Cost (from above)</t>
  </si>
  <si>
    <t>Total Indirect Cost (from above)</t>
  </si>
  <si>
    <t>Details</t>
  </si>
  <si>
    <t>Standard Designs</t>
  </si>
  <si>
    <t>System Size</t>
  </si>
  <si>
    <t>Design flow</t>
  </si>
  <si>
    <t>Design Flow Units</t>
  </si>
  <si>
    <t>df_units</t>
  </si>
  <si>
    <t>Footprint for vessels (large system assumptions)</t>
  </si>
  <si>
    <t>Footprint for vessels (skid mounted small system)</t>
  </si>
  <si>
    <t>Space between skid mounted vessels is reduced, outside access space remains the same</t>
  </si>
  <si>
    <t>Building #1 value</t>
  </si>
  <si>
    <t>Building #2 value</t>
  </si>
  <si>
    <t>Building permit cost</t>
  </si>
  <si>
    <t>NPDES permit cost</t>
  </si>
  <si>
    <t>Storm water permit cost</t>
  </si>
  <si>
    <t>Risk management plan</t>
  </si>
  <si>
    <t>NEPA compliance</t>
  </si>
  <si>
    <t>Total permit cost</t>
  </si>
  <si>
    <t>permit_cost</t>
  </si>
  <si>
    <t>Determined using Use? Column of output sheet</t>
  </si>
  <si>
    <t>Included only if direct discharge to surface water is the management option chosen on the input sheet</t>
  </si>
  <si>
    <t>Backwash pumping</t>
  </si>
  <si>
    <t>Backwash storage</t>
  </si>
  <si>
    <t>No backwash pumps</t>
  </si>
  <si>
    <t>&lt;-- 1 = backwash using existing supply or treated water pumps, blank = include backwash pumps in costs</t>
  </si>
  <si>
    <t>No backwash tanks</t>
  </si>
  <si>
    <t>&lt;-- 1 = backwash from existing storage or supply, blank = include backwash tanks in costs</t>
  </si>
  <si>
    <t>no_back_tank_I</t>
  </si>
  <si>
    <t>Leave blank to accept model defaults (systems &lt;1 MGD backwash using existing supply or treated water pumps, other systems add new backwash pumps)</t>
  </si>
  <si>
    <t>Leave blank to accept model defaults (only systems between 1 and 10 MGD require separate backwash tanks)</t>
  </si>
  <si>
    <r>
      <t xml:space="preserve">For information: </t>
    </r>
    <r>
      <rPr>
        <sz val="10"/>
        <color indexed="17"/>
        <rFont val="Arial"/>
        <family val="2"/>
      </rPr>
      <t># of backwash pumps</t>
    </r>
  </si>
  <si>
    <t># of backwash tanks</t>
  </si>
  <si>
    <t>Include architectural fee for small systems?</t>
  </si>
  <si>
    <t>include_arch_small</t>
  </si>
  <si>
    <t>Excluded by default for small systems</t>
  </si>
  <si>
    <t>Include standby power costs for small systems?</t>
  </si>
  <si>
    <t>include_standby_small</t>
  </si>
  <si>
    <t>Calculated based on system requirements.  Excluded by default for small systems.</t>
  </si>
  <si>
    <t>Financing percentage for small systems</t>
  </si>
  <si>
    <t>finance_pct_small</t>
  </si>
  <si>
    <t>Small system construction assumed to take less than one year</t>
  </si>
  <si>
    <t>Include contingency costs for low cost systems?</t>
  </si>
  <si>
    <t>include_conting_low</t>
  </si>
  <si>
    <t>Include contingency costs for medium cost systems?</t>
  </si>
  <si>
    <t>include_conting_medium</t>
  </si>
  <si>
    <t>Include contingency costs for high cost systems?</t>
  </si>
  <si>
    <t>include_conting_high</t>
  </si>
  <si>
    <t>Included for high cost systems only.</t>
  </si>
  <si>
    <t>Mobilization percentage for pre-engineered packages</t>
  </si>
  <si>
    <t>mob_pct_pre</t>
  </si>
  <si>
    <t>Excluded by default for pre-engineered packages</t>
  </si>
  <si>
    <t>For systems using manual media transfer.  Based on 20 cubic yards per day, applied separately to removal and replacement.</t>
  </si>
  <si>
    <t>Managing residual solids</t>
  </si>
  <si>
    <t>Include Air Scour</t>
  </si>
  <si>
    <t>air_scour_I</t>
  </si>
  <si>
    <t>air_scour_vol</t>
  </si>
  <si>
    <t>CFM/square ft</t>
  </si>
  <si>
    <t>tot_air_scour</t>
  </si>
  <si>
    <t>CFM</t>
  </si>
  <si>
    <t>Motor/air operated control valves on residuals line per residuals pump</t>
  </si>
  <si>
    <t>Motor/air operated control valves on residuals line per holding or neutralization tank</t>
  </si>
  <si>
    <t>air_MOV</t>
  </si>
  <si>
    <t>air_man</t>
  </si>
  <si>
    <t>tot_air_MOVs</t>
  </si>
  <si>
    <t>Number of MOVs for air scour</t>
  </si>
  <si>
    <t>Number of manual valves for air scour</t>
  </si>
  <si>
    <t>tot_air_man</t>
  </si>
  <si>
    <t>Size of valves for air scour line</t>
  </si>
  <si>
    <t>air_valve_size</t>
  </si>
  <si>
    <t>Size of valves for contactor pipe line</t>
  </si>
  <si>
    <t>Blowers</t>
  </si>
  <si>
    <t>Design air flow</t>
  </si>
  <si>
    <t>design_air_flow</t>
  </si>
  <si>
    <t>Blower for Air Scour</t>
  </si>
  <si>
    <t>blower_fp</t>
  </si>
  <si>
    <t>Pumps and Blowers</t>
  </si>
  <si>
    <t>pd_blow_eq</t>
  </si>
  <si>
    <t>Pumps &amp; Blowers</t>
  </si>
  <si>
    <t>pp_mov_eq_air</t>
  </si>
  <si>
    <t>ss_mov_eq_air</t>
  </si>
  <si>
    <t>ci_mov_eq_air</t>
  </si>
  <si>
    <t>pp_man_eq_air</t>
  </si>
  <si>
    <t>ss_man_eq_air</t>
  </si>
  <si>
    <t>ci_man_eq_air</t>
  </si>
  <si>
    <t>Managing backwashes</t>
  </si>
  <si>
    <t>Materials for residuals pumps</t>
  </si>
  <si>
    <t>Energy for residuals pumps</t>
  </si>
  <si>
    <t>POTW discharge fees</t>
  </si>
  <si>
    <t>Turbidity meters per vessel</t>
  </si>
  <si>
    <t>turb_tank</t>
  </si>
  <si>
    <t>Additional turbididy meters</t>
  </si>
  <si>
    <t>add_turb</t>
  </si>
  <si>
    <t>Number of check valves on bypass line</t>
  </si>
  <si>
    <t>tot_bp_chv</t>
  </si>
  <si>
    <t>pp_chv_eq_in</t>
  </si>
  <si>
    <t>ss_chv_eq_in</t>
  </si>
  <si>
    <t>ci_chv_eq_in</t>
  </si>
  <si>
    <t>pp_chv_eq_bp</t>
  </si>
  <si>
    <t>ss_chv_eq_bp</t>
  </si>
  <si>
    <t>Flow meters for process line per vessel</t>
  </si>
  <si>
    <t>Flow meters for backwash line</t>
  </si>
  <si>
    <t>At backwash discharge outlet</t>
  </si>
  <si>
    <t>pH meters</t>
  </si>
  <si>
    <t>pH_controls</t>
  </si>
  <si>
    <t>valves/tank or saturator</t>
  </si>
  <si>
    <t>Pressure drop across the fan</t>
  </si>
  <si>
    <t>Fan_pressure_drop</t>
  </si>
  <si>
    <t>lbs/ft2</t>
  </si>
  <si>
    <t>Energy for heating</t>
  </si>
  <si>
    <t>Low</t>
  </si>
  <si>
    <t>Mid</t>
  </si>
  <si>
    <t>High</t>
  </si>
  <si>
    <t>Process - Polypropylene/PVC</t>
  </si>
  <si>
    <t>Process - Stainless Steel</t>
  </si>
  <si>
    <t>Process - Cast Iron</t>
  </si>
  <si>
    <t>Backwash - Polypropylene/PVC</t>
  </si>
  <si>
    <t>Backwash - Stainless Steel</t>
  </si>
  <si>
    <t>I/O Ports needed per….</t>
  </si>
  <si>
    <t>Lookup name</t>
  </si>
  <si>
    <t>Discrete Inputs</t>
  </si>
  <si>
    <t>Discrete Outputs</t>
  </si>
  <si>
    <t>Analog Inputs</t>
  </si>
  <si>
    <t>Electrical Enclosure</t>
  </si>
  <si>
    <t>Average Flow Rate</t>
  </si>
  <si>
    <t>average_flow_rate</t>
  </si>
  <si>
    <t>res_pipe_length</t>
  </si>
  <si>
    <t>ft</t>
  </si>
  <si>
    <t>Land acquisition cost</t>
  </si>
  <si>
    <t>Multiple pump approach eliminates need for redundant pumps.</t>
  </si>
  <si>
    <t>Number of manual valves on process line per vessel</t>
  </si>
  <si>
    <t>proc_man_vessel</t>
  </si>
  <si>
    <t>valve/vessel</t>
  </si>
  <si>
    <t>For filter to waste</t>
  </si>
  <si>
    <t>pp_man_eq_proc</t>
  </si>
  <si>
    <t>ss_man_eq_proc</t>
  </si>
  <si>
    <t>ci_bfv_eq_proc</t>
  </si>
  <si>
    <t>Number of manual valves for process line</t>
  </si>
  <si>
    <t>tot_proc_man</t>
  </si>
  <si>
    <t>Number of check valves on influent line</t>
  </si>
  <si>
    <t>tot_in_chv</t>
  </si>
  <si>
    <t>media_volume</t>
  </si>
  <si>
    <t>Standard efficiency oil furnace</t>
  </si>
  <si>
    <t>Mid-efficiency oil furnace</t>
  </si>
  <si>
    <t>U.S. DOE, Energy Information Administration.</t>
  </si>
  <si>
    <t>Controllers are used only under full automation</t>
  </si>
  <si>
    <t>Void space required for max-sized horizontal vessels:</t>
  </si>
  <si>
    <t>comp_horiz_void_required</t>
  </si>
  <si>
    <t>max media volume</t>
  </si>
  <si>
    <t>comp_horiz_max_media</t>
  </si>
  <si>
    <t>min number of lines, horizontal vessels:</t>
  </si>
  <si>
    <t>min number of lines, horizontal vessels</t>
  </si>
  <si>
    <t>comp_horiz_min_number</t>
  </si>
  <si>
    <t>extra number to test for min cost</t>
  </si>
  <si>
    <t>comp_nlines_extra_search</t>
  </si>
  <si>
    <t>target number of lines</t>
  </si>
  <si>
    <t>comp_in_nlines</t>
  </si>
  <si>
    <t>Inputs</t>
  </si>
  <si>
    <t>for all vessels</t>
  </si>
  <si>
    <t>vessel geometry</t>
  </si>
  <si>
    <t>comp_tank_geom</t>
  </si>
  <si>
    <t>dimensions for vertical vessels</t>
  </si>
  <si>
    <t>target diameter</t>
  </si>
  <si>
    <t>comp_vert_diam</t>
  </si>
  <si>
    <t>available surface area, one vessel</t>
  </si>
  <si>
    <t>available surface area, all vessels</t>
  </si>
  <si>
    <t>bed depth</t>
  </si>
  <si>
    <t>comp_vert_bed_depth</t>
  </si>
  <si>
    <t>target height</t>
  </si>
  <si>
    <t>comp_vert_height</t>
  </si>
  <si>
    <t>dimensions for horizontal vessels</t>
  </si>
  <si>
    <t>assumed void volume per length</t>
  </si>
  <si>
    <t>comp_horiz_void_area</t>
  </si>
  <si>
    <t>target bed depth after expansion</t>
  </si>
  <si>
    <t>comp_horiz_expanded_bd</t>
  </si>
  <si>
    <t>comp_horiz_diam</t>
  </si>
  <si>
    <t>old target diameter</t>
  </si>
  <si>
    <t>target length</t>
  </si>
  <si>
    <t>comp_horiz_length</t>
  </si>
  <si>
    <t>comp_horiz_bed_depth</t>
  </si>
  <si>
    <t>bed depth for chosen geometry</t>
  </si>
  <si>
    <t>comp_bed_depth</t>
  </si>
  <si>
    <t>Constraints</t>
  </si>
  <si>
    <t xml:space="preserve"> - vessel surface area</t>
  </si>
  <si>
    <t>min</t>
  </si>
  <si>
    <t>comp_min_sa_vessel</t>
  </si>
  <si>
    <t>max</t>
  </si>
  <si>
    <t>comp_max_sa_vessel</t>
  </si>
  <si>
    <t xml:space="preserve"> - vertical vessel height</t>
  </si>
  <si>
    <t>comp_min_vert_height</t>
  </si>
  <si>
    <t>comp_max_vert_height</t>
  </si>
  <si>
    <t xml:space="preserve"> - vertical vessel diameter</t>
  </si>
  <si>
    <t>comp_min_vert_diam</t>
  </si>
  <si>
    <t>comp_max_vert_diam</t>
  </si>
  <si>
    <t xml:space="preserve"> - vertical bed depth</t>
  </si>
  <si>
    <t>comp_min_vert_bed_depth</t>
  </si>
  <si>
    <t>Bedding cross sectional surface area</t>
  </si>
  <si>
    <t>Bedding volume</t>
  </si>
  <si>
    <t>bedding_vol</t>
  </si>
  <si>
    <t>Bedding cost</t>
  </si>
  <si>
    <t>Excavation cost</t>
  </si>
  <si>
    <t>Backfill cost</t>
  </si>
  <si>
    <t>Thrust block cost</t>
  </si>
  <si>
    <t>Pipe cost</t>
  </si>
  <si>
    <t>Total yard piping cost</t>
  </si>
  <si>
    <t>fire_buffer</t>
  </si>
  <si>
    <t>no_backwash</t>
  </si>
  <si>
    <t>Number of eductors</t>
  </si>
  <si>
    <t>tons</t>
  </si>
  <si>
    <t>comp_min_horiz_bed_depth</t>
  </si>
  <si>
    <t>comp_max_horiz_bed_depth</t>
  </si>
  <si>
    <t>Results</t>
  </si>
  <si>
    <t>Success?</t>
  </si>
  <si>
    <t>comp_out_success</t>
  </si>
  <si>
    <t>ft^3</t>
  </si>
  <si>
    <t>ft^2</t>
  </si>
  <si>
    <t>volume of media in first-stage vessels</t>
  </si>
  <si>
    <t>&lt;--Enter 1 to design for rounding on vessel design sheet, 0 otherwise</t>
  </si>
  <si>
    <t>to reach maximum loading rate</t>
  </si>
  <si>
    <t>to reach minimum loading rate</t>
  </si>
  <si>
    <t>volume of media in all vessels</t>
  </si>
  <si>
    <t>based on guidance and CDAs for max dimensions</t>
  </si>
  <si>
    <t>based on max_diam CDA</t>
  </si>
  <si>
    <t>based on target_load CDA</t>
  </si>
  <si>
    <t>based upon  media volume and bed depth</t>
  </si>
  <si>
    <t>below this number of lines, we are constrained to horizontal vessels</t>
  </si>
  <si>
    <t>strictest of the above minima</t>
  </si>
  <si>
    <t>max pressure vessel volume in cl.xls</t>
  </si>
  <si>
    <t>Fully Auto</t>
  </si>
  <si>
    <t xml:space="preserve">Number of MOVs on process line per vessel </t>
  </si>
  <si>
    <t>component_level_I</t>
  </si>
  <si>
    <t>Number of MOVs for bypass line</t>
  </si>
  <si>
    <t>Total number of MOVs</t>
  </si>
  <si>
    <t>tot_MOVs</t>
  </si>
  <si>
    <t xml:space="preserve">Number of manual valves on process line per vessel </t>
  </si>
  <si>
    <t>proc_man_vessel_cont</t>
  </si>
  <si>
    <t>Number of manual valves for backwash line</t>
  </si>
  <si>
    <t>tot_back_man</t>
  </si>
  <si>
    <t>Number of manual valves for bypass line</t>
  </si>
  <si>
    <t>Pumping</t>
  </si>
  <si>
    <t>Head loss sensors</t>
  </si>
  <si>
    <t>Carbon Steel</t>
  </si>
  <si>
    <t>PLC racks/power supplies</t>
  </si>
  <si>
    <t>Operator interface units</t>
  </si>
  <si>
    <t>PC Workstations</t>
  </si>
  <si>
    <t>Printers - laser jet</t>
  </si>
  <si>
    <t>Plant intelligence software</t>
  </si>
  <si>
    <t>Land Cost</t>
  </si>
  <si>
    <t>Air conditioning</t>
  </si>
  <si>
    <t>Heat pump (cooling mode)</t>
  </si>
  <si>
    <t>Electric resistance</t>
  </si>
  <si>
    <t>Heat pump</t>
  </si>
  <si>
    <t>Natural gas non-condensing furnace</t>
  </si>
  <si>
    <t>therms/yr</t>
  </si>
  <si>
    <t>/therm</t>
  </si>
  <si>
    <t>Natural gas condensing furnace</t>
  </si>
  <si>
    <t>gal/yr</t>
  </si>
  <si>
    <t>/gal</t>
  </si>
  <si>
    <t>Polypropylene/PVC - Bypass</t>
  </si>
  <si>
    <t>Stainless Steel - Bypass</t>
  </si>
  <si>
    <t>Valves and Instrumentation</t>
  </si>
  <si>
    <t>proc_MOV_vessel</t>
  </si>
  <si>
    <t>valves/vessel</t>
  </si>
  <si>
    <t>Number of motor/air operated control valves on process line per booster pump</t>
  </si>
  <si>
    <t>proc_MOV_pump</t>
  </si>
  <si>
    <t>valves/pump</t>
  </si>
  <si>
    <t>The largest size for which costs are available.</t>
  </si>
  <si>
    <t>max_chem_tank_size</t>
  </si>
  <si>
    <t>Exact building footprint required</t>
  </si>
  <si>
    <t>fp_required</t>
  </si>
  <si>
    <t>Mobilization and Demobilization</t>
  </si>
  <si>
    <t>Architectural Fees for Treatment Building</t>
  </si>
  <si>
    <t>Instrumentation</t>
  </si>
  <si>
    <t>Building 1</t>
  </si>
  <si>
    <t>EBCT</t>
  </si>
  <si>
    <t>EBCT per vessel</t>
  </si>
  <si>
    <t>EBCT_tank</t>
  </si>
  <si>
    <t>minute</t>
  </si>
  <si>
    <t>Input Parameters</t>
  </si>
  <si>
    <t>design flow rate</t>
  </si>
  <si>
    <t>EBCT per line</t>
  </si>
  <si>
    <t>Total Vessel Media Volume</t>
  </si>
  <si>
    <t>comp_vol_required_stg1</t>
  </si>
  <si>
    <t>Round surface area?</t>
  </si>
  <si>
    <t>comp_round_sa</t>
  </si>
  <si>
    <t>minimum surface area</t>
  </si>
  <si>
    <t>comp_sa_min</t>
  </si>
  <si>
    <t>maximum surface area</t>
  </si>
  <si>
    <t>comp_sa_max</t>
  </si>
  <si>
    <t>required dry volume</t>
  </si>
  <si>
    <t>comp_vol_required</t>
  </si>
  <si>
    <t>Vertical design search</t>
  </si>
  <si>
    <t>max media volume, vertical vessel</t>
  </si>
  <si>
    <t>comp_vert_max_media</t>
  </si>
  <si>
    <t>max surface area, vertical vessel</t>
  </si>
  <si>
    <t>comp_vert_max_sa</t>
  </si>
  <si>
    <t>target bed depth</t>
  </si>
  <si>
    <t>comp_target_bed_depth_vert</t>
  </si>
  <si>
    <t>total vessel surface area</t>
  </si>
  <si>
    <t>comp_sa_required_vert</t>
  </si>
  <si>
    <t>min number of lines, vertical vessels:</t>
  </si>
  <si>
    <t>based on surface area from max load</t>
  </si>
  <si>
    <t>based on surface area from bed depth</t>
  </si>
  <si>
    <t>based on media volume</t>
  </si>
  <si>
    <t>min number of lines</t>
  </si>
  <si>
    <t>comp_vert_min_number</t>
  </si>
  <si>
    <t>Horizontal design search</t>
  </si>
  <si>
    <t>max total vessel volume</t>
  </si>
  <si>
    <t>comp_max_vol</t>
  </si>
  <si>
    <t>for internals costing</t>
  </si>
  <si>
    <t>Adjust width constraints</t>
  </si>
  <si>
    <t>Adjust length constraints</t>
  </si>
  <si>
    <t>Design Type</t>
  </si>
  <si>
    <t>If a system uses gas or diesel heat, heating will not be included, regardless of this assumption.</t>
  </si>
  <si>
    <t>Include cooling in standby power</t>
  </si>
  <si>
    <t>need_cool</t>
  </si>
  <si>
    <t>If both heating and cooling are included, standby power requirements will be based on the maximum of the two.</t>
  </si>
  <si>
    <t>add_res_pipe_length</t>
  </si>
  <si>
    <t>Number of check valves on residuals line per residuals pump</t>
  </si>
  <si>
    <t>res_chv_pump</t>
  </si>
  <si>
    <t>Number of check valves on residuals line if no pumping</t>
  </si>
  <si>
    <t>res_chv_no_pump</t>
  </si>
  <si>
    <t>S_res_pump</t>
  </si>
  <si>
    <t>Flow meters for residuals line</t>
  </si>
  <si>
    <t>tot_fm_res</t>
  </si>
  <si>
    <t>High/Low alarms per holding tank</t>
  </si>
  <si>
    <t>alarm_res</t>
  </si>
  <si>
    <t>units/tank</t>
  </si>
  <si>
    <t>POTW rate structure</t>
  </si>
  <si>
    <t>POTW_rate_type</t>
  </si>
  <si>
    <t>&lt;-- for national average rate, 2 for a specific rate structure</t>
  </si>
  <si>
    <t>Apply POTW discharge base charge (i.e., $/month)</t>
  </si>
  <si>
    <t>POTW_base_fee</t>
  </si>
  <si>
    <t>&lt;-- 1 for yes, 2 for no</t>
  </si>
  <si>
    <t>Apply POTW discharge volume charge (i.e., $/1000 gallons)</t>
  </si>
  <si>
    <t>POTW_volume_fee</t>
  </si>
  <si>
    <t>ORP sensor</t>
  </si>
  <si>
    <t>ORP_sensor</t>
  </si>
  <si>
    <t>vessel diameter at max volume</t>
  </si>
  <si>
    <t>vessel length at max volume</t>
  </si>
  <si>
    <t>comp_max_vol_length</t>
  </si>
  <si>
    <t>max vessel surface area</t>
  </si>
  <si>
    <t>comp_max_horiz_sa</t>
  </si>
  <si>
    <t>hr/week/basin</t>
  </si>
  <si>
    <t>Gravity systems only</t>
  </si>
  <si>
    <t>Maintenance Materials</t>
  </si>
  <si>
    <t>Booster pump material cost</t>
  </si>
  <si>
    <t>filter_materials</t>
  </si>
  <si>
    <t>Number of process instruments for operation</t>
  </si>
  <si>
    <t>Total number of instruments for maintenance</t>
  </si>
  <si>
    <t>tot_inst_maint</t>
  </si>
  <si>
    <t>Number of pumps for operation</t>
  </si>
  <si>
    <t>Total number of pumps for maintenance</t>
  </si>
  <si>
    <t>tot_pumps_maint</t>
  </si>
  <si>
    <t>Backwash pump material cost</t>
  </si>
  <si>
    <t>back_pump_mtl</t>
  </si>
  <si>
    <t>Explicitly included when backwash frequency is high</t>
  </si>
  <si>
    <t>blower_mtl</t>
  </si>
  <si>
    <t>Blower material cost</t>
  </si>
  <si>
    <t>Explicitly included when backwash frequency is high and air scour is used</t>
  </si>
  <si>
    <t>Instruments requiring daily observation</t>
  </si>
  <si>
    <t>All instruments for preventative maintenance</t>
  </si>
  <si>
    <t>Pumps requiring daily observation/adjustment</t>
  </si>
  <si>
    <t>Large, frequently operated pumps require preventative maintenance</t>
  </si>
  <si>
    <t>Number of chemical supplies</t>
  </si>
  <si>
    <t>tot_chem</t>
  </si>
  <si>
    <t>Record system operating parameters (includes routine sampling)</t>
  </si>
  <si>
    <t>Chemical metering pump rating</t>
  </si>
  <si>
    <t>gph</t>
  </si>
  <si>
    <t>Maximum chemical metering pump size</t>
  </si>
  <si>
    <t>max_cm_pump_size</t>
  </si>
  <si>
    <t>Polymers</t>
  </si>
  <si>
    <t>Internals (Underdrain/Backwash System)</t>
  </si>
  <si>
    <t>Internals (1st cell underdrain)</t>
  </si>
  <si>
    <t>Internals (add cell underdrain)</t>
  </si>
  <si>
    <t>Internals (backwash dist)</t>
  </si>
  <si>
    <t>Internals (total)</t>
  </si>
  <si>
    <t>cont_int_eq</t>
  </si>
  <si>
    <t>cont_bot_eq</t>
  </si>
  <si>
    <t>cont_bot_add_eq</t>
  </si>
  <si>
    <t>cont_top_eq</t>
  </si>
  <si>
    <t>gac_eq</t>
  </si>
  <si>
    <t>O&amp;M Media</t>
  </si>
  <si>
    <t>GAC annual attrition replacement - Filter</t>
  </si>
  <si>
    <t>replace_GAC_eq</t>
  </si>
  <si>
    <t>replace_filter_GAC_eq</t>
  </si>
  <si>
    <t>filt_int_eq</t>
  </si>
  <si>
    <t>ss_pv_eq_filt</t>
  </si>
  <si>
    <t>cs_pv_eq_filt</t>
  </si>
  <si>
    <t>csp_pv_eq_filt</t>
  </si>
  <si>
    <t>fg_pv_eq_filt</t>
  </si>
  <si>
    <t>filt_gac_eq</t>
  </si>
  <si>
    <t>existing pumps</t>
  </si>
  <si>
    <t>backwash_pump_valid</t>
  </si>
  <si>
    <t>new pumps</t>
  </si>
  <si>
    <t>backwash_storage_valid</t>
  </si>
  <si>
    <t>existing storage</t>
  </si>
  <si>
    <t>new storage</t>
  </si>
  <si>
    <t>comp_level_valid</t>
  </si>
  <si>
    <t>system_automation_valid</t>
  </si>
  <si>
    <t>semi-automated</t>
  </si>
  <si>
    <t>ss_e_donor_st_eq</t>
  </si>
  <si>
    <t>ss_cst_eq</t>
  </si>
  <si>
    <t>ss_NH4Cl_st_eq</t>
  </si>
  <si>
    <t>ss_H2O2_st_eq</t>
  </si>
  <si>
    <t>ss_e_donor_day_eq</t>
  </si>
  <si>
    <t>ss_NH4Cl_day_eq</t>
  </si>
  <si>
    <t>ss_H2O2_day_eq</t>
  </si>
  <si>
    <t>ss_polymer_st_eq</t>
  </si>
  <si>
    <t>The largest size for which costs are available (including plastic, fiberglass, and stainless)</t>
  </si>
  <si>
    <t>max_chem_tank_size_H2O2</t>
  </si>
  <si>
    <t>The largest size for which costs are available (not including fiberglass, which is not compatible with H2O2)</t>
  </si>
  <si>
    <t>max_chem_tank_size_noSS</t>
  </si>
  <si>
    <t>Maximum access space per vessel or tank for custom designed systems</t>
  </si>
  <si>
    <t>max_space_vessels_cust</t>
  </si>
  <si>
    <t>Maximum access space per vessel or tank for pre-engineered systems</t>
  </si>
  <si>
    <t>max_space_vessels_pre</t>
  </si>
  <si>
    <t>Pre-engineered packages are skid-mounted with minimal access space</t>
  </si>
  <si>
    <t>Acetic acid storage</t>
  </si>
  <si>
    <t>acetic_store</t>
  </si>
  <si>
    <t>Ethanol storage</t>
  </si>
  <si>
    <t>ethanol_store</t>
  </si>
  <si>
    <t>Ammonium Chloride storage in pounds</t>
  </si>
  <si>
    <t>NH4Cl_store_lbs</t>
  </si>
  <si>
    <t>Phosphoric Acid storage in pounds</t>
  </si>
  <si>
    <t>H3PO4_store_lbs</t>
  </si>
  <si>
    <t>H2O2 storage in lbs</t>
  </si>
  <si>
    <t>H2O2_store_lbs</t>
  </si>
  <si>
    <t>STEP 3</t>
  </si>
  <si>
    <t>STEP 4:</t>
  </si>
  <si>
    <t>Target Contaminant</t>
  </si>
  <si>
    <t>contam</t>
  </si>
  <si>
    <t>Select Target Contaminant</t>
  </si>
  <si>
    <t>Nitrate</t>
  </si>
  <si>
    <t>Other</t>
  </si>
  <si>
    <t>Contaminant Selection</t>
  </si>
  <si>
    <t>no additional nutrients required</t>
  </si>
  <si>
    <t>nutrient_valid</t>
  </si>
  <si>
    <t>Guidance: Perchlorate &amp; nitrate reducing bacteria require nutrients to thrive. Source waters typically have sufficient nitrogen but insufficient phosphorus.  Source water sampling and pilot studies should be used to determine if additional nutrients are necessary.</t>
  </si>
  <si>
    <t>Online Nitrate Analyzers (nitrate treatment only)</t>
  </si>
  <si>
    <t>Online Perchlorate/Nitrate Analyzers (perchlorate treatment)</t>
  </si>
  <si>
    <t>N_analyzer</t>
  </si>
  <si>
    <t>Total nitrate analyzers</t>
  </si>
  <si>
    <t>tot_N_analyzer</t>
  </si>
  <si>
    <t>Perchlorate/nitrate analyzer</t>
  </si>
  <si>
    <t>Nitrate analyzer</t>
  </si>
  <si>
    <t>nitrate</t>
  </si>
  <si>
    <t>Nitrate Analyzer</t>
  </si>
  <si>
    <t>Guidance: Electron donor dose and biomass accumilation is dependent on raw water conditions, and should be determined based upon pilot study.  Perchlorate treatment occurs after the removal of dissolved oxygen and nitrate. Doses typically increase as raw water temperature decreases, temperatures below 10 degrees Celsius are not considered suitable for biotreatment. Excess dose may result in formation of sulfides.</t>
  </si>
  <si>
    <t>Perchlorate</t>
  </si>
  <si>
    <t>&lt;-- 1 for perchlorate, 2 for nitrate, 3 for other</t>
  </si>
  <si>
    <t>Design Indices</t>
  </si>
  <si>
    <t>Gravity Polishing Filter</t>
  </si>
  <si>
    <t>Pressure Polishing Filter</t>
  </si>
  <si>
    <t>Number of Booster Pumps</t>
  </si>
  <si>
    <t>Number of Redundant Units</t>
  </si>
  <si>
    <t>Contaminant and design type</t>
  </si>
  <si>
    <t>Perchlorate, fixed bed pressure</t>
  </si>
  <si>
    <t>Perchlorate, fixed bed gravity</t>
  </si>
  <si>
    <t>Perchlorate, fluidized bed</t>
  </si>
  <si>
    <t>Nitrate, fixed bed pressure</t>
  </si>
  <si>
    <t>Nitrate, fixed bed gravity</t>
  </si>
  <si>
    <t>Nitrate, fluidized bed</t>
  </si>
  <si>
    <t>Other, fixed bed pressure</t>
  </si>
  <si>
    <t>Other, fixed bed gravity</t>
  </si>
  <si>
    <t>Other, fluidized bed</t>
  </si>
  <si>
    <t>BIOTREATMENT SYSTEM DESIGN AND COST INPUT</t>
  </si>
  <si>
    <t>Users may change any of the cells in the Value column; cells in gold are most important and may vary based on contaminant treated and site-specific conditions</t>
  </si>
  <si>
    <t>I/O Port Table</t>
  </si>
  <si>
    <t>See the I/O Port Table at the bottom of this page for additional assumptions relating to system controls</t>
  </si>
  <si>
    <t>See the Valve Table at the bottom of this page for additional assumptions relating to valves</t>
  </si>
  <si>
    <t>Default O&amp;M Assumptions</t>
  </si>
  <si>
    <t>Users may change any of the cells in the Value column</t>
  </si>
  <si>
    <t>Default Assumptions for Indirect and Add-On Costs</t>
  </si>
  <si>
    <t>Calculation</t>
  </si>
  <si>
    <t>Bioreactor Constraint Calculations</t>
  </si>
  <si>
    <t>Chemical Use Calculations</t>
  </si>
  <si>
    <t>Additional Nutrients?</t>
  </si>
  <si>
    <t>Post-Treatment Calculations</t>
  </si>
  <si>
    <t>Pumps, Piping, and Structure Calculations</t>
  </si>
  <si>
    <t>Pump and Blower Design</t>
  </si>
  <si>
    <t>Instrumentation and Control Calculations</t>
  </si>
  <si>
    <t>Residuals Management Calculations</t>
  </si>
  <si>
    <t>Operation and Maintenance Calculations</t>
  </si>
  <si>
    <t>Building Heating, Ventilating, and Air Conditioning Calculations</t>
  </si>
  <si>
    <t>Indirect and Add-on Cost Calculations</t>
  </si>
  <si>
    <t>Lookup Tables and Input Validation</t>
  </si>
  <si>
    <t>This sheet is used internally to perform certain reference calculations and support input sheet data validation</t>
  </si>
  <si>
    <t>Autosize</t>
  </si>
  <si>
    <t xml:space="preserve">This sheet is used internally by the Auto Size macro to iteratively select the lowest capital cost design meeting engineering constraints. </t>
  </si>
  <si>
    <t>This sheet is used only if the Auto Size button is clicked.  Advanced users may adjust the automated sizing procedure following the guidance below.</t>
  </si>
  <si>
    <t>Cost Equations</t>
  </si>
  <si>
    <t>This sheet is used internally to calculate component costs using the cost equations method; see model documentation for more details on the development of cost equations</t>
  </si>
  <si>
    <t>Component</t>
  </si>
  <si>
    <t>Building Lighting</t>
  </si>
  <si>
    <r>
      <t xml:space="preserve">For information: </t>
    </r>
    <r>
      <rPr>
        <sz val="10"/>
        <color indexed="17"/>
        <rFont val="Arial"/>
        <family val="2"/>
      </rPr>
      <t>Component level</t>
    </r>
  </si>
  <si>
    <t>Automation</t>
  </si>
  <si>
    <t>Polymer storage in pounds</t>
  </si>
  <si>
    <t>polymer_storage_lbs</t>
  </si>
  <si>
    <t>Typically, bypass flow ranges between 0% and 50% of inflow. Enter zero to remove bypass piping and components. 0% is default consistent with the type of cost curves that EPA will need for its national cost simulation model.</t>
  </si>
  <si>
    <t>Power lost: booster pumps</t>
  </si>
  <si>
    <t>Waste heat: booster pumps</t>
  </si>
  <si>
    <t>Power lost: recycle pumps</t>
  </si>
  <si>
    <t>Waste heat: recycle pumps</t>
  </si>
  <si>
    <t>eloss_pumps</t>
  </si>
  <si>
    <t>waste_heat_pumps</t>
  </si>
  <si>
    <t>eloss_recycle_pumps</t>
  </si>
  <si>
    <t>waste_heat_recycle_pumps</t>
  </si>
  <si>
    <t>Power lost: backwash pumps</t>
  </si>
  <si>
    <t>eloss_bw_pumps</t>
  </si>
  <si>
    <t>Waste heat: backwash pumps</t>
  </si>
  <si>
    <t>waste_heat_bw_pumps</t>
  </si>
  <si>
    <t>back_pump_op_hours</t>
  </si>
  <si>
    <t>waste_heat_blowers</t>
  </si>
  <si>
    <t>eloss_blowers</t>
  </si>
  <si>
    <t>If total footprint is large, a second building is used for pumps, blowers, backwash, and chemical storage</t>
  </si>
  <si>
    <t>Energy for recycle pumps</t>
  </si>
  <si>
    <t>Energy for blowers</t>
  </si>
  <si>
    <t>Energy per biomass removal blower</t>
  </si>
  <si>
    <t>Energy for all biomass removal blowers</t>
  </si>
  <si>
    <t>Biomass removal blower operating pressure (fluidized design)</t>
  </si>
  <si>
    <t>Additional blower head above water level</t>
  </si>
  <si>
    <t>bio_blower_head</t>
  </si>
  <si>
    <t>bio_blower_hp</t>
  </si>
  <si>
    <t>bio_blower_energy</t>
  </si>
  <si>
    <t>Air scour blower operating pressure (backwash)</t>
  </si>
  <si>
    <t>scour_blower_head</t>
  </si>
  <si>
    <t>Energy for all air scour blowers</t>
  </si>
  <si>
    <t>scour_blower_hp</t>
  </si>
  <si>
    <t>scour_blower_energy</t>
  </si>
  <si>
    <t>Air scour volume</t>
  </si>
  <si>
    <t>Air scour time</t>
  </si>
  <si>
    <t>air_scour_time</t>
  </si>
  <si>
    <t>scour_blower_op_hours</t>
  </si>
  <si>
    <t>Air scour operating time</t>
  </si>
  <si>
    <t>Energy per aeration blower</t>
  </si>
  <si>
    <t>Energy for all aeration blowers</t>
  </si>
  <si>
    <t>Power lost: biomass removal and aeration blowers</t>
  </si>
  <si>
    <t>Waste heat: biomass removal and aeration blowers</t>
  </si>
  <si>
    <t>Power lost: air scour blowers</t>
  </si>
  <si>
    <t>Waste heat: air scour blowers</t>
  </si>
  <si>
    <t>eloss_scour_blowers</t>
  </si>
  <si>
    <t>waste_heat_scour_blowers</t>
  </si>
  <si>
    <t>Total biomass removal blower operating horsepower</t>
  </si>
  <si>
    <t>Total aeration blower operating horsepower</t>
  </si>
  <si>
    <t>Total air scour blower operating horsepower</t>
  </si>
  <si>
    <t>pump_hp</t>
  </si>
  <si>
    <t>recycle_pump_hp</t>
  </si>
  <si>
    <t>back_pump_hp</t>
  </si>
  <si>
    <t>Plastic/XLPE</t>
  </si>
  <si>
    <t>Plastic/XLPE Tanks</t>
  </si>
  <si>
    <t>Maximum static mixer size available</t>
  </si>
  <si>
    <t>mixer_size_max</t>
  </si>
  <si>
    <t>Transportation unit cost</t>
  </si>
  <si>
    <t>Transportation minimum charge per shipment</t>
  </si>
  <si>
    <t>Transportation mileage</t>
  </si>
  <si>
    <t>$/ton-mile</t>
  </si>
  <si>
    <t>$/shipment</t>
  </si>
  <si>
    <t>Parameter</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</si>
  <si>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</si>
  <si>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Priority selection</t>
  </si>
  <si>
    <t>Design Quanitity</t>
  </si>
  <si>
    <t>Design Size</t>
  </si>
  <si>
    <t>Full Line Item Name</t>
  </si>
  <si>
    <t>Total of direct line items above:</t>
  </si>
  <si>
    <t>Direct cost category</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</si>
  <si>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</si>
  <si>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</si>
  <si>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</si>
  <si>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</si>
  <si>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Indirect Line Item</t>
  </si>
  <si>
    <t>Percent</t>
  </si>
  <si>
    <t>Capital Cost Category</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</si>
  <si>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</si>
  <si>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</si>
  <si>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Required only for technologies with significant electric-powered equipment outside a building</t>
  </si>
  <si>
    <t>Plastic</t>
  </si>
  <si>
    <t>Plastic Tanks</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</si>
  <si>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</si>
  <si>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</si>
  <si>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</si>
  <si>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Biomass Control Calculations</t>
  </si>
  <si>
    <t xml:space="preserve">Clack Corporation information bulletin
</t>
  </si>
  <si>
    <t>Based on system size and component level (see cell comment), unless user overrides on input sheet</t>
  </si>
  <si>
    <t>1 = fully manual system, 2 = semi-automated system, 3 = fully automated system.</t>
  </si>
  <si>
    <t>4.8.5</t>
  </si>
  <si>
    <t>Internal Use</t>
  </si>
  <si>
    <t>sol_disposal_shipments</t>
  </si>
  <si>
    <t>sol_disposal_miles</t>
  </si>
  <si>
    <t>as P</t>
  </si>
  <si>
    <t>Ratio of molar mass of P and H3PO4 (30.9738/98.2134) converts percent as H3PO4 to percent as P</t>
  </si>
  <si>
    <t>Phosphoric Acid solution strength</t>
  </si>
  <si>
    <t>H3PO4_strength</t>
  </si>
  <si>
    <t xml:space="preserve">3.7854 converts liters to gallons; 0.000002204 converts milligrams to pounds; 1000000 converts MGD to gallons per day; </t>
  </si>
  <si>
    <t>lb_P_day</t>
  </si>
  <si>
    <t>Specific gravity of 1.049 for 100% acetic acid translates to 1.009 for 20% acetic acid</t>
  </si>
  <si>
    <t>Acetic Acid solution strength</t>
  </si>
  <si>
    <t>CH3NOOH_strength</t>
  </si>
  <si>
    <t>as acetic acid</t>
  </si>
  <si>
    <t>Electron donor needed per day as 100% donor (design flow)</t>
  </si>
  <si>
    <t>e_donor_day_100pct</t>
  </si>
  <si>
    <t>Electron donor solution needed per day</t>
  </si>
  <si>
    <t>Electron donor volume per day</t>
  </si>
  <si>
    <t>Pounds of phosphorus needed per day (design flow)</t>
  </si>
  <si>
    <r>
      <t>Caa = 2.248 O</t>
    </r>
    <r>
      <rPr>
        <b/>
        <i/>
        <sz val="10"/>
        <color indexed="17"/>
        <rFont val="Arial"/>
        <family val="2"/>
      </rPr>
      <t>2</t>
    </r>
    <r>
      <rPr>
        <b/>
        <sz val="10"/>
        <color indexed="17"/>
        <rFont val="Arial"/>
        <family val="2"/>
      </rPr>
      <t xml:space="preserve"> + 0.515 NO3-N + 1.447 ClO4- (Batista peer review comments)</t>
    </r>
  </si>
  <si>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</si>
  <si>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</si>
  <si>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</si>
  <si>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</si>
  <si>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</si>
  <si>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</si>
  <si>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acetic_purchase</t>
  </si>
  <si>
    <t>Acetic Acid Purchasing</t>
  </si>
  <si>
    <t>Ethanol Purchasing</t>
  </si>
  <si>
    <t>ethanol_purchase</t>
  </si>
  <si>
    <t>NH4Cl_purchase</t>
  </si>
  <si>
    <t>Ammonium Chloride Purchasing</t>
  </si>
  <si>
    <t>Phosphoric Acid Purchasing</t>
  </si>
  <si>
    <t>H3PO4_purchase</t>
  </si>
  <si>
    <t>coag_purchase</t>
  </si>
  <si>
    <t>polymer_purchase</t>
  </si>
  <si>
    <t>Polymers Purchasing</t>
  </si>
  <si>
    <t>H2O2_purchase</t>
  </si>
  <si>
    <t>Hydrogen Peroxide Purchasing</t>
  </si>
  <si>
    <t>11.1.1</t>
  </si>
  <si>
    <t>11.1.2</t>
  </si>
  <si>
    <t>11.1.2.1</t>
  </si>
  <si>
    <t>11.1.3</t>
  </si>
  <si>
    <t>11.1.3.1</t>
  </si>
  <si>
    <t>11.2.1</t>
  </si>
  <si>
    <t>11.2.2</t>
  </si>
  <si>
    <t>11.2.2.1</t>
  </si>
  <si>
    <t>11.2.3</t>
  </si>
  <si>
    <t>11.2.3.1</t>
  </si>
  <si>
    <t>12.2</t>
  </si>
  <si>
    <t>Footprint for gravity basins</t>
  </si>
  <si>
    <t>basin_fp</t>
  </si>
  <si>
    <t>The largest size for which costs are available excluding stainless, which is not compatible with phosphoric acid</t>
  </si>
  <si>
    <t>Maximum chemical metering pump size excluding stainless steel</t>
  </si>
  <si>
    <t>max_cm_pump_size_noSS</t>
  </si>
  <si>
    <t>TDB_link</t>
  </si>
  <si>
    <t>Installation, Transportation, and O&amp;P</t>
  </si>
  <si>
    <t>7.10</t>
  </si>
  <si>
    <t>7.10.1</t>
  </si>
  <si>
    <t>pl_in_mix_eq</t>
  </si>
  <si>
    <t>Days of chemical storage for H2O2</t>
  </si>
  <si>
    <t>Chemical Storage</t>
  </si>
  <si>
    <t>Electron Donor/Nutrient Properties</t>
  </si>
  <si>
    <t>Days of chemical storage for all other chemicals</t>
  </si>
  <si>
    <t>Minimum chemical tank mixer horsepower</t>
  </si>
  <si>
    <t>min_cmix_hp</t>
  </si>
  <si>
    <t>min_mix_hp</t>
  </si>
  <si>
    <t>Minimum coagulant tank mixer horsepower</t>
  </si>
  <si>
    <t>min_hmix_hp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</si>
  <si>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</si>
  <si>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</si>
  <si>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</si>
  <si>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</si>
  <si>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</si>
  <si>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</si>
  <si>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</si>
  <si>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t>Annualized Capital Cost</t>
  </si>
  <si>
    <t>Total Annualized Cost</t>
  </si>
  <si>
    <t>Annual O&amp;M Cost (per year)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</si>
  <si>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</si>
  <si>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</si>
  <si>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</si>
  <si>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</si>
  <si>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</si>
  <si>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</si>
  <si>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</si>
  <si>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</si>
  <si>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</si>
  <si>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</si>
  <si>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</si>
  <si>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</si>
  <si>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</si>
  <si>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</si>
  <si>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</si>
  <si>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</si>
  <si>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</si>
  <si>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Footprint available</t>
  </si>
  <si>
    <t>Curb height required</t>
  </si>
  <si>
    <t>Curb thickness</t>
  </si>
  <si>
    <t>Curb length (long side)</t>
  </si>
  <si>
    <t>Curb length (short side)</t>
  </si>
  <si>
    <t>Curb concrete volume</t>
  </si>
  <si>
    <t>Chemical resistant coating required</t>
  </si>
  <si>
    <t>Secondary Containment for Electron Donor Storage Tanks</t>
  </si>
  <si>
    <t>Secondary Containment for Electron Donor Day Tanks</t>
  </si>
  <si>
    <t>e_donor_dt_cont_volume</t>
  </si>
  <si>
    <t>e_donor_dt_cont_fp</t>
  </si>
  <si>
    <t>e_donor_dt_curb_height</t>
  </si>
  <si>
    <t>e_donor_dt_curb_thick</t>
  </si>
  <si>
    <t>e_donor_dt_curb_len_long</t>
  </si>
  <si>
    <t>e_donor_dt_curb_len_short</t>
  </si>
  <si>
    <t>e_donor_dt_curb_concrete</t>
  </si>
  <si>
    <t>e_donor_dt_coating_gal</t>
  </si>
  <si>
    <t>e_donor_st_cont_volume</t>
  </si>
  <si>
    <t>e_donor_st_cont_fp</t>
  </si>
  <si>
    <t>e_donor_st_curb_height</t>
  </si>
  <si>
    <t>e_donor_st_curb_thick</t>
  </si>
  <si>
    <t>e_donor_st_curb_len_long</t>
  </si>
  <si>
    <t>e_donor_st_curb_len_short</t>
  </si>
  <si>
    <t>e_donor_st_curb_concrete</t>
  </si>
  <si>
    <t>e_donor_st_coating_gal</t>
  </si>
  <si>
    <t>7.48 converts gallons to cubic feet</t>
  </si>
  <si>
    <t>Total footprint minus displacement by tanks themselves</t>
  </si>
  <si>
    <t>27 converts cubic feet to cubic yards</t>
  </si>
  <si>
    <t>Covers total footprint plus inside surface and top of curbs</t>
  </si>
  <si>
    <t>Secondary Containment for Ammonium Chloride Storage Tanks</t>
  </si>
  <si>
    <t>Secondary Containment for Ammonium Chloride Day Tanks</t>
  </si>
  <si>
    <t>NH4Cl_st_cont_volume</t>
  </si>
  <si>
    <t>NH4Cl_st_cont_fp</t>
  </si>
  <si>
    <t>NH4Cl_st_curb_height</t>
  </si>
  <si>
    <t>NH4Cl_st_curb_thick</t>
  </si>
  <si>
    <t>NH4Cl_st_curb_len_long</t>
  </si>
  <si>
    <t>NH4Cl_st_curb_len_short</t>
  </si>
  <si>
    <t>NH4Cl_st_curb_concrete</t>
  </si>
  <si>
    <t>NH4Cl_st_coating_gal</t>
  </si>
  <si>
    <t>NH4Cl_dt_cont_volume</t>
  </si>
  <si>
    <t>NH4Cl_dt_cont_fp</t>
  </si>
  <si>
    <t>NH4Cl_dt_curb_height</t>
  </si>
  <si>
    <t>NH4Cl_dt_curb_thick</t>
  </si>
  <si>
    <t>NH4Cl_dt_curb_len_long</t>
  </si>
  <si>
    <t>NH4Cl_dt_curb_len_short</t>
  </si>
  <si>
    <t>NH4Cl_dt_curb_concrete</t>
  </si>
  <si>
    <t>NH4Cl_dt_coating_gal</t>
  </si>
  <si>
    <t>Secondary Containment for Phosphoric Acid Storage Tanks</t>
  </si>
  <si>
    <t>Secondary Containment for Phosphoric Acid Day Tanks</t>
  </si>
  <si>
    <t>H3PO4_st_cont_volume</t>
  </si>
  <si>
    <t>H3PO4_st_cont_fp</t>
  </si>
  <si>
    <t>H3PO4_st_curb_height</t>
  </si>
  <si>
    <t>H3PO4_st_curb_thick</t>
  </si>
  <si>
    <t>H3PO4_st_curb_len_long</t>
  </si>
  <si>
    <t>H3PO4_st_curb_len_short</t>
  </si>
  <si>
    <t>H3PO4_st_curb_concrete</t>
  </si>
  <si>
    <t>H3PO4_st_coating_gal</t>
  </si>
  <si>
    <t>H3PO4_dt_cont_volume</t>
  </si>
  <si>
    <t>H3PO4_dt_cont_fp</t>
  </si>
  <si>
    <t>H3PO4_dt_curb_height</t>
  </si>
  <si>
    <t>H3PO4_dt_curb_thick</t>
  </si>
  <si>
    <t>H3PO4_dt_curb_len_long</t>
  </si>
  <si>
    <t>H3PO4_dt_curb_len_short</t>
  </si>
  <si>
    <t>H3PO4_dt_curb_concrete</t>
  </si>
  <si>
    <t>H3PO4_dt_coating_gal</t>
  </si>
  <si>
    <t>Secondary Containment for Hydrogen Peroxide Storage Tanks</t>
  </si>
  <si>
    <t>Secondary Containment for Hydrogen Peroxide Day Tanks</t>
  </si>
  <si>
    <t>H2O2_st_cont_volume</t>
  </si>
  <si>
    <t>H2O2_st_cont_fp</t>
  </si>
  <si>
    <t>H2O2_st_curb_height</t>
  </si>
  <si>
    <t>H2O2_st_curb_thick</t>
  </si>
  <si>
    <t>H2O2_st_curb_len_long</t>
  </si>
  <si>
    <t>H2O2_st_curb_len_short</t>
  </si>
  <si>
    <t>H2O2_st_curb_concrete</t>
  </si>
  <si>
    <t>H2O2_st_coating_gal</t>
  </si>
  <si>
    <t>H2O2_dt_cont_volume</t>
  </si>
  <si>
    <t>H2O2_dt_cont_fp</t>
  </si>
  <si>
    <t>H2O2_dt_curb_height</t>
  </si>
  <si>
    <t>H2O2_dt_curb_thick</t>
  </si>
  <si>
    <t>H2O2_dt_curb_len_long</t>
  </si>
  <si>
    <t>H2O2_dt_curb_len_short</t>
  </si>
  <si>
    <t>H2O2_dt_curb_concrete</t>
  </si>
  <si>
    <t>H2O2_dt_coating_gal</t>
  </si>
  <si>
    <t>3.2.2</t>
  </si>
  <si>
    <t>3.2.3</t>
  </si>
  <si>
    <t>Secondary Containment - Concrete Curbing</t>
  </si>
  <si>
    <t>Secondary Containment - Chemical Resistant Coating</t>
  </si>
  <si>
    <t>3.3.2</t>
  </si>
  <si>
    <t>3.3.3</t>
  </si>
  <si>
    <t>3.4.2</t>
  </si>
  <si>
    <t>3.4.3</t>
  </si>
  <si>
    <t>3.5.2</t>
  </si>
  <si>
    <t>3.5.3</t>
  </si>
  <si>
    <t>3.6.2</t>
  </si>
  <si>
    <t>3.6.3</t>
  </si>
  <si>
    <t>3.7.2</t>
  </si>
  <si>
    <t>3.7.3</t>
  </si>
  <si>
    <t>3.9.2</t>
  </si>
  <si>
    <t>3.9.3</t>
  </si>
  <si>
    <t>3.10.2</t>
  </si>
  <si>
    <t>3.10.3</t>
  </si>
  <si>
    <t>yes_no_valid</t>
  </si>
  <si>
    <t>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</si>
  <si>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</si>
  <si>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</si>
  <si>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</si>
  <si>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</si>
  <si>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</si>
  <si>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</si>
  <si>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</si>
  <si>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</si>
  <si>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</si>
  <si>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include_HVAC</t>
  </si>
  <si>
    <t xml:space="preserve"> 0 = always exclude, 1 = always include, 2 = use model default</t>
  </si>
  <si>
    <t>Based on system size, building floorplan, and inputs</t>
  </si>
  <si>
    <t>Buildings and Land</t>
  </si>
  <si>
    <t>1 = yes, 0 = no</t>
  </si>
  <si>
    <t>Building and HVAC Maintenance</t>
  </si>
  <si>
    <t>Cost excluding heating and cooling</t>
  </si>
  <si>
    <t>Total annual building and HVAC maintenance</t>
  </si>
  <si>
    <t>Building and HVAC maintenance (materials and labor)</t>
  </si>
  <si>
    <t>mg/L as nitrogen</t>
  </si>
  <si>
    <t>mg/L as phosphorus</t>
  </si>
  <si>
    <t>See input sheet to exclude buildings/HVAC; indirect assumptions sheet to exclude concrete pad</t>
  </si>
  <si>
    <r>
      <t xml:space="preserve">Add a redundant bioreactor per </t>
    </r>
    <r>
      <rPr>
        <b/>
        <i/>
        <sz val="10"/>
        <rFont val="Arial"/>
        <family val="2"/>
      </rPr>
      <t>x</t>
    </r>
    <r>
      <rPr>
        <sz val="10"/>
        <rFont val="Arial"/>
        <family val="2"/>
      </rPr>
      <t xml:space="preserve"> parallel lines for fixed bed pressure vessel designs</t>
    </r>
  </si>
  <si>
    <r>
      <t xml:space="preserve">Add a redundant bioreactor per </t>
    </r>
    <r>
      <rPr>
        <b/>
        <i/>
        <sz val="10"/>
        <rFont val="Arial"/>
        <family val="2"/>
      </rPr>
      <t>x</t>
    </r>
    <r>
      <rPr>
        <sz val="10"/>
        <rFont val="Arial"/>
        <family val="2"/>
      </rPr>
      <t xml:space="preserve"> parallel lines for fluidized bed designs</t>
    </r>
  </si>
  <si>
    <t>redund_freq_fluid</t>
  </si>
  <si>
    <t>Buildings</t>
  </si>
  <si>
    <t>pressure vessel</t>
  </si>
  <si>
    <t>Theoretical values for comparison purposes only. Calculated based on equations provided in Harding 2001 and peer review comments. Site-specific values are best determined by pilot studies.</t>
  </si>
  <si>
    <t>Coagulant solution density</t>
  </si>
  <si>
    <t>Ferric chloride solution density</t>
  </si>
  <si>
    <t>Ferric chloride solution concentration</t>
  </si>
  <si>
    <t>coag_pct</t>
  </si>
  <si>
    <t>Coagulant solution concentration</t>
  </si>
  <si>
    <t>coag_pct_filt</t>
  </si>
  <si>
    <t>Number of check valves on ferric chloride line per metering pump</t>
  </si>
  <si>
    <t>coag_chv_pump</t>
  </si>
  <si>
    <t>Applies only with coagulant addition to post-treatment filtration or ferric addition to residuals</t>
  </si>
  <si>
    <t>Number of coaglant mixing tanks</t>
  </si>
  <si>
    <t>Pounds of pure coagulant per day (average flow)</t>
  </si>
  <si>
    <t>Pounds of pure coagulant per day (design flow)</t>
  </si>
  <si>
    <t>Gallons of coagulant solution per day (average flow)</t>
  </si>
  <si>
    <t>Gallons of coagulant solution per day (design flow)</t>
  </si>
  <si>
    <t>coag_day_gal</t>
  </si>
  <si>
    <t>coag_day_gal_filt</t>
  </si>
  <si>
    <t>coag_day_gal_filt_design_flow</t>
  </si>
  <si>
    <t>Holding Tank Mixers (if coagulant is used)</t>
  </si>
  <si>
    <t>Mixers per holding tank</t>
  </si>
  <si>
    <t>Number of holding tank mixers</t>
  </si>
  <si>
    <t>Mixer size for holding tanks</t>
  </si>
  <si>
    <t>Ferric Chloride Addition</t>
  </si>
  <si>
    <t>Pounds of pure ferric chloride needed per event</t>
  </si>
  <si>
    <t>coag_day_lbs</t>
  </si>
  <si>
    <t>Gallons of solution needed per event</t>
  </si>
  <si>
    <t>coag_storage_lbs</t>
  </si>
  <si>
    <t>Ferric chloride storage in gallons</t>
  </si>
  <si>
    <t>coag_storage_gal</t>
  </si>
  <si>
    <t>Number of ferric chloride storage tanks</t>
  </si>
  <si>
    <t>coag_tanks</t>
  </si>
  <si>
    <t>Ferric chloride storage tank size</t>
  </si>
  <si>
    <t>coag_tank_vol</t>
  </si>
  <si>
    <t>Mixers per ferric chloride storage tank</t>
  </si>
  <si>
    <t>coag_cmix_per_tank</t>
  </si>
  <si>
    <t>Number of ferric chloride storage tank mixers</t>
  </si>
  <si>
    <t>coag_cmixers</t>
  </si>
  <si>
    <t>coag_cmix_size</t>
  </si>
  <si>
    <t>Ferric chloride solution feed rate</t>
  </si>
  <si>
    <t>coag_rate</t>
  </si>
  <si>
    <t>Number of ferric chloride metering pumps</t>
  </si>
  <si>
    <t>cm_pumps_coag</t>
  </si>
  <si>
    <t>Ferric chloride metering pump rating</t>
  </si>
  <si>
    <t>cm_pump_rating_coag</t>
  </si>
  <si>
    <t>Gallons of coagulant solution in storage</t>
  </si>
  <si>
    <t>coag_storage_gal_filt</t>
  </si>
  <si>
    <t>Coagulant solution feed rate</t>
  </si>
  <si>
    <t>Number of coagulant metering pumps</t>
  </si>
  <si>
    <t>Coagulant metering pump rating</t>
  </si>
  <si>
    <t>coag_rate_filt</t>
  </si>
  <si>
    <t>cm_pumps_coag_filt</t>
  </si>
  <si>
    <t>cm_pump_rating_coag_filt</t>
  </si>
  <si>
    <t>Residuals use only; coagulant used for post-treatment calculated on post-treatment sheet</t>
  </si>
  <si>
    <t>Annual coagulant use (lbs bulk solution)</t>
  </si>
  <si>
    <t>Pounds of pure ferric chloride in storage</t>
  </si>
  <si>
    <t>Pounds of bulk ferric chloride solution in storage</t>
  </si>
  <si>
    <t>coag_storage_lbs_bulk</t>
  </si>
  <si>
    <t>Ferric chloride addition pipe length</t>
  </si>
  <si>
    <t>coag_pipe_length</t>
  </si>
  <si>
    <t>Present with ferric addition to either post-treatment or residuals</t>
  </si>
  <si>
    <t>Ferric chloride pipe flow</t>
  </si>
  <si>
    <t>coag_pipe_flow</t>
  </si>
  <si>
    <t>Ferric chloride pipe diameter</t>
  </si>
  <si>
    <t>coag_pipe_diam</t>
  </si>
  <si>
    <t>Ferric chloride storage tank diameter</t>
  </si>
  <si>
    <t>coag_st_diam</t>
  </si>
  <si>
    <t>Access space per polymer storage tank</t>
  </si>
  <si>
    <t>Access space per ferric chloride storage tank</t>
  </si>
  <si>
    <t>space_coag_st</t>
  </si>
  <si>
    <t>Ferric chloride storage tank footprint</t>
  </si>
  <si>
    <t>coag_fp</t>
  </si>
  <si>
    <t>coag_cont_volume</t>
  </si>
  <si>
    <t>coag_cont_fp</t>
  </si>
  <si>
    <t>coag_curb_height</t>
  </si>
  <si>
    <t>coag_curb_thick</t>
  </si>
  <si>
    <t>coag_curb_len_long</t>
  </si>
  <si>
    <t>coag_curb_len_short</t>
  </si>
  <si>
    <t>coag_curb_concrete</t>
  </si>
  <si>
    <t>coag_coating_gal</t>
  </si>
  <si>
    <t>Mixer size</t>
  </si>
  <si>
    <t>Coagulant Mixing Tanks</t>
  </si>
  <si>
    <t>Coagulant Storage Tanks</t>
  </si>
  <si>
    <t>Includes residuals ferric chloride addtion, if selected</t>
  </si>
  <si>
    <t>Note: Ferric chloride purchasing is handled on post-treatment sheet</t>
  </si>
  <si>
    <t>Coagulant Purchasing</t>
  </si>
  <si>
    <t>For residuals addition only; post-treatment use is calculated on post-treatment sheet, along with number and size of storage tanks for both applications</t>
  </si>
  <si>
    <t>Size of valves for ferric chloride line</t>
  </si>
  <si>
    <t>coag_valve_size</t>
  </si>
  <si>
    <t>Number of MOVs for ferric chloride line</t>
  </si>
  <si>
    <t>tot_coag_MOVs</t>
  </si>
  <si>
    <t>Number of manual valves for polymer line</t>
  </si>
  <si>
    <t>Number of manual valves for ferric chloride line</t>
  </si>
  <si>
    <t>tot_coag_man</t>
  </si>
  <si>
    <t>Number of check valves for ferric chloride line</t>
  </si>
  <si>
    <t>tot_coag_chv</t>
  </si>
  <si>
    <t>Maximum chemical storage tank size excluding stainless steel</t>
  </si>
  <si>
    <t>The largest size for which costs are available (not including stainless)</t>
  </si>
  <si>
    <t>Maximum chemical tank size excluding fiberglass</t>
  </si>
  <si>
    <t>Tank Size Limits</t>
  </si>
  <si>
    <t>Number of chemical storage tanks for H2O2</t>
  </si>
  <si>
    <t>H2O2 storage tank size</t>
  </si>
  <si>
    <t>Number of H2O2 day tanks</t>
  </si>
  <si>
    <t>Volume of H2O2 day tanks</t>
  </si>
  <si>
    <t>Mixers per H2O2 storage tank</t>
  </si>
  <si>
    <t>Number of H2O2 storage tank mixers</t>
  </si>
  <si>
    <t>Mixer size for H2O2 storage tanks</t>
  </si>
  <si>
    <t>Mixers per H2O2 day tank</t>
  </si>
  <si>
    <t>Number of H2O2 day tank mixers</t>
  </si>
  <si>
    <t>Mixer size for H2O2 day tanks</t>
  </si>
  <si>
    <t>Mixer size for ferric chloride storage tanks</t>
  </si>
  <si>
    <t>Considers post-treatment ferric chloride only, because residuals addition is intermittent</t>
  </si>
  <si>
    <t>coag_day_tank_vol_needed</t>
  </si>
  <si>
    <t>coag_day_tanks</t>
  </si>
  <si>
    <t>coag_day_tank_vol</t>
  </si>
  <si>
    <t>Number of ferric chloride day tanks</t>
  </si>
  <si>
    <t>Volume of ferric chloride day tanks</t>
  </si>
  <si>
    <t>Mixers per ferric chloride day tank</t>
  </si>
  <si>
    <t>Number of ferric chloride day tank mixers</t>
  </si>
  <si>
    <t>Mixer size for ferric chloride day tanks</t>
  </si>
  <si>
    <t>coag_dmix_per_tank</t>
  </si>
  <si>
    <t>coag_dmixers</t>
  </si>
  <si>
    <t>coag_dmix_size</t>
  </si>
  <si>
    <t>Ferric Chloride Storage Tanks</t>
  </si>
  <si>
    <t>pl_coag_st_eq</t>
  </si>
  <si>
    <t>fg_coag_st_eq</t>
  </si>
  <si>
    <t>Ferric Chloride Day Tanks</t>
  </si>
  <si>
    <t>pl_coag_day_eq</t>
  </si>
  <si>
    <t>fg_coag_day_eq</t>
  </si>
  <si>
    <t>Ferric Chloride Piping</t>
  </si>
  <si>
    <t>cpvc_pipe_eq_coag</t>
  </si>
  <si>
    <t>pvc_pipe_eq_coag</t>
  </si>
  <si>
    <t>Polypropylene/PVC - Ferric Chloride</t>
  </si>
  <si>
    <t>pp_mov_eq_coag</t>
  </si>
  <si>
    <t>pp_man_eq_coag</t>
  </si>
  <si>
    <t>pp_chv_eq_coag</t>
  </si>
  <si>
    <t>pvc_coag_mmpump_eq</t>
  </si>
  <si>
    <t>pvc_coag_empump_eq</t>
  </si>
  <si>
    <t>Ferric Chloride Metering to Residuals</t>
  </si>
  <si>
    <t>Ferric Chloride Metering for Residuals</t>
  </si>
  <si>
    <t>Ferric Chloride Metering for Post-Treatment</t>
  </si>
  <si>
    <t>pvc_coag_filt_mmpump_eq</t>
  </si>
  <si>
    <t>pvc_coag_filt_empump_eq</t>
  </si>
  <si>
    <t>Ferric Chloride Storage Tank Mixers</t>
  </si>
  <si>
    <t>cmount_mix_eq_coag</t>
  </si>
  <si>
    <t>cimp_mix_eq_coag</t>
  </si>
  <si>
    <t>Ferric Chloride Day Tank Mixers</t>
  </si>
  <si>
    <t>dmount_mix_eq_coag</t>
  </si>
  <si>
    <t>dimp_mix_eq_coag</t>
  </si>
  <si>
    <t>Ferric chloride day tank diameter</t>
  </si>
  <si>
    <t>coag_dt_diam</t>
  </si>
  <si>
    <t>space_coag_dt</t>
  </si>
  <si>
    <t>Ferric chloride day tank footprint</t>
  </si>
  <si>
    <t>coag_day_fp</t>
  </si>
  <si>
    <t>Secondary Containment for Coagulant Storage Tanks</t>
  </si>
  <si>
    <t>Secondary Containment for Coagulant Day Tanks</t>
  </si>
  <si>
    <t>coag_dt_cont_volume</t>
  </si>
  <si>
    <t>coag_dt_cont_fp</t>
  </si>
  <si>
    <t>coag_dt_curb_height</t>
  </si>
  <si>
    <t>coag_dt_curb_thick</t>
  </si>
  <si>
    <t>coag_dt_curb_len_long</t>
  </si>
  <si>
    <t>coag_dt_curb_len_short</t>
  </si>
  <si>
    <t>coag_dt_curb_concrete</t>
  </si>
  <si>
    <t>coag_dt_coating_gal</t>
  </si>
  <si>
    <t>3.12.2</t>
  </si>
  <si>
    <t>3.12.3</t>
  </si>
  <si>
    <t>3.13.2</t>
  </si>
  <si>
    <t>3.13.3</t>
  </si>
  <si>
    <t>3.14.1</t>
  </si>
  <si>
    <t>3.15.1</t>
  </si>
  <si>
    <t>4.12.1</t>
  </si>
  <si>
    <t>Air Biomass Removal - Polypropylene/PVC</t>
  </si>
  <si>
    <t>Air  Biomass Removal - Stainless Steel</t>
  </si>
  <si>
    <t>Air  Biomass Removal - Cast Iron</t>
  </si>
  <si>
    <t>Aeration - Polypropylene/PVC</t>
  </si>
  <si>
    <t>Aeration - Stainless Steel</t>
  </si>
  <si>
    <t>Aeration - Cast Iron</t>
  </si>
  <si>
    <t>5.1.14</t>
  </si>
  <si>
    <t>Ferric Chloride - Polypropylene/PVC</t>
  </si>
  <si>
    <t>Air Scour - Polypropylene/PVC</t>
  </si>
  <si>
    <t>Air Scour - Stainless Steel</t>
  </si>
  <si>
    <t>Air Scour - Cast Iron</t>
  </si>
  <si>
    <t>5.2.15</t>
  </si>
  <si>
    <t>5.3.9</t>
  </si>
  <si>
    <t>Ferric Chloride Metering to Post-Treatment</t>
  </si>
  <si>
    <t>6.11.1</t>
  </si>
  <si>
    <t>6.12.1</t>
  </si>
  <si>
    <t>Mixers for Ferric Chloride Storage Tanks</t>
  </si>
  <si>
    <t>Mixers for Ferric Chloride Day Tanks</t>
  </si>
  <si>
    <t>7.13.1</t>
  </si>
  <si>
    <t>7.14.1</t>
  </si>
  <si>
    <t>Phosphoric Acid needed per day (pounds bulk solution at design flow)</t>
  </si>
  <si>
    <t>Assumes mixing a 29.4% solution from 99 grade crystals, which would be stable down to 0 degrees C and thus not require heat tracing and insulation</t>
  </si>
  <si>
    <t>Based on specific gravity of 1.216 for 36% and 1.579 for 75% phosphoric acid at 20 degrees centigrade</t>
  </si>
  <si>
    <t>Phosphoric Acid solution percent</t>
  </si>
  <si>
    <t>H3PO4_pct</t>
  </si>
  <si>
    <t>Prices are available for 36% and 75% solutions</t>
  </si>
  <si>
    <t>Solution needed per day (design flow)</t>
  </si>
  <si>
    <t>H2O2 needed per day (design flow)</t>
  </si>
  <si>
    <t>&lt;- Autosize Std Inputs</t>
  </si>
  <si>
    <t>Autosite Biorector Pressure Designs</t>
  </si>
  <si>
    <t>use_autosize</t>
  </si>
  <si>
    <t>Autosite Biorector Gravity Designs</t>
  </si>
  <si>
    <t>use_autosizeA</t>
  </si>
  <si>
    <t>Autosite Polishing Filter Gravity Designs</t>
  </si>
  <si>
    <t>Autosite Polishing Filter Pressure Designs</t>
  </si>
  <si>
    <t>use_autosizeA_filt</t>
  </si>
  <si>
    <t>use_autosize_filt</t>
  </si>
  <si>
    <t>inp_autosize_pressure</t>
  </si>
  <si>
    <t>inp_autosize_gravity</t>
  </si>
  <si>
    <t>inp_autosize_filt_gravity</t>
  </si>
  <si>
    <t>inp_autosize_filt_pressure</t>
  </si>
  <si>
    <t>All match</t>
  </si>
  <si>
    <t>Flow match</t>
  </si>
  <si>
    <t>if use_autosize</t>
  </si>
  <si>
    <t>if not use_autosize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</si>
  <si>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</si>
  <si>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</si>
  <si>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</si>
  <si>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</si>
  <si>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</si>
  <si>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</si>
  <si>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Influent and treated water - Polypropylene/PVC</t>
  </si>
  <si>
    <t>Influent and treated water - Stainless Steel</t>
  </si>
  <si>
    <t>Influent and treated water - Cast Iron</t>
  </si>
  <si>
    <t>Flow Meters - Influent and treated water</t>
  </si>
  <si>
    <t>Flow meters for influent and treated water line</t>
  </si>
  <si>
    <t>Number of manual valves on influent and treated water line</t>
  </si>
  <si>
    <t>Influent and treated water pipe length</t>
  </si>
  <si>
    <t>Influent and treated water pipe flow</t>
  </si>
  <si>
    <t>Polypropylene/PVC - Influent and treated water</t>
  </si>
  <si>
    <t>Stainless Steel - Influent and treated water</t>
  </si>
  <si>
    <t>Cast Iron - Influent and treated water</t>
  </si>
  <si>
    <t>Size of valves for influent and treated water lines</t>
  </si>
  <si>
    <t>Based on output sheet selection for influent and treated water pipe</t>
  </si>
  <si>
    <t>Influent and Treated Water Piping</t>
  </si>
  <si>
    <t>Polypropylene/PVC - Influent and Treated Water</t>
  </si>
  <si>
    <t>Stainless Steel - Influent and Treated Water</t>
  </si>
  <si>
    <t>Cast Iron - Influent and Treated Water</t>
  </si>
  <si>
    <t>Flow Meters - Influent and Treated Water</t>
  </si>
  <si>
    <t>Trench Volume Influent and Treated Water</t>
  </si>
  <si>
    <t>Flow meter lookup code - Influent and treated water</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</si>
  <si>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</si>
  <si>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</si>
  <si>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</si>
  <si>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</si>
  <si>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</si>
  <si>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</si>
  <si>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</si>
  <si>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</si>
  <si>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</si>
  <si>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Pipe Length Multipliers</t>
  </si>
  <si>
    <t>Influent and treated water pipe length multiplier</t>
  </si>
  <si>
    <t>in_out_pipe_mult</t>
  </si>
  <si>
    <t>times facility length</t>
  </si>
  <si>
    <t>Process pipe length multiplier</t>
  </si>
  <si>
    <t>proc_pipe_mult</t>
  </si>
  <si>
    <t>Backwash pipe length multiplier</t>
  </si>
  <si>
    <t>back_pipe_mult</t>
  </si>
  <si>
    <t>Chemical pipe length multiplier</t>
  </si>
  <si>
    <t>chem_pipe_mult</t>
  </si>
  <si>
    <t>Residuals pipe length multiplier</t>
  </si>
  <si>
    <t>res_pipe_mult</t>
  </si>
  <si>
    <t>Volume in gallons</t>
  </si>
  <si>
    <t>Influent and treated water piping diameter</t>
  </si>
  <si>
    <t>One for influent line, one for treated water line</t>
  </si>
  <si>
    <t>One for treated water line</t>
  </si>
  <si>
    <t>Sampling ports for blended treated water</t>
  </si>
  <si>
    <t>One for influent line, one for treated water line, one on residual side of backwash line</t>
  </si>
  <si>
    <t>One at Influent, one for treated water</t>
  </si>
  <si>
    <t>Annualized cost per household per year</t>
  </si>
  <si>
    <t>Bypass pipe length multiplier</t>
  </si>
  <si>
    <t>bp_pipe_mult</t>
  </si>
  <si>
    <t>recycle_pipe_mult</t>
  </si>
  <si>
    <t>Recycle pipe length multiplier</t>
  </si>
  <si>
    <t>INDEX</t>
  </si>
  <si>
    <t>This page provides an index to all user-adjustable inputs and assumptions.  Click on a variable name to go directly to the adjustable cells.</t>
  </si>
  <si>
    <t>User-adjustable Input or Assumption</t>
  </si>
  <si>
    <t>Variable Name and Link</t>
  </si>
  <si>
    <t>Hydraulic residence time (HRT) or Theoretical total empty bed contact time (EBCT)</t>
  </si>
  <si>
    <t>Bed Depth or Static bed depth</t>
  </si>
  <si>
    <t>Height (straight) or Length (straight)</t>
  </si>
  <si>
    <t>Add a redundant bioreactor per x parallel lines for fixed bed pressure vessel designs</t>
  </si>
  <si>
    <t>Add a redundant bioreactor per x parallel lines for fluidized bed designs</t>
  </si>
  <si>
    <t>Include a separate day tank if daily volume is x or greater</t>
  </si>
  <si>
    <t>Computer workstations per x operators</t>
  </si>
  <si>
    <t>Printers per x computer workstations</t>
  </si>
  <si>
    <t>Valve table</t>
  </si>
  <si>
    <t>valve_table</t>
  </si>
  <si>
    <t>I/O port table</t>
  </si>
  <si>
    <t>port_table</t>
  </si>
  <si>
    <t>Heating table for buildings 500 square feet or greater</t>
  </si>
  <si>
    <t>Heating table for buildings less than 500 ft2</t>
  </si>
  <si>
    <t>Cooling table for buildings 500 square feet or greater</t>
  </si>
  <si>
    <t>Cooling table for buildings less than 500 ft2</t>
  </si>
  <si>
    <t>City index</t>
  </si>
  <si>
    <t>city_index</t>
  </si>
  <si>
    <t>BTU/Whr</t>
  </si>
  <si>
    <t>Acetic Acid</t>
  </si>
  <si>
    <t>Ammonium Chloride</t>
  </si>
  <si>
    <t>Ethanol</t>
  </si>
  <si>
    <t>Hydrogen Peroxide</t>
  </si>
  <si>
    <t>0.3, 0.6, and 1.2 W/sf are the assumptions used for building capital costs</t>
  </si>
  <si>
    <t>See Appendix E.  If higher R-value materials are desired, user may also need to adjust the cost of building materials in cl.xls</t>
  </si>
  <si>
    <t>kg</t>
  </si>
  <si>
    <t>hvac_hp_eq_1_s</t>
  </si>
  <si>
    <t>Heat pump - small</t>
  </si>
  <si>
    <t>Heat pump - large</t>
  </si>
  <si>
    <t>hvac_hp_eq_1_l</t>
  </si>
  <si>
    <t>hvac_hp_eq_large</t>
  </si>
  <si>
    <t>hvac_hp_eq_small</t>
  </si>
  <si>
    <t>hvac_hp_eq_2_s</t>
  </si>
  <si>
    <t>Cost Data</t>
  </si>
  <si>
    <t>bls118</t>
  </si>
  <si>
    <t>Alarms (High/Low Pressure Alarms, Level Switch/Alarms, Low Alarms)</t>
  </si>
  <si>
    <t>Useful Life (large)</t>
  </si>
  <si>
    <t>Useful Life (small)</t>
  </si>
  <si>
    <t>alarm_cost_cl</t>
  </si>
  <si>
    <t>bls1141</t>
  </si>
  <si>
    <t>Centrifugal Pumps (Backwash)</t>
  </si>
  <si>
    <t>Size needed (gpm)</t>
  </si>
  <si>
    <t>Size selected (gpm)</t>
  </si>
  <si>
    <t>Avg. Unit Cost</t>
  </si>
  <si>
    <t>back_pump_cost_cl</t>
  </si>
  <si>
    <t>BCI</t>
  </si>
  <si>
    <t>Avg. Unit Cost (per cy)</t>
  </si>
  <si>
    <t>N/A</t>
  </si>
  <si>
    <t>backfill_cost_cl</t>
  </si>
  <si>
    <t>CCI</t>
  </si>
  <si>
    <t>Pipe bedding costs (crushed stone and sand)</t>
  </si>
  <si>
    <t>Avg. Unit Cost (per day)</t>
  </si>
  <si>
    <t>bedding_cost_cl</t>
  </si>
  <si>
    <t>bls114</t>
  </si>
  <si>
    <t>Size needed (m)</t>
  </si>
  <si>
    <t>Size Selected (m)</t>
  </si>
  <si>
    <t xml:space="preserve">Avg. Unit Cost </t>
  </si>
  <si>
    <t>belt_press_cost_cl</t>
  </si>
  <si>
    <t>Avg. Unit Cost (per lf)</t>
  </si>
  <si>
    <t>bore_cost</t>
  </si>
  <si>
    <t>bore_cost_cl</t>
  </si>
  <si>
    <t>Avg. Unit Cost (per job)</t>
  </si>
  <si>
    <t>bore_draw_cost</t>
  </si>
  <si>
    <t>bore_draw_cost_cl</t>
  </si>
  <si>
    <t>bore_mob_cost</t>
  </si>
  <si>
    <t>bore_mob_cost_cl</t>
  </si>
  <si>
    <t>bore_report_cost_cl</t>
  </si>
  <si>
    <t>bore_rig_cost_cl</t>
  </si>
  <si>
    <t>bls061</t>
  </si>
  <si>
    <t>Chemical Costs</t>
  </si>
  <si>
    <t>Chemical</t>
  </si>
  <si>
    <t>lb</t>
  </si>
  <si>
    <t>Aluminum Sulfate (alum)</t>
  </si>
  <si>
    <t>ton</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</si>
  <si>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</si>
  <si>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</si>
  <si>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</si>
  <si>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</si>
  <si>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</si>
  <si>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</si>
  <si>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</si>
  <si>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</si>
  <si>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</si>
  <si>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</si>
  <si>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</si>
  <si>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</si>
  <si>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</si>
  <si>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</si>
  <si>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</si>
  <si>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</si>
  <si>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</si>
  <si>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</si>
  <si>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</si>
  <si>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</si>
  <si>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</si>
  <si>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</si>
  <si>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</si>
  <si>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</si>
  <si>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</si>
  <si>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</si>
  <si>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</si>
  <si>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</si>
  <si>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</si>
  <si>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</si>
  <si>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</si>
  <si>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</si>
  <si>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</si>
  <si>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</si>
  <si>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</si>
  <si>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</si>
  <si>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</si>
  <si>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</si>
  <si>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</si>
  <si>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</si>
  <si>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</si>
  <si>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</si>
  <si>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</si>
  <si>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</si>
  <si>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</si>
  <si>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</si>
  <si>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</si>
  <si>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</si>
  <si>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</si>
  <si>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</si>
  <si>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</si>
  <si>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</si>
  <si>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</si>
  <si>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</si>
  <si>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</si>
  <si>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bls1149</t>
  </si>
  <si>
    <t>Cast Iron Manual Valves</t>
  </si>
  <si>
    <t>Size needed (in. diam)</t>
  </si>
  <si>
    <t>Size selected (in. diam)</t>
  </si>
  <si>
    <t>ci_bfv_cost_large</t>
  </si>
  <si>
    <t>ci_bfv_cost_cl</t>
  </si>
  <si>
    <t>Cast Iron Check Valves</t>
  </si>
  <si>
    <t>ci_chv_cost_cl</t>
  </si>
  <si>
    <t>Cast Iron Motor/Air Operated Valves (on/off)</t>
  </si>
  <si>
    <t>ci_mov_cost_cl</t>
  </si>
  <si>
    <t>Online Perchlorate/Nitrate Analyzer</t>
  </si>
  <si>
    <t>clo4analyzer_cost_cl</t>
  </si>
  <si>
    <t>Concrete for Basins</t>
  </si>
  <si>
    <t>conc_basin_cost_cl</t>
  </si>
  <si>
    <t>Chemical Resistant Coating for Concrete</t>
  </si>
  <si>
    <t>Avg. Unit Cost (per gal)</t>
  </si>
  <si>
    <t>conc_coating_cost_cl</t>
  </si>
  <si>
    <t>conc_pad_cost_cl</t>
  </si>
  <si>
    <t>bls1074</t>
  </si>
  <si>
    <t>Backwash Distributors for Concrete GAC Contactors</t>
  </si>
  <si>
    <t>Size Needed (cell length)</t>
  </si>
  <si>
    <t>Size Selected (cell length)</t>
  </si>
  <si>
    <t>Useful Life(large)</t>
  </si>
  <si>
    <t>cont_top_cost_cl</t>
  </si>
  <si>
    <t>bls072106033</t>
  </si>
  <si>
    <t>CPVC Piping</t>
  </si>
  <si>
    <t>Avg. Unit Cost ($/lf)</t>
  </si>
  <si>
    <t>cpvc_pipe_cost_cl</t>
  </si>
  <si>
    <t>bls1072</t>
  </si>
  <si>
    <t>Carbon Steel Pressure Vessels - Stainless Steel Internals</t>
  </si>
  <si>
    <t>Size needed (gal)</t>
  </si>
  <si>
    <t>Size selected (gal)</t>
  </si>
  <si>
    <t>cs_pv_cost_cl</t>
  </si>
  <si>
    <t>Carbon Steel Pressure Vessels - Plastic Internals</t>
  </si>
  <si>
    <t>csp_pv_cost_cl</t>
  </si>
  <si>
    <t>Current Year</t>
  </si>
  <si>
    <t>current_year_cl</t>
  </si>
  <si>
    <t>bls10150211</t>
  </si>
  <si>
    <t>Ductile Iron Piping</t>
  </si>
  <si>
    <t>di_pipe_cost_cl</t>
  </si>
  <si>
    <t>Size Needed (cfm)</t>
  </si>
  <si>
    <t>Size Selected (cfm)</t>
  </si>
  <si>
    <t>diffuser_cost_cl</t>
  </si>
  <si>
    <t>DO Analyzer/Controller</t>
  </si>
  <si>
    <t>doanalyzer_cost_cl</t>
  </si>
  <si>
    <t>elec_encl_cost_cl</t>
  </si>
  <si>
    <t>Evaporation pond dike construction</t>
  </si>
  <si>
    <t>ep_dike_construct_cl</t>
  </si>
  <si>
    <t>bls07210606</t>
  </si>
  <si>
    <t>Evaporation pond liner</t>
  </si>
  <si>
    <t>Avg. Unit Cost (per sf)</t>
  </si>
  <si>
    <t>ep_liner_cost_cl</t>
  </si>
  <si>
    <t>excavate_cost_cl</t>
  </si>
  <si>
    <t>Fiberglass Backwash Tanks</t>
  </si>
  <si>
    <t>fg_bwt_cost_cl</t>
  </si>
  <si>
    <t>Fiberglass Chemical Storage Tanks</t>
  </si>
  <si>
    <t>Size Needed (gal)</t>
  </si>
  <si>
    <t>Size Selected (gal)</t>
  </si>
  <si>
    <t>fg_cst_cost_cl</t>
  </si>
  <si>
    <t>Fiberglass Pressure Vessels - Plastic Internals</t>
  </si>
  <si>
    <t>fg_pv_cost_cl</t>
  </si>
  <si>
    <t>bls1399</t>
  </si>
  <si>
    <t>Granular Activated Carbon - Material and Delivery Cost</t>
  </si>
  <si>
    <t>Quantity Needed (lb)</t>
  </si>
  <si>
    <t>Quantity Selected (lb)</t>
  </si>
  <si>
    <t>Avg. Unit Cost ($/lb)</t>
  </si>
  <si>
    <t>gac_cost_cl</t>
  </si>
  <si>
    <t>Slurry Pumps for Media Transfer</t>
  </si>
  <si>
    <t>Size Needed (lb/hr)</t>
  </si>
  <si>
    <t>Size Selected (lb/hr)</t>
  </si>
  <si>
    <t>gac_slurry_cost_cl</t>
  </si>
  <si>
    <t xml:space="preserve">HDPE Backwash Tanks </t>
  </si>
  <si>
    <t>hdpe_bwt_cost_cl</t>
  </si>
  <si>
    <t>Head Loss Sensor</t>
  </si>
  <si>
    <t>headloss_cost_cl</t>
  </si>
  <si>
    <t>Impeller Mixers for Rapid Mix</t>
  </si>
  <si>
    <t>Size needed (hp)</t>
  </si>
  <si>
    <t>Size Selected (hp)</t>
  </si>
  <si>
    <t>imp_mix_cost_cl</t>
  </si>
  <si>
    <t>Stainless Steel Inline/Rapid Mixers</t>
  </si>
  <si>
    <t>in_mix_cost_cl</t>
  </si>
  <si>
    <t>bls1154</t>
  </si>
  <si>
    <t>Laser Jet Printer</t>
  </si>
  <si>
    <t>laser_printer_cost_cl</t>
  </si>
  <si>
    <t>Magnetic Flow Meters</t>
  </si>
  <si>
    <t>mag_fm_cost_cl</t>
  </si>
  <si>
    <t>Filter Media Costs</t>
  </si>
  <si>
    <t>AAFS-50</t>
  </si>
  <si>
    <t>ft3</t>
  </si>
  <si>
    <t>Activated Alumina</t>
  </si>
  <si>
    <t>G2 Media</t>
  </si>
  <si>
    <t>Granular Ferric Hydroxide</t>
  </si>
  <si>
    <t>Gravel</t>
  </si>
  <si>
    <t>Limestone</t>
  </si>
  <si>
    <t>Manganese Greensand</t>
  </si>
  <si>
    <t>SORB 33</t>
  </si>
  <si>
    <t>media_cost_cl</t>
  </si>
  <si>
    <t>Metalwork</t>
  </si>
  <si>
    <t>riser</t>
  </si>
  <si>
    <t>Checkered Plate Platform</t>
  </si>
  <si>
    <t>Grating</t>
  </si>
  <si>
    <t>metal_cost_cl</t>
  </si>
  <si>
    <t>Mounted Mixers (for neutralization tanks, etc)</t>
  </si>
  <si>
    <t>Size selected (hp)</t>
  </si>
  <si>
    <t>mount_mix_cost_cl</t>
  </si>
  <si>
    <t>Online Nitrate Analyzer</t>
  </si>
  <si>
    <t>nitrateanalyzer_cost_cl</t>
  </si>
  <si>
    <t>Orifice Plate Flow Meters</t>
  </si>
  <si>
    <t>op_fm_cost_cl</t>
  </si>
  <si>
    <t>bls117507</t>
  </si>
  <si>
    <t>Operator Interface Software</t>
  </si>
  <si>
    <t>op_interface_software_cost_cl</t>
  </si>
  <si>
    <t>bls11510114</t>
  </si>
  <si>
    <t>PC Workstation</t>
  </si>
  <si>
    <t>pc_workstation_cost_cl</t>
  </si>
  <si>
    <t>bls11470145</t>
  </si>
  <si>
    <t>Positive Displacement Blowers</t>
  </si>
  <si>
    <t>Size needed (cfm)</t>
  </si>
  <si>
    <t>Size selected (cfm)</t>
  </si>
  <si>
    <t>pd_blow_cost_cl</t>
  </si>
  <si>
    <t>pH Meters/Controllers</t>
  </si>
  <si>
    <t>pH_meter_cost_cl</t>
  </si>
  <si>
    <t>Hand Dug Test Pits</t>
  </si>
  <si>
    <t>pit_cost_cl</t>
  </si>
  <si>
    <t>Plastic (XLPE) Chemical Storage Tanks</t>
  </si>
  <si>
    <t>pl_cst_cost_cl</t>
  </si>
  <si>
    <t>Plastic Inline/Rapid Mixers</t>
  </si>
  <si>
    <t>pl_in_mix_cost_cl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</si>
  <si>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</si>
  <si>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</si>
  <si>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</si>
  <si>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</si>
  <si>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</si>
  <si>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</si>
  <si>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</si>
  <si>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</si>
  <si>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</si>
  <si>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</si>
  <si>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</si>
  <si>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</si>
  <si>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</si>
  <si>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</si>
  <si>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</si>
  <si>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</si>
  <si>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</si>
  <si>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</si>
  <si>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</si>
  <si>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</si>
  <si>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</si>
  <si>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</si>
  <si>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</si>
  <si>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</si>
  <si>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</si>
  <si>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</si>
  <si>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</si>
  <si>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</si>
  <si>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</si>
  <si>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</si>
  <si>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</si>
  <si>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</si>
  <si>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</si>
  <si>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</si>
  <si>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</si>
  <si>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</si>
  <si>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</si>
  <si>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</si>
  <si>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</si>
  <si>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Centrifugal Pumps (Booster)</t>
  </si>
  <si>
    <t>pump_cost_cl</t>
  </si>
  <si>
    <t>PVC Chemical Metering Pumps - Electric</t>
  </si>
  <si>
    <t>Size needed (gph)</t>
  </si>
  <si>
    <t>Size selected (gph)</t>
  </si>
  <si>
    <t>pvc_empump_cost_cl</t>
  </si>
  <si>
    <t>PVC Chemical Metering Pumps - Mechanical</t>
  </si>
  <si>
    <t>pvc_mmpump_cost_cl</t>
  </si>
  <si>
    <t>PVC Piping</t>
  </si>
  <si>
    <t>pvc_pipe_cost_cl</t>
  </si>
  <si>
    <t>Eductors (for bed transfer)</t>
  </si>
  <si>
    <t>Size Needed (in. diam)</t>
  </si>
  <si>
    <t>Size Selected (in. diam)</t>
  </si>
  <si>
    <t>seductor_cost_cl</t>
  </si>
  <si>
    <t>Sitework unit cost</t>
  </si>
  <si>
    <t>sitework_sf_cl</t>
  </si>
  <si>
    <t>Stainless Steel Check Valves</t>
  </si>
  <si>
    <t>ss_chv_cost_cl</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</si>
  <si>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</si>
  <si>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</si>
  <si>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</si>
  <si>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</si>
  <si>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</si>
  <si>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</si>
  <si>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</si>
  <si>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</si>
  <si>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</si>
  <si>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</si>
  <si>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</si>
  <si>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</si>
  <si>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</si>
  <si>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Stainless Steel Pressure Vessels</t>
  </si>
  <si>
    <t>ss_pv_cost_cl</t>
  </si>
  <si>
    <t>Steel Backwash Tanks</t>
  </si>
  <si>
    <t>st_bwt_cost_cl</t>
  </si>
  <si>
    <t>bls107411</t>
  </si>
  <si>
    <t>Steel Piping</t>
  </si>
  <si>
    <t>st_pipe_cost_cl</t>
  </si>
  <si>
    <t>ECI</t>
  </si>
  <si>
    <t>Geotechnical costs</t>
  </si>
  <si>
    <t>stake_out_cost_cl</t>
  </si>
  <si>
    <t>bls1173</t>
  </si>
  <si>
    <t>Standby Generators for Standby Power Calculations</t>
  </si>
  <si>
    <t>Size needed (kW)</t>
  </si>
  <si>
    <t>Size selected (kW)</t>
  </si>
  <si>
    <t>Avg. Unit Cost ($/kW)</t>
  </si>
  <si>
    <t>std_gen_cost_cl</t>
  </si>
  <si>
    <t>Drive Controllers</t>
  </si>
  <si>
    <t>switch_cost_cl</t>
  </si>
  <si>
    <t>Temperature Meter</t>
  </si>
  <si>
    <t>temp_meter_cost_cl</t>
  </si>
  <si>
    <t>Gravity Thickener Internals</t>
  </si>
  <si>
    <t>Avg. Unit Cost (per foot diameter)</t>
  </si>
  <si>
    <t>thick_internal_cost_cl</t>
  </si>
  <si>
    <t>Turbidimeter</t>
  </si>
  <si>
    <t>turbidimeter_cost_cl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</si>
  <si>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</si>
  <si>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</si>
  <si>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</si>
  <si>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</si>
  <si>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</si>
  <si>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</si>
  <si>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</si>
  <si>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</si>
  <si>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</si>
  <si>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</si>
  <si>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</si>
  <si>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</si>
  <si>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</si>
  <si>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</si>
  <si>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</si>
  <si>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</si>
  <si>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bls106</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</si>
  <si>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</si>
  <si>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</si>
  <si>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</si>
  <si>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</si>
  <si>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</si>
  <si>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</si>
  <si>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</si>
  <si>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</si>
  <si>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</si>
  <si>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</si>
  <si>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</si>
  <si>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clo4_analysis_cost_cl</t>
  </si>
  <si>
    <t>Cooling system maintenance (labor and materials)</t>
  </si>
  <si>
    <t>cooling_matl_rate_cl</t>
  </si>
  <si>
    <t>Heating oil cost</t>
  </si>
  <si>
    <t>diesel_cost_cl</t>
  </si>
  <si>
    <t>Energy cost</t>
  </si>
  <si>
    <t>energy_cost_cl</t>
  </si>
  <si>
    <t>Natural gas cost</t>
  </si>
  <si>
    <t>gas_cost_cl</t>
  </si>
  <si>
    <t>Hazardous waste disposal</t>
  </si>
  <si>
    <t>/ton</t>
  </si>
  <si>
    <t>haz_disposal_cost_cl</t>
  </si>
  <si>
    <t>Hazardous waste minimum charge per shipment</t>
  </si>
  <si>
    <t>/shipment</t>
  </si>
  <si>
    <t>haz_trans_min_cost_cl</t>
  </si>
  <si>
    <t>Hazardous waste transportation</t>
  </si>
  <si>
    <t>/ton-mile</t>
  </si>
  <si>
    <t>haz_transportation_cost_cl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</si>
  <si>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</si>
  <si>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</si>
  <si>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</si>
  <si>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</si>
  <si>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</si>
  <si>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</si>
  <si>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</si>
  <si>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</si>
  <si>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</si>
  <si>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</si>
  <si>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</si>
  <si>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</si>
  <si>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</si>
  <si>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</si>
  <si>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</si>
  <si>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</si>
  <si>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</si>
  <si>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</si>
  <si>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</si>
  <si>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</si>
  <si>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</si>
  <si>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</si>
  <si>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</si>
  <si>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</si>
  <si>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</si>
  <si>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</si>
  <si>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</si>
  <si>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</si>
  <si>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</si>
  <si>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</si>
  <si>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</si>
  <si>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</si>
  <si>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</si>
  <si>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</si>
  <si>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</si>
  <si>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</si>
  <si>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</si>
  <si>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</si>
  <si>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</si>
  <si>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</si>
  <si>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</si>
  <si>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</si>
  <si>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</si>
  <si>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</si>
  <si>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AA</t>
  </si>
  <si>
    <t>G2</t>
  </si>
  <si>
    <t>SORB33</t>
  </si>
  <si>
    <t>GFH</t>
  </si>
  <si>
    <t>GF</t>
  </si>
  <si>
    <t>AX</t>
  </si>
  <si>
    <t>CX</t>
  </si>
  <si>
    <t>Lime</t>
  </si>
  <si>
    <t>RO</t>
  </si>
  <si>
    <t>NF</t>
  </si>
  <si>
    <t>EDR</t>
  </si>
  <si>
    <t>PLPM</t>
  </si>
  <si>
    <t>SLPM</t>
  </si>
  <si>
    <t>confilt</t>
  </si>
  <si>
    <t>dirfilt</t>
  </si>
  <si>
    <t>UV</t>
  </si>
  <si>
    <t>UVAOP</t>
  </si>
  <si>
    <t>PTA</t>
  </si>
  <si>
    <t>MSBA</t>
  </si>
  <si>
    <t>Tray Aeration</t>
  </si>
  <si>
    <t>Diffuse Aeration</t>
  </si>
  <si>
    <t>O3_PX</t>
  </si>
  <si>
    <t>O3_D</t>
  </si>
  <si>
    <t>RCF for Cr(VI) Removal</t>
  </si>
  <si>
    <t>BAF</t>
  </si>
  <si>
    <t>Medium systems</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</si>
  <si>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</si>
  <si>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</si>
  <si>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</si>
  <si>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</si>
  <si>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</si>
  <si>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</si>
  <si>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</si>
  <si>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</si>
  <si>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</si>
  <si>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</si>
  <si>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</si>
  <si>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</si>
  <si>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</si>
  <si>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</si>
  <si>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</si>
  <si>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</si>
  <si>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</si>
  <si>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</si>
  <si>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</si>
  <si>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</si>
  <si>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</si>
  <si>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</si>
  <si>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</si>
  <si>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</si>
  <si>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</si>
  <si>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</si>
  <si>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</si>
  <si>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</si>
  <si>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</si>
  <si>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</si>
  <si>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</si>
  <si>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</si>
  <si>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</si>
  <si>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</si>
  <si>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</si>
  <si>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</si>
  <si>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</si>
  <si>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</si>
  <si>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Blower dimensions</t>
  </si>
  <si>
    <t>Blower rating needed (cfm)</t>
  </si>
  <si>
    <t>Blower rating selected (cfm)</t>
  </si>
  <si>
    <t>rated hp</t>
  </si>
  <si>
    <t>max  pressure psi</t>
  </si>
  <si>
    <t>Length (in)</t>
  </si>
  <si>
    <t>Width (in)</t>
  </si>
  <si>
    <t>Length (ft)</t>
  </si>
  <si>
    <t>Width (ft)</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</si>
  <si>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</si>
  <si>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</si>
  <si>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</si>
  <si>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</si>
  <si>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</si>
  <si>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</si>
  <si>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</si>
  <si>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</si>
  <si>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</si>
  <si>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</si>
  <si>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</si>
  <si>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</si>
  <si>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</si>
  <si>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</si>
  <si>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</si>
  <si>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</si>
  <si>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</si>
  <si>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</si>
  <si>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</si>
  <si>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</si>
  <si>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</si>
  <si>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</si>
  <si>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</si>
  <si>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</si>
  <si>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</si>
  <si>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</si>
  <si>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</si>
  <si>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</si>
  <si>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</si>
  <si>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</si>
  <si>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</si>
  <si>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</si>
  <si>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</si>
  <si>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</si>
  <si>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</si>
  <si>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</si>
  <si>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</si>
  <si>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</si>
  <si>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</si>
  <si>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</si>
  <si>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</si>
  <si>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</si>
  <si>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</si>
  <si>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</si>
  <si>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</si>
  <si>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</si>
  <si>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</si>
  <si>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</si>
  <si>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</si>
  <si>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</si>
  <si>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</si>
  <si>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</si>
  <si>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</si>
  <si>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</si>
  <si>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</si>
  <si>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</si>
  <si>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Concrete mass</t>
  </si>
  <si>
    <t>lbs/cy</t>
  </si>
  <si>
    <t>convert_concrete_cy_to_lbs_cl</t>
  </si>
  <si>
    <t>Cement content in concrete</t>
  </si>
  <si>
    <t>percent weight</t>
  </si>
  <si>
    <t>convert_concrete_to_cement_cl</t>
  </si>
  <si>
    <t>Eductor Size Selection</t>
  </si>
  <si>
    <t>Transfer Rate (GPM)</t>
  </si>
  <si>
    <t>Diameter (inch)</t>
  </si>
  <si>
    <t>Chlorine</t>
  </si>
  <si>
    <t>Maximum cooling capacity for heat pump</t>
  </si>
  <si>
    <t>hp_max_cool_cl</t>
  </si>
  <si>
    <t>Maximum heating capacity for heat pump</t>
  </si>
  <si>
    <t>hp_max_heat_cl</t>
  </si>
  <si>
    <t>Maximum cooling capacity</t>
  </si>
  <si>
    <t>max_cool_cl</t>
  </si>
  <si>
    <t>Maximum heating capacity</t>
  </si>
  <si>
    <t>max_heat_cl</t>
  </si>
  <si>
    <t>Maximum diameter in table</t>
  </si>
  <si>
    <t>max_vessel_diam_cl</t>
  </si>
  <si>
    <t>Minimum diameter in table</t>
  </si>
  <si>
    <t>min_vessel_diam_cl</t>
  </si>
  <si>
    <t>Performance Bond</t>
  </si>
  <si>
    <t>Direct cost lookup</t>
  </si>
  <si>
    <t>Base cost</t>
  </si>
  <si>
    <t>Plus fraction</t>
  </si>
  <si>
    <t>Of amount over</t>
  </si>
  <si>
    <t>$100,000 to $500,000</t>
  </si>
  <si>
    <t>$500,000 to $2,500,000</t>
  </si>
  <si>
    <t>$2,500,000 to $5,000,000</t>
  </si>
  <si>
    <t>$5,000,000 to $7,500,000</t>
  </si>
  <si>
    <t>&gt;$7,500,000</t>
  </si>
  <si>
    <t>Pipe Size Selection</t>
  </si>
  <si>
    <t>Pipe Flow to Pipe Diameter</t>
  </si>
  <si>
    <t>Flow (GPM)</t>
  </si>
  <si>
    <t>Pump Dimensions (for centrifugal pumps)</t>
  </si>
  <si>
    <t>Pump Rating Needed (gpm)</t>
  </si>
  <si>
    <t>Pump Rating Selected (gpm)</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</si>
  <si>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</si>
  <si>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</si>
  <si>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</si>
  <si>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</si>
  <si>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</si>
  <si>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</si>
  <si>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</si>
  <si>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</si>
  <si>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</si>
  <si>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</si>
  <si>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</si>
  <si>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</si>
  <si>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</si>
  <si>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None</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</si>
  <si>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</si>
  <si>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</si>
  <si>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</si>
  <si>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</si>
  <si>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</si>
  <si>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</si>
  <si>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</si>
  <si>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</si>
  <si>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</si>
  <si>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</si>
  <si>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</si>
  <si>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</si>
  <si>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</si>
  <si>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</si>
  <si>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</si>
  <si>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</si>
  <si>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</si>
  <si>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</si>
  <si>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</si>
  <si>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</si>
  <si>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</si>
  <si>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</si>
  <si>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</si>
  <si>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</si>
  <si>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</si>
  <si>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</si>
  <si>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</si>
  <si>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</si>
  <si>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</si>
  <si>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</si>
  <si>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</si>
  <si>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</si>
  <si>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</si>
  <si>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</si>
  <si>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</si>
  <si>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</si>
  <si>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</si>
  <si>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</si>
  <si>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</si>
  <si>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</si>
  <si>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</si>
  <si>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</si>
  <si>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</si>
  <si>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</si>
  <si>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</si>
  <si>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</si>
  <si>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</si>
  <si>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</si>
  <si>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</si>
  <si>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</si>
  <si>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</si>
  <si>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</si>
  <si>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</si>
  <si>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</si>
  <si>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</si>
  <si>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</si>
  <si>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</si>
  <si>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</si>
  <si>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</si>
  <si>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</si>
  <si>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</si>
  <si>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</si>
  <si>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</si>
  <si>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Size Selected</t>
  </si>
  <si>
    <t>Commercial Pressure Vessel Dimensions</t>
  </si>
  <si>
    <t>Note: Models may specify a maximum height or diameter which is smaller than those tabulated here</t>
  </si>
  <si>
    <t>Dimensions tabulated based on commercially available tanks from Wendland Manufacturing, Hanson Tanks, Apyron Tech, Pabst Engineering Equipment, and Able Fab, and from case study data.</t>
  </si>
  <si>
    <t>Min Height</t>
  </si>
  <si>
    <t>Max Height</t>
  </si>
  <si>
    <t>Power: C1*x^C2</t>
  </si>
  <si>
    <t>Logarithmic: C3*Ln(x) + C4</t>
  </si>
  <si>
    <t>Exponential: C5*e^(C6*x)</t>
  </si>
  <si>
    <t>Polynomial: C7*x^3 + C8*x^2 + C9*x + C10</t>
  </si>
  <si>
    <t>NOTES</t>
  </si>
  <si>
    <t>Equation Lookup Name</t>
  </si>
  <si>
    <t>C1</t>
  </si>
  <si>
    <t>C2</t>
  </si>
  <si>
    <t>C3</t>
  </si>
  <si>
    <t>C4</t>
  </si>
  <si>
    <t>C5</t>
  </si>
  <si>
    <t>C6</t>
  </si>
  <si>
    <t>C7</t>
  </si>
  <si>
    <t>C8</t>
  </si>
  <si>
    <t>C9</t>
  </si>
  <si>
    <t>C10</t>
  </si>
  <si>
    <t>Pct deviation of fit equation</t>
  </si>
  <si>
    <t>Last modified</t>
  </si>
  <si>
    <t>Rsq of fit equation</t>
  </si>
  <si>
    <t>max size used to gen curve</t>
  </si>
  <si>
    <t xml:space="preserve"> 1/13/2023 9:40:25 AM</t>
  </si>
  <si>
    <t xml:space="preserve"> 1/13/2023 9:40:48 AM</t>
  </si>
  <si>
    <t xml:space="preserve"> 1/13/2023 9:41:07 AM</t>
  </si>
  <si>
    <t xml:space="preserve"> 1/13/2023 9:37:21 AM</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</si>
  <si>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</si>
  <si>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</si>
  <si>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</si>
  <si>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</si>
  <si>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</si>
  <si>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</si>
  <si>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</si>
  <si>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</si>
  <si>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</si>
  <si>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</si>
  <si>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</si>
  <si>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</si>
  <si>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</si>
  <si>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</si>
  <si>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</si>
  <si>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</si>
  <si>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</si>
  <si>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</si>
  <si>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</si>
  <si>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</si>
  <si>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</si>
  <si>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</si>
  <si>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</si>
  <si>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</si>
  <si>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</si>
  <si>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</si>
  <si>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</si>
  <si>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</si>
  <si>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</si>
  <si>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</si>
  <si>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11:37:54 AM</t>
  </si>
  <si>
    <t xml:space="preserve"> 1/17/2023 12:20:25 PM</t>
  </si>
  <si>
    <t xml:space="preserve"> 1/17/2023 12:20:38 PM</t>
  </si>
  <si>
    <t xml:space="preserve"> 1/17/2023 12:05:11 PM</t>
  </si>
  <si>
    <t xml:space="preserve"> 1/17/2023 12:17:46 PM</t>
  </si>
  <si>
    <t xml:space="preserve"> 1/19/2023 2:26:16 PM</t>
  </si>
  <si>
    <t xml:space="preserve"> 1/23/2023 11:25:57 AM</t>
  </si>
  <si>
    <t xml:space="preserve"> 1/23/2023 12:23:00 PM</t>
  </si>
  <si>
    <t xml:space="preserve"> 1/23/2023 12:23:20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</si>
  <si>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</si>
  <si>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</si>
  <si>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</si>
  <si>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</si>
  <si>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</si>
  <si>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</si>
  <si>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</si>
  <si>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2:54:07 PM</t>
  </si>
  <si>
    <t xml:space="preserve"> 1/25/2023 6:03:12 PM</t>
  </si>
  <si>
    <t xml:space="preserve"> 1/25/2023 6:03:24 PM</t>
  </si>
  <si>
    <t xml:space="preserve"> 1/25/2023 6:03:34 PM</t>
  </si>
  <si>
    <t xml:space="preserve"> 1/25/2023 11:05:56 AM</t>
  </si>
  <si>
    <t xml:space="preserve"> 1/25/2023 6:05:06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</si>
  <si>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</si>
  <si>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</si>
  <si>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</si>
  <si>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</si>
  <si>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</si>
  <si>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</si>
  <si>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</si>
  <si>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</si>
  <si>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</si>
  <si>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 xml:space="preserve"> 1/25/2023 5:58:02 PM</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</si>
  <si>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</si>
  <si>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</si>
  <si>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</si>
  <si>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</si>
  <si>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</si>
  <si>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</si>
  <si>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</si>
  <si>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</si>
  <si>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</si>
  <si>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</si>
  <si>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</si>
  <si>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</si>
  <si>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</si>
  <si>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Biological Ttreatment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</si>
  <si>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</si>
  <si>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</si>
  <si>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</si>
  <si>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</si>
  <si>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</si>
  <si>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Based on theoretical operating characteristics provided by an eductor vendor</t>
  </si>
  <si>
    <t>hvac_hp_eq_2_l</t>
  </si>
  <si>
    <r>
      <t xml:space="preserve">USEPA. 2023. </t>
    </r>
    <r>
      <rPr>
        <i/>
        <sz val="10"/>
        <rFont val="Arial"/>
        <family val="2"/>
      </rPr>
      <t>Work Breakdown Structure-Based Cost Model for Biological Drinking Water Treatment</t>
    </r>
    <r>
      <rPr>
        <sz val="10"/>
        <rFont val="Arial"/>
        <family val="2"/>
      </rPr>
      <t>. Office of Water.</t>
    </r>
  </si>
  <si>
    <t>Release Date: March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</si>
</sst>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quot;$&quot;#,##0.00_);[Red]\(&quot;$&quot;#,##0.00\)"/>
    <numFmt numFmtId="166" formatCode="_(* #,##0_);_(* \(#,##0\);_(* &quot;-&quot;_);_(@_)"/>
    <numFmt numFmtId="167" formatCode="_(&quot;$&quot;* #,##0.00_);_(&quot;$&quot;* \(#,##0.00\);_(&quot;$&quot;* &quot;-&quot;??_);_(@_)"/>
    <numFmt numFmtId="168" formatCode="_(* #,##0.00_);_(* \(#,##0.00\);_(* &quot;-&quot;??_);_(@_)"/>
    <numFmt numFmtId="169" formatCode="_(* #,##0.0_);_(* \(#,##0.0\);_(* &quot;-&quot;??_);_(@_)"/>
    <numFmt numFmtId="170" formatCode="_(* #,##0_);_(* \(#,##0\);_(* &quot;-&quot;??_);_(@_)"/>
    <numFmt numFmtId="171" formatCode="0.0000"/>
    <numFmt numFmtId="172" formatCode="0.000"/>
    <numFmt numFmtId="173" formatCode="_(&quot;$&quot;* #,##0_);_(&quot;$&quot;* \(#,##0\);_(&quot;$&quot;* &quot;-&quot;??_);_(@_)"/>
    <numFmt numFmtId="174" formatCode="&quot;$&quot;#,##0"/>
    <numFmt numFmtId="175" formatCode="0.0"/>
    <numFmt numFmtId="176" formatCode="_(* #,##0.000_);_(* \(#,##0.000\);_(* &quot;-&quot;??_);_(@_)"/>
    <numFmt numFmtId="177" formatCode="_(* #,##0.0000_);_(* \(#,##0.0000\);_(* &quot;-&quot;??_);_(@_)"/>
    <numFmt numFmtId="178" formatCode="0.0%"/>
    <numFmt numFmtId="179" formatCode="&quot;$&quot;#,##0.00"/>
    <numFmt numFmtId="180" formatCode="#,##0.0"/>
    <numFmt numFmtId="181" formatCode="#,##0.0000_);\(#,##0.0000\)"/>
  </numFmts>
  <fonts count="8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i/>
      <sz val="8"/>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i/>
      <u/>
      <sz val="10"/>
      <name val="Arial"/>
      <family val="2"/>
    </font>
    <font>
      <sz val="10"/>
      <color indexed="8"/>
      <name val="Arial"/>
      <family val="2"/>
    </font>
    <font>
      <sz val="9"/>
      <color indexed="8"/>
      <name val="Arial"/>
      <family val="2"/>
    </font>
    <font>
      <sz val="10"/>
      <color indexed="17"/>
      <name val="Arial"/>
      <family val="2"/>
    </font>
    <font>
      <b/>
      <i/>
      <sz val="10"/>
      <color indexed="17"/>
      <name val="Arial"/>
      <family val="2"/>
    </font>
    <font>
      <b/>
      <sz val="12"/>
      <name val="Arial"/>
      <family val="2"/>
    </font>
    <font>
      <sz val="9"/>
      <color indexed="17"/>
      <name val="Arial"/>
      <family val="2"/>
    </font>
    <font>
      <sz val="8"/>
      <color indexed="81"/>
      <name val="Tahoma"/>
      <family val="2"/>
    </font>
    <font>
      <b/>
      <u/>
      <sz val="10"/>
      <name val="Arial"/>
      <family val="2"/>
    </font>
    <font>
      <sz val="10"/>
      <color indexed="51"/>
      <name val="Arial"/>
      <family val="2"/>
    </font>
    <font>
      <sz val="10"/>
      <color indexed="40"/>
      <name val="Arial"/>
      <family val="2"/>
    </font>
    <font>
      <i/>
      <sz val="10"/>
      <color indexed="52"/>
      <name val="Arial"/>
      <family val="2"/>
    </font>
    <font>
      <i/>
      <sz val="10"/>
      <color indexed="40"/>
      <name val="Arial"/>
      <family val="2"/>
    </font>
    <font>
      <i/>
      <sz val="10"/>
      <name val="Arial"/>
      <family val="2"/>
    </font>
    <font>
      <sz val="8"/>
      <color indexed="17"/>
      <name val="Arial"/>
      <family val="2"/>
    </font>
    <font>
      <b/>
      <sz val="10"/>
      <color indexed="17"/>
      <name val="Arial"/>
      <family val="2"/>
    </font>
    <font>
      <sz val="10"/>
      <color indexed="17"/>
      <name val="Arial"/>
      <family val="2"/>
    </font>
    <font>
      <b/>
      <u/>
      <sz val="10"/>
      <name val="Arial"/>
      <family val="2"/>
    </font>
    <font>
      <b/>
      <sz val="10"/>
      <name val="Arial"/>
      <family val="2"/>
    </font>
    <font>
      <sz val="10"/>
      <color indexed="18"/>
      <name val="Arial"/>
      <family val="2"/>
    </font>
    <font>
      <b/>
      <sz val="8"/>
      <color indexed="81"/>
      <name val="Tahoma"/>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b/>
      <sz val="12"/>
      <color indexed="61"/>
      <name val="Arial"/>
      <family val="2"/>
    </font>
    <font>
      <b/>
      <sz val="10"/>
      <color indexed="8"/>
      <name val="Arial"/>
      <family val="2"/>
    </font>
    <font>
      <sz val="8"/>
      <name val="Arial"/>
      <family val="2"/>
    </font>
    <font>
      <sz val="10"/>
      <color indexed="23"/>
      <name val="Arial"/>
      <family val="2"/>
    </font>
    <font>
      <u/>
      <sz val="10"/>
      <name val="Arial"/>
      <family val="2"/>
    </font>
    <font>
      <b/>
      <sz val="12"/>
      <color indexed="20"/>
      <name val="Arial"/>
      <family val="2"/>
    </font>
    <font>
      <sz val="8"/>
      <color indexed="57"/>
      <name val="Arial"/>
      <family val="2"/>
    </font>
    <font>
      <sz val="10"/>
      <name val="Arial"/>
      <family val="2"/>
    </font>
    <font>
      <sz val="10"/>
      <color indexed="17"/>
      <name val="Arial"/>
      <family val="2"/>
    </font>
    <font>
      <sz val="8"/>
      <name val="Arial"/>
      <family val="2"/>
    </font>
    <font>
      <i/>
      <u/>
      <sz val="10"/>
      <color indexed="17"/>
      <name val="Arial"/>
      <family val="2"/>
    </font>
    <font>
      <sz val="10"/>
      <name val="Arial"/>
      <family val="2"/>
    </font>
    <font>
      <sz val="10"/>
      <color rgb="FF000000"/>
      <name val="Arial"/>
      <family val="2"/>
    </font>
    <font>
      <b/>
      <sz val="10"/>
      <color rgb="FF008000"/>
      <name val="Arial"/>
      <family val="2"/>
    </font>
    <font>
      <b/>
      <sz val="9"/>
      <color indexed="81"/>
      <name val="Tahoma"/>
      <family val="2"/>
    </font>
    <font>
      <sz val="9"/>
      <color indexed="81"/>
      <name val="Tahoma"/>
      <family val="2"/>
    </font>
    <font>
      <b/>
      <sz val="10"/>
      <color rgb="FFFF0000"/>
      <name val="Arial"/>
      <family val="2"/>
    </font>
    <font>
      <i/>
      <sz val="10"/>
      <color rgb="FF008000"/>
      <name val="Arial"/>
      <family val="2"/>
    </font>
    <font>
      <sz val="10"/>
      <color theme="1"/>
      <name val="Arial"/>
      <family val="2"/>
    </font>
    <font>
      <b/>
      <u/>
      <sz val="9"/>
      <color indexed="81"/>
      <name val="Tahoma"/>
      <family val="2"/>
    </font>
    <font>
      <u/>
      <sz val="10"/>
      <color theme="1"/>
      <name val="Arial"/>
      <family val="2"/>
    </font>
    <font>
      <i/>
      <sz val="10"/>
      <color theme="1"/>
      <name val="Arial"/>
      <family val="2"/>
    </font>
    <font>
      <sz val="10"/>
      <color rgb="FF008000"/>
      <name val="Arial"/>
      <family val="2"/>
    </font>
    <font>
      <b/>
      <u/>
      <sz val="10"/>
      <color indexed="61"/>
      <name val="Arial"/>
      <family val="2"/>
    </font>
    <font>
      <b/>
      <sz val="10"/>
      <color theme="1"/>
      <name val="Arial"/>
      <family val="2"/>
    </font>
    <font>
      <b/>
      <sz val="8"/>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Calibri"/>
      <family val="2"/>
      <scheme val="minor"/>
    </font>
    <font>
      <sz val="10"/>
      <name val="Symbol"/>
      <family val="1"/>
      <charset val="2"/>
    </font>
    <font>
      <sz val="10"/>
      <name val="Times New Roman"/>
      <family val="1"/>
    </font>
    <font>
      <u/>
      <sz val="10"/>
      <color indexed="12"/>
      <name val="Symbol"/>
      <family val="1"/>
      <charset val="2"/>
    </font>
  </fonts>
  <fills count="16">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55"/>
        <bgColor indexed="64"/>
      </patternFill>
    </fill>
    <fill>
      <patternFill patternType="solid">
        <fgColor indexed="48"/>
        <bgColor indexed="64"/>
      </patternFill>
    </fill>
    <fill>
      <patternFill patternType="solid">
        <fgColor indexed="41"/>
        <bgColor indexed="64"/>
      </patternFill>
    </fill>
    <fill>
      <patternFill patternType="solid">
        <fgColor indexed="17"/>
        <bgColor indexed="64"/>
      </patternFill>
    </fill>
    <fill>
      <patternFill patternType="solid">
        <fgColor indexed="18"/>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bgColor indexed="64"/>
      </patternFill>
    </fill>
    <fill>
      <patternFill patternType="solid">
        <fgColor rgb="FF00CCFF"/>
        <bgColor indexed="64"/>
      </patternFill>
    </fill>
    <fill>
      <patternFill patternType="solid">
        <fgColor rgb="FFC0C0C0"/>
        <bgColor indexed="64"/>
      </patternFill>
    </fill>
    <fill>
      <patternFill patternType="solid">
        <fgColor theme="0" tint="-0.14999847407452621"/>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right/>
      <top style="thin">
        <color indexed="64"/>
      </top>
      <bottom/>
      <diagonal/>
    </border>
    <border>
      <left style="thin">
        <color indexed="64"/>
      </left>
      <right style="thin">
        <color indexed="22"/>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top/>
      <bottom/>
      <diagonal/>
    </border>
    <border>
      <left/>
      <right style="thin">
        <color indexed="22"/>
      </right>
      <top/>
      <bottom/>
      <diagonal/>
    </border>
    <border>
      <left/>
      <right/>
      <top style="thin">
        <color indexed="64"/>
      </top>
      <bottom style="thin">
        <color indexed="22"/>
      </bottom>
      <diagonal/>
    </border>
    <border>
      <left/>
      <right style="thin">
        <color indexed="64"/>
      </right>
      <top style="thin">
        <color indexed="64"/>
      </top>
      <bottom style="thin">
        <color indexed="22"/>
      </bottom>
      <diagonal/>
    </border>
    <border>
      <left style="thin">
        <color indexed="22"/>
      </left>
      <right style="thin">
        <color indexed="22"/>
      </right>
      <top style="thin">
        <color indexed="22"/>
      </top>
      <bottom style="thin">
        <color indexed="64"/>
      </bottom>
      <diagonal/>
    </border>
    <border>
      <left style="thin">
        <color indexed="22"/>
      </left>
      <right style="thin">
        <color indexed="22"/>
      </right>
      <top/>
      <bottom style="thin">
        <color indexed="64"/>
      </bottom>
      <diagonal/>
    </border>
    <border>
      <left/>
      <right style="thin">
        <color indexed="64"/>
      </right>
      <top style="thin">
        <color indexed="64"/>
      </top>
      <bottom/>
      <diagonal/>
    </border>
    <border>
      <left style="thin">
        <color indexed="22"/>
      </left>
      <right/>
      <top/>
      <bottom style="thin">
        <color indexed="64"/>
      </bottom>
      <diagonal/>
    </border>
    <border>
      <left style="thin">
        <color indexed="22"/>
      </left>
      <right style="thin">
        <color indexed="22"/>
      </right>
      <top style="thin">
        <color indexed="22"/>
      </top>
      <bottom style="double">
        <color indexed="64"/>
      </bottom>
      <diagonal/>
    </border>
    <border>
      <left style="thin">
        <color indexed="22"/>
      </left>
      <right style="thin">
        <color indexed="22"/>
      </right>
      <top/>
      <bottom style="thin">
        <color indexed="2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22"/>
      </top>
      <bottom/>
      <diagonal/>
    </border>
    <border>
      <left/>
      <right style="thin">
        <color indexed="22"/>
      </right>
      <top style="thin">
        <color indexed="22"/>
      </top>
      <bottom/>
      <diagonal/>
    </border>
    <border>
      <left style="thin">
        <color indexed="22"/>
      </left>
      <right style="thin">
        <color indexed="64"/>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right/>
      <top/>
      <bottom style="thin">
        <color indexed="22"/>
      </bottom>
      <diagonal/>
    </border>
    <border>
      <left style="thin">
        <color indexed="22"/>
      </left>
      <right/>
      <top style="thin">
        <color indexed="22"/>
      </top>
      <bottom style="thin">
        <color indexed="22"/>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right style="thin">
        <color indexed="64"/>
      </right>
      <top style="thin">
        <color indexed="22"/>
      </top>
      <bottom/>
      <diagonal/>
    </border>
    <border>
      <left style="thin">
        <color indexed="22"/>
      </left>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22"/>
      </left>
      <right style="thin">
        <color indexed="22"/>
      </right>
      <top style="thin">
        <color indexed="22"/>
      </top>
      <bottom/>
      <diagonal/>
    </border>
    <border>
      <left/>
      <right style="thin">
        <color indexed="22"/>
      </right>
      <top style="thin">
        <color indexed="22"/>
      </top>
      <bottom style="thin">
        <color indexed="22"/>
      </bottom>
      <diagonal/>
    </border>
    <border>
      <left style="thin">
        <color indexed="64"/>
      </left>
      <right/>
      <top style="thin">
        <color indexed="22"/>
      </top>
      <bottom style="thin">
        <color indexed="64"/>
      </bottom>
      <diagonal/>
    </border>
    <border>
      <left/>
      <right style="thin">
        <color indexed="64"/>
      </right>
      <top style="thin">
        <color indexed="22"/>
      </top>
      <bottom style="thin">
        <color indexed="64"/>
      </bottom>
      <diagonal/>
    </border>
    <border>
      <left/>
      <right/>
      <top style="thin">
        <color indexed="22"/>
      </top>
      <bottom style="thin">
        <color indexed="64"/>
      </bottom>
      <diagonal/>
    </border>
    <border>
      <left style="thin">
        <color indexed="22"/>
      </left>
      <right style="thin">
        <color indexed="22"/>
      </right>
      <top/>
      <bottom/>
      <diagonal/>
    </border>
    <border>
      <left style="thin">
        <color indexed="64"/>
      </left>
      <right/>
      <top/>
      <bottom style="thin">
        <color indexed="22"/>
      </bottom>
      <diagonal/>
    </border>
    <border>
      <left/>
      <right style="thin">
        <color indexed="64"/>
      </right>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22"/>
      </top>
      <bottom/>
      <diagonal/>
    </border>
    <border>
      <left style="thin">
        <color rgb="FFC0C0C0"/>
      </left>
      <right style="thin">
        <color rgb="FFC0C0C0"/>
      </right>
      <top style="thin">
        <color rgb="FFC0C0C0"/>
      </top>
      <bottom style="thin">
        <color rgb="FFC0C0C0"/>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22"/>
      </left>
      <right style="thin">
        <color indexed="22"/>
      </right>
      <top style="double">
        <color indexed="64"/>
      </top>
      <bottom style="thin">
        <color indexed="64"/>
      </bottom>
      <diagonal/>
    </border>
    <border>
      <left style="thin">
        <color indexed="64"/>
      </left>
      <right style="thin">
        <color indexed="9"/>
      </right>
      <top style="thin">
        <color indexed="64"/>
      </top>
      <bottom/>
      <diagonal/>
    </border>
    <border>
      <left/>
      <right style="thin">
        <color indexed="22"/>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theme="0" tint="-0.24994659260841701"/>
      </left>
      <right style="thin">
        <color indexed="64"/>
      </right>
      <top style="thin">
        <color theme="0" tint="-0.24994659260841701"/>
      </top>
      <bottom style="thin">
        <color indexed="22"/>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top/>
      <bottom/>
      <diagonal/>
    </border>
    <border>
      <left style="thin">
        <color indexed="22"/>
      </left>
      <right/>
      <top/>
      <bottom style="thin">
        <color indexed="64"/>
      </bottom>
      <diagonal/>
    </border>
    <border>
      <left style="thin">
        <color indexed="64"/>
      </left>
      <right/>
      <top/>
      <bottom/>
      <diagonal/>
    </border>
  </borders>
  <cellStyleXfs count="32">
    <xf numFmtId="0" fontId="0" fillId="0" borderId="0"/>
    <xf numFmtId="9" fontId="4" fillId="2" borderId="0" applyNumberFormat="0" applyBorder="0">
      <alignment horizontal="right"/>
      <protection locked="0"/>
    </xf>
    <xf numFmtId="0" fontId="12" fillId="0" borderId="0">
      <alignment vertical="center"/>
    </xf>
    <xf numFmtId="0" fontId="9" fillId="3" borderId="0" applyNumberFormat="0" applyBorder="0">
      <alignment horizontal="right"/>
      <protection locked="0"/>
    </xf>
    <xf numFmtId="0" fontId="22" fillId="0" borderId="0" applyNumberFormat="0" applyBorder="0"/>
    <xf numFmtId="0" fontId="9" fillId="2" borderId="0" applyBorder="0" applyAlignment="0">
      <protection locked="0"/>
    </xf>
    <xf numFmtId="168" fontId="4" fillId="0" borderId="0" applyFont="0" applyFill="0" applyBorder="0" applyAlignment="0" applyProtection="0"/>
    <xf numFmtId="168" fontId="9" fillId="0" borderId="0" applyFont="0" applyFill="0" applyBorder="0" applyAlignment="0" applyProtection="0"/>
    <xf numFmtId="167" fontId="4" fillId="0" borderId="0" applyFont="0" applyFill="0" applyBorder="0" applyAlignment="0" applyProtection="0"/>
    <xf numFmtId="167" fontId="9" fillId="0" borderId="0" applyFont="0" applyFill="0" applyBorder="0" applyAlignment="0" applyProtection="0"/>
    <xf numFmtId="0" fontId="16" fillId="0" borderId="0" applyNumberFormat="0" applyFill="0" applyBorder="0" applyAlignment="0" applyProtection="0">
      <alignment vertical="top"/>
      <protection locked="0"/>
    </xf>
    <xf numFmtId="0" fontId="35" fillId="0" borderId="1" applyNumberFormat="0" applyBorder="0">
      <alignment horizontal="right" vertical="center" wrapText="1"/>
    </xf>
    <xf numFmtId="0" fontId="35" fillId="0" borderId="2" applyNumberFormat="0" applyBorder="0">
      <alignment horizontal="left" vertical="center" wrapText="1"/>
    </xf>
    <xf numFmtId="0" fontId="35" fillId="0" borderId="3" applyNumberFormat="0" applyBorder="0">
      <alignment vertical="center" wrapText="1"/>
    </xf>
    <xf numFmtId="0" fontId="55" fillId="4" borderId="0" applyNumberFormat="0" applyFill="0" applyBorder="0">
      <alignment vertical="center" wrapText="1"/>
    </xf>
    <xf numFmtId="0" fontId="22" fillId="0" borderId="0" applyNumberFormat="0">
      <alignment vertical="center"/>
    </xf>
    <xf numFmtId="0" fontId="36" fillId="0" borderId="0" applyNumberFormat="0" applyBorder="0">
      <alignment vertical="center"/>
    </xf>
    <xf numFmtId="0" fontId="4" fillId="0" borderId="0" applyNumberFormat="0" applyFill="0" applyBorder="0">
      <alignment horizontal="left" vertical="center" wrapText="1" indent="1"/>
    </xf>
    <xf numFmtId="0" fontId="37" fillId="0" borderId="0" applyNumberFormat="0" applyBorder="0">
      <alignment vertical="center"/>
    </xf>
    <xf numFmtId="0" fontId="5" fillId="2" borderId="0" applyBorder="0">
      <alignment horizontal="right" vertical="center"/>
      <protection locked="0"/>
    </xf>
    <xf numFmtId="0" fontId="5" fillId="3" borderId="3" applyBorder="0">
      <alignment horizontal="right" vertical="center"/>
      <protection locked="0"/>
    </xf>
    <xf numFmtId="0" fontId="4" fillId="0" borderId="4" applyBorder="0">
      <alignment vertical="center"/>
    </xf>
    <xf numFmtId="0" fontId="34" fillId="0" borderId="5" applyNumberFormat="0" applyBorder="0">
      <alignment horizontal="right" vertical="center"/>
    </xf>
    <xf numFmtId="9" fontId="9"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2" fillId="0" borderId="0" applyNumberFormat="0" applyFill="0" applyBorder="0">
      <alignment vertical="center"/>
    </xf>
    <xf numFmtId="0" fontId="3" fillId="0" borderId="0"/>
    <xf numFmtId="0" fontId="16" fillId="0" borderId="0" applyNumberFormat="0" applyFill="0" applyBorder="0" applyAlignment="0" applyProtection="0">
      <alignment vertical="top"/>
      <protection locked="0"/>
    </xf>
    <xf numFmtId="0" fontId="2" fillId="0" borderId="0"/>
    <xf numFmtId="0" fontId="1" fillId="0" borderId="0"/>
  </cellStyleXfs>
  <cellXfs count="1046">
    <xf numFmtId="0" fontId="0" fillId="0" borderId="0" xfId="0"/>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0" fillId="0" borderId="0" xfId="0" quotePrefix="1"/>
    <xf numFmtId="0" fontId="12" fillId="0" borderId="0" xfId="0" applyFont="1"/>
    <xf numFmtId="0" fontId="5" fillId="3" borderId="0" xfId="0" applyFont="1" applyFill="1"/>
    <xf numFmtId="1" fontId="0" fillId="0" borderId="0" xfId="0" applyNumberFormat="1"/>
    <xf numFmtId="170" fontId="0" fillId="0" borderId="0" xfId="6" applyNumberFormat="1" applyFont="1"/>
    <xf numFmtId="0" fontId="14" fillId="0" borderId="0" xfId="0" applyFont="1"/>
    <xf numFmtId="9" fontId="0" fillId="0" borderId="0" xfId="26" applyFont="1"/>
    <xf numFmtId="0" fontId="9" fillId="5" borderId="0" xfId="0" applyFont="1" applyFill="1"/>
    <xf numFmtId="173" fontId="0" fillId="0" borderId="0" xfId="8" applyNumberFormat="1" applyFont="1"/>
    <xf numFmtId="167" fontId="0" fillId="0" borderId="0" xfId="8" applyFont="1"/>
    <xf numFmtId="0" fontId="0" fillId="0" borderId="0" xfId="0" applyAlignment="1">
      <alignment horizontal="right"/>
    </xf>
    <xf numFmtId="2" fontId="0" fillId="0" borderId="0" xfId="0" applyNumberFormat="1"/>
    <xf numFmtId="0" fontId="5" fillId="6" borderId="0" xfId="0" applyFont="1" applyFill="1"/>
    <xf numFmtId="175" fontId="0" fillId="0" borderId="0" xfId="0" applyNumberFormat="1"/>
    <xf numFmtId="0" fontId="11" fillId="0" borderId="0" xfId="0" applyFont="1"/>
    <xf numFmtId="167" fontId="0" fillId="0" borderId="0" xfId="8" applyFont="1" applyFill="1"/>
    <xf numFmtId="172" fontId="0" fillId="0" borderId="0" xfId="0" applyNumberFormat="1"/>
    <xf numFmtId="0" fontId="20" fillId="5" borderId="0" xfId="0" applyFont="1" applyFill="1"/>
    <xf numFmtId="0" fontId="20" fillId="0" borderId="0" xfId="0" applyFont="1"/>
    <xf numFmtId="0" fontId="11" fillId="0" borderId="0" xfId="0" applyFont="1" applyProtection="1">
      <protection hidden="1"/>
    </xf>
    <xf numFmtId="0" fontId="0" fillId="0" borderId="0" xfId="0" applyProtection="1">
      <protection hidden="1"/>
    </xf>
    <xf numFmtId="0" fontId="8" fillId="0" borderId="0" xfId="0" applyFont="1" applyProtection="1">
      <protection hidden="1"/>
    </xf>
    <xf numFmtId="170" fontId="0" fillId="0" borderId="0" xfId="6" applyNumberFormat="1" applyFont="1" applyProtection="1">
      <protection hidden="1"/>
    </xf>
    <xf numFmtId="1" fontId="0" fillId="0" borderId="0" xfId="0" applyNumberFormat="1" applyProtection="1">
      <protection hidden="1"/>
    </xf>
    <xf numFmtId="0" fontId="5" fillId="0" borderId="0" xfId="0" applyFont="1" applyProtection="1">
      <protection hidden="1"/>
    </xf>
    <xf numFmtId="0" fontId="7" fillId="0" borderId="0" xfId="0" applyFont="1" applyProtection="1">
      <protection hidden="1"/>
    </xf>
    <xf numFmtId="0" fontId="12" fillId="0" borderId="0" xfId="0" applyFont="1" applyProtection="1">
      <protection hidden="1"/>
    </xf>
    <xf numFmtId="0" fontId="0" fillId="0" borderId="0" xfId="0" applyAlignment="1" applyProtection="1">
      <alignment horizontal="right"/>
      <protection hidden="1"/>
    </xf>
    <xf numFmtId="3" fontId="9" fillId="0" borderId="0" xfId="0" applyNumberFormat="1" applyFont="1" applyProtection="1">
      <protection hidden="1"/>
    </xf>
    <xf numFmtId="0" fontId="9" fillId="0" borderId="0" xfId="0" applyFont="1" applyProtection="1">
      <protection hidden="1"/>
    </xf>
    <xf numFmtId="180" fontId="9" fillId="0" borderId="0" xfId="0" applyNumberFormat="1" applyFont="1" applyProtection="1">
      <protection hidden="1"/>
    </xf>
    <xf numFmtId="179" fontId="9" fillId="0" borderId="0" xfId="0" applyNumberFormat="1" applyFont="1" applyProtection="1">
      <protection hidden="1"/>
    </xf>
    <xf numFmtId="0" fontId="0" fillId="0" borderId="0" xfId="0" quotePrefix="1" applyProtection="1">
      <protection hidden="1"/>
    </xf>
    <xf numFmtId="167" fontId="0" fillId="0" borderId="0" xfId="8" applyFont="1" applyProtection="1">
      <protection hidden="1"/>
    </xf>
    <xf numFmtId="2" fontId="0" fillId="0" borderId="0" xfId="0" applyNumberFormat="1" applyAlignment="1" applyProtection="1">
      <alignment horizontal="right"/>
      <protection hidden="1"/>
    </xf>
    <xf numFmtId="3" fontId="0" fillId="0" borderId="0" xfId="0" applyNumberFormat="1" applyProtection="1">
      <protection hidden="1"/>
    </xf>
    <xf numFmtId="170" fontId="0" fillId="0" borderId="0" xfId="6" applyNumberFormat="1" applyFont="1" applyAlignment="1" applyProtection="1">
      <alignment horizontal="right"/>
      <protection hidden="1"/>
    </xf>
    <xf numFmtId="0" fontId="5" fillId="6" borderId="0" xfId="0" applyFont="1" applyFill="1" applyProtection="1">
      <protection hidden="1"/>
    </xf>
    <xf numFmtId="0" fontId="9" fillId="5" borderId="0" xfId="0" applyFont="1" applyFill="1" applyProtection="1">
      <protection hidden="1"/>
    </xf>
    <xf numFmtId="0" fontId="0" fillId="0" borderId="0" xfId="0" applyAlignment="1">
      <alignment wrapText="1"/>
    </xf>
    <xf numFmtId="0" fontId="6" fillId="0" borderId="0" xfId="0" applyFont="1" applyAlignment="1">
      <alignment horizontal="left"/>
    </xf>
    <xf numFmtId="0" fontId="23" fillId="0" borderId="0" xfId="0" applyFont="1"/>
    <xf numFmtId="0" fontId="6" fillId="0" borderId="8" xfId="0" applyFont="1" applyBorder="1"/>
    <xf numFmtId="0" fontId="6" fillId="0" borderId="9" xfId="0" applyFont="1" applyBorder="1"/>
    <xf numFmtId="0" fontId="0" fillId="0" borderId="10" xfId="0" applyBorder="1"/>
    <xf numFmtId="0" fontId="0" fillId="2" borderId="0" xfId="0" applyFill="1"/>
    <xf numFmtId="0" fontId="0" fillId="2" borderId="11" xfId="0" applyFill="1" applyBorder="1"/>
    <xf numFmtId="0" fontId="0" fillId="0" borderId="12" xfId="0" applyBorder="1"/>
    <xf numFmtId="0" fontId="7" fillId="0" borderId="13" xfId="0" applyFont="1" applyBorder="1"/>
    <xf numFmtId="0" fontId="0" fillId="2" borderId="13" xfId="0" applyFill="1" applyBorder="1"/>
    <xf numFmtId="0" fontId="0" fillId="2" borderId="14" xfId="0" applyFill="1" applyBorder="1"/>
    <xf numFmtId="0" fontId="7" fillId="0" borderId="0" xfId="0" applyFont="1" applyAlignment="1">
      <alignment horizontal="left"/>
    </xf>
    <xf numFmtId="0" fontId="9" fillId="0" borderId="0" xfId="0" quotePrefix="1" applyFont="1"/>
    <xf numFmtId="3" fontId="9" fillId="0" borderId="0" xfId="0" quotePrefix="1" applyNumberFormat="1" applyFont="1" applyProtection="1">
      <protection hidden="1"/>
    </xf>
    <xf numFmtId="4" fontId="9" fillId="0" borderId="0" xfId="0" quotePrefix="1" applyNumberFormat="1" applyFont="1" applyProtection="1">
      <protection hidden="1"/>
    </xf>
    <xf numFmtId="170" fontId="9" fillId="0" borderId="0" xfId="6" applyNumberFormat="1" applyFont="1"/>
    <xf numFmtId="170" fontId="0" fillId="0" borderId="0" xfId="6" quotePrefix="1" applyNumberFormat="1" applyFont="1" applyProtection="1">
      <protection hidden="1"/>
    </xf>
    <xf numFmtId="0" fontId="22" fillId="0" borderId="0" xfId="0" applyFont="1"/>
    <xf numFmtId="4" fontId="9" fillId="0" borderId="0" xfId="0" applyNumberFormat="1" applyFont="1" applyProtection="1">
      <protection hidden="1"/>
    </xf>
    <xf numFmtId="170" fontId="9" fillId="0" borderId="0" xfId="6" applyNumberFormat="1" applyFont="1" applyProtection="1">
      <protection hidden="1"/>
    </xf>
    <xf numFmtId="167" fontId="9" fillId="0" borderId="0" xfId="8" applyFont="1" applyProtection="1">
      <protection hidden="1"/>
    </xf>
    <xf numFmtId="0" fontId="0" fillId="0" borderId="0" xfId="0" applyAlignment="1">
      <alignment horizontal="left"/>
    </xf>
    <xf numFmtId="167" fontId="0" fillId="0" borderId="0" xfId="0" applyNumberFormat="1"/>
    <xf numFmtId="0" fontId="4" fillId="0" borderId="0" xfId="25"/>
    <xf numFmtId="170" fontId="0" fillId="0" borderId="0" xfId="0" applyNumberFormat="1"/>
    <xf numFmtId="175" fontId="4" fillId="0" borderId="0" xfId="25" applyNumberFormat="1"/>
    <xf numFmtId="2" fontId="4" fillId="0" borderId="0" xfId="25" applyNumberFormat="1"/>
    <xf numFmtId="170" fontId="9" fillId="0" borderId="0" xfId="6" applyNumberFormat="1" applyFont="1" applyFill="1" applyAlignment="1" applyProtection="1">
      <alignment horizontal="right"/>
      <protection hidden="1"/>
    </xf>
    <xf numFmtId="0" fontId="0" fillId="0" borderId="15" xfId="0" applyBorder="1" applyAlignment="1">
      <alignment wrapText="1"/>
    </xf>
    <xf numFmtId="0" fontId="5" fillId="7" borderId="0" xfId="0" applyFont="1" applyFill="1"/>
    <xf numFmtId="0" fontId="7" fillId="7" borderId="0" xfId="0" applyFont="1" applyFill="1"/>
    <xf numFmtId="0" fontId="7" fillId="3" borderId="0" xfId="0" applyFont="1" applyFill="1"/>
    <xf numFmtId="0" fontId="8" fillId="0" borderId="2" xfId="0" applyFont="1" applyBorder="1"/>
    <xf numFmtId="168" fontId="0" fillId="0" borderId="0" xfId="0" applyNumberFormat="1"/>
    <xf numFmtId="176" fontId="9" fillId="0" borderId="0" xfId="6" applyNumberFormat="1" applyFont="1" applyFill="1" applyAlignment="1" applyProtection="1">
      <alignment horizontal="right"/>
      <protection hidden="1"/>
    </xf>
    <xf numFmtId="168" fontId="9" fillId="0" borderId="0" xfId="6" applyFont="1"/>
    <xf numFmtId="168" fontId="0" fillId="0" borderId="0" xfId="6" applyFont="1"/>
    <xf numFmtId="167" fontId="9" fillId="0" borderId="0" xfId="0" applyNumberFormat="1" applyFont="1" applyProtection="1">
      <protection hidden="1"/>
    </xf>
    <xf numFmtId="168" fontId="0" fillId="0" borderId="0" xfId="6" applyFont="1" applyAlignment="1">
      <alignment horizontal="right"/>
    </xf>
    <xf numFmtId="0" fontId="7" fillId="0" borderId="0" xfId="0" applyFont="1" applyAlignment="1" applyProtection="1">
      <alignment horizontal="left"/>
      <protection hidden="1"/>
    </xf>
    <xf numFmtId="0" fontId="9" fillId="5" borderId="0" xfId="0" applyFont="1" applyFill="1" applyProtection="1">
      <protection locked="0"/>
    </xf>
    <xf numFmtId="0" fontId="9" fillId="0" borderId="0" xfId="0" applyFont="1" applyProtection="1">
      <protection locked="0"/>
    </xf>
    <xf numFmtId="177" fontId="9" fillId="0" borderId="0" xfId="6" applyNumberFormat="1" applyFont="1"/>
    <xf numFmtId="0" fontId="5" fillId="4" borderId="0" xfId="0" applyFont="1" applyFill="1" applyProtection="1">
      <protection hidden="1"/>
    </xf>
    <xf numFmtId="0" fontId="0" fillId="4" borderId="0" xfId="0" applyFill="1"/>
    <xf numFmtId="0" fontId="27" fillId="4" borderId="0" xfId="0" applyFont="1" applyFill="1" applyAlignment="1">
      <alignment horizontal="left" vertical="top"/>
    </xf>
    <xf numFmtId="0" fontId="0" fillId="4" borderId="17" xfId="0" applyFill="1" applyBorder="1"/>
    <xf numFmtId="0" fontId="0" fillId="4" borderId="1" xfId="0" applyFill="1" applyBorder="1"/>
    <xf numFmtId="0" fontId="0" fillId="4" borderId="0" xfId="0" applyFill="1" applyAlignment="1">
      <alignment horizontal="left"/>
    </xf>
    <xf numFmtId="0" fontId="5" fillId="4" borderId="0" xfId="0" applyFont="1" applyFill="1" applyAlignment="1">
      <alignment horizontal="left" wrapText="1"/>
    </xf>
    <xf numFmtId="0" fontId="0" fillId="4" borderId="18" xfId="0" applyFill="1" applyBorder="1"/>
    <xf numFmtId="0" fontId="7" fillId="4" borderId="0" xfId="0" applyFont="1" applyFill="1" applyAlignment="1">
      <alignment wrapText="1"/>
    </xf>
    <xf numFmtId="0" fontId="9" fillId="4" borderId="0" xfId="0" applyFont="1" applyFill="1" applyAlignment="1">
      <alignment horizontal="left" vertical="center" wrapText="1"/>
    </xf>
    <xf numFmtId="0" fontId="5" fillId="4" borderId="0" xfId="0" applyFont="1" applyFill="1"/>
    <xf numFmtId="0" fontId="7" fillId="4" borderId="0" xfId="0" applyFont="1" applyFill="1"/>
    <xf numFmtId="0" fontId="27" fillId="4" borderId="0" xfId="0" applyFont="1" applyFill="1" applyAlignment="1">
      <alignment wrapText="1"/>
    </xf>
    <xf numFmtId="0" fontId="27" fillId="4" borderId="0" xfId="0" applyFont="1" applyFill="1"/>
    <xf numFmtId="0" fontId="12" fillId="4" borderId="1" xfId="0" applyFont="1" applyFill="1" applyBorder="1" applyAlignment="1">
      <alignment horizontal="right"/>
    </xf>
    <xf numFmtId="0" fontId="22" fillId="4" borderId="1" xfId="0" applyFont="1" applyFill="1" applyBorder="1" applyAlignment="1">
      <alignment horizontal="right"/>
    </xf>
    <xf numFmtId="0" fontId="22" fillId="4" borderId="18" xfId="0" applyFont="1" applyFill="1" applyBorder="1" applyAlignment="1">
      <alignment horizontal="right"/>
    </xf>
    <xf numFmtId="0" fontId="0" fillId="4" borderId="5" xfId="0" applyFill="1" applyBorder="1"/>
    <xf numFmtId="172" fontId="12" fillId="4" borderId="0" xfId="0" applyNumberFormat="1" applyFont="1" applyFill="1" applyProtection="1">
      <protection locked="0"/>
    </xf>
    <xf numFmtId="172" fontId="33" fillId="4" borderId="2" xfId="0" applyNumberFormat="1" applyFont="1" applyFill="1" applyBorder="1" applyAlignment="1" applyProtection="1">
      <alignment horizontal="left"/>
      <protection locked="0"/>
    </xf>
    <xf numFmtId="0" fontId="0" fillId="4" borderId="19" xfId="0" applyFill="1" applyBorder="1" applyAlignment="1">
      <alignment horizontal="center" vertical="center"/>
    </xf>
    <xf numFmtId="0" fontId="34" fillId="0" borderId="20" xfId="22" applyBorder="1">
      <alignment horizontal="right" vertical="center"/>
    </xf>
    <xf numFmtId="0" fontId="22" fillId="4" borderId="0" xfId="0" applyFont="1" applyFill="1"/>
    <xf numFmtId="0" fontId="7" fillId="0" borderId="21" xfId="0" applyFont="1" applyBorder="1"/>
    <xf numFmtId="0" fontId="7" fillId="0" borderId="15" xfId="0" applyFont="1" applyBorder="1"/>
    <xf numFmtId="0" fontId="37" fillId="0" borderId="22" xfId="18" applyBorder="1">
      <alignment vertical="center"/>
    </xf>
    <xf numFmtId="0" fontId="37" fillId="0" borderId="23" xfId="18" applyBorder="1">
      <alignment vertical="center"/>
    </xf>
    <xf numFmtId="0" fontId="0" fillId="0" borderId="15" xfId="0" applyBorder="1"/>
    <xf numFmtId="0" fontId="12" fillId="4" borderId="1" xfId="0" applyFont="1" applyFill="1" applyBorder="1" applyAlignment="1">
      <alignment horizontal="right" vertical="center" wrapText="1"/>
    </xf>
    <xf numFmtId="0" fontId="22" fillId="4" borderId="1" xfId="0" applyFont="1" applyFill="1" applyBorder="1" applyAlignment="1">
      <alignment horizontal="right" vertical="center" wrapText="1"/>
    </xf>
    <xf numFmtId="0" fontId="22" fillId="4" borderId="1" xfId="0" applyFont="1" applyFill="1" applyBorder="1" applyAlignment="1">
      <alignment horizontal="right" vertical="center"/>
    </xf>
    <xf numFmtId="0" fontId="0" fillId="4" borderId="1" xfId="0" quotePrefix="1" applyFill="1" applyBorder="1"/>
    <xf numFmtId="0" fontId="12" fillId="4" borderId="0" xfId="0" applyFont="1" applyFill="1" applyAlignment="1" applyProtection="1">
      <alignment horizontal="right" vertical="center"/>
      <protection locked="0"/>
    </xf>
    <xf numFmtId="0" fontId="12" fillId="4" borderId="0" xfId="0" applyFont="1" applyFill="1"/>
    <xf numFmtId="0" fontId="0" fillId="0" borderId="1" xfId="0" applyBorder="1"/>
    <xf numFmtId="0" fontId="9" fillId="2" borderId="0" xfId="0" applyFont="1" applyFill="1" applyAlignment="1">
      <alignment horizontal="right"/>
    </xf>
    <xf numFmtId="175" fontId="0" fillId="0" borderId="0" xfId="6" applyNumberFormat="1" applyFont="1" applyProtection="1">
      <protection hidden="1"/>
    </xf>
    <xf numFmtId="0" fontId="38" fillId="0" borderId="0" xfId="0" applyFont="1"/>
    <xf numFmtId="0" fontId="0" fillId="2" borderId="0" xfId="0" applyFill="1" applyAlignment="1">
      <alignment horizontal="right"/>
    </xf>
    <xf numFmtId="0" fontId="0" fillId="0" borderId="0" xfId="0" applyAlignment="1">
      <alignment horizontal="left" indent="1"/>
    </xf>
    <xf numFmtId="0" fontId="0" fillId="0" borderId="0" xfId="0" applyAlignment="1" applyProtection="1">
      <alignment horizontal="left" indent="1"/>
      <protection hidden="1"/>
    </xf>
    <xf numFmtId="9" fontId="0" fillId="0" borderId="0" xfId="0" applyNumberFormat="1" applyProtection="1">
      <protection hidden="1"/>
    </xf>
    <xf numFmtId="0" fontId="5" fillId="4" borderId="0" xfId="26" applyNumberFormat="1" applyFont="1" applyFill="1" applyBorder="1"/>
    <xf numFmtId="0" fontId="0" fillId="4" borderId="18" xfId="0" quotePrefix="1" applyFill="1" applyBorder="1"/>
    <xf numFmtId="0" fontId="7" fillId="4" borderId="15" xfId="0" applyFont="1" applyFill="1" applyBorder="1"/>
    <xf numFmtId="0" fontId="34" fillId="4" borderId="2" xfId="22" applyFill="1" applyBorder="1">
      <alignment horizontal="right" vertical="center"/>
    </xf>
    <xf numFmtId="0" fontId="34" fillId="4" borderId="16" xfId="22" applyFill="1" applyBorder="1">
      <alignment horizontal="right" vertical="center"/>
    </xf>
    <xf numFmtId="0" fontId="0" fillId="4" borderId="21" xfId="0" applyFill="1" applyBorder="1"/>
    <xf numFmtId="0" fontId="5" fillId="4" borderId="18" xfId="0" applyFont="1" applyFill="1" applyBorder="1" applyAlignment="1">
      <alignment wrapText="1"/>
    </xf>
    <xf numFmtId="0" fontId="5" fillId="0" borderId="0" xfId="0" applyFont="1" applyProtection="1">
      <protection locked="0"/>
    </xf>
    <xf numFmtId="0" fontId="9" fillId="0" borderId="0" xfId="18" applyFont="1">
      <alignment vertical="center"/>
    </xf>
    <xf numFmtId="0" fontId="9" fillId="2" borderId="0" xfId="0" applyFont="1" applyFill="1" applyProtection="1">
      <protection locked="0"/>
    </xf>
    <xf numFmtId="0" fontId="12" fillId="4" borderId="1" xfId="0" applyFont="1" applyFill="1" applyBorder="1" applyAlignment="1">
      <alignment horizontal="right" vertical="top" wrapText="1"/>
    </xf>
    <xf numFmtId="0" fontId="12" fillId="4" borderId="0" xfId="0" applyFont="1" applyFill="1" applyAlignment="1" applyProtection="1">
      <alignment horizontal="right" vertical="top"/>
      <protection locked="0"/>
    </xf>
    <xf numFmtId="0" fontId="33" fillId="4" borderId="2" xfId="0" applyFont="1" applyFill="1" applyBorder="1" applyAlignment="1">
      <alignment vertical="top"/>
    </xf>
    <xf numFmtId="0" fontId="22" fillId="4" borderId="0" xfId="0" applyFont="1" applyFill="1" applyAlignment="1">
      <alignment vertical="center" wrapText="1"/>
    </xf>
    <xf numFmtId="0" fontId="22" fillId="4" borderId="0" xfId="0" applyFont="1" applyFill="1" applyAlignment="1">
      <alignment vertical="center"/>
    </xf>
    <xf numFmtId="0" fontId="0" fillId="0" borderId="2" xfId="0" applyBorder="1"/>
    <xf numFmtId="0" fontId="13" fillId="4" borderId="2" xfId="0" applyFont="1" applyFill="1" applyBorder="1" applyAlignment="1">
      <alignment horizontal="right" vertical="center"/>
    </xf>
    <xf numFmtId="0" fontId="13" fillId="4" borderId="16" xfId="0" applyFont="1" applyFill="1" applyBorder="1" applyAlignment="1">
      <alignment horizontal="right" vertical="center"/>
    </xf>
    <xf numFmtId="0" fontId="0" fillId="4" borderId="15" xfId="0" applyFill="1" applyBorder="1"/>
    <xf numFmtId="173" fontId="0" fillId="4" borderId="0" xfId="8" applyNumberFormat="1" applyFont="1" applyFill="1"/>
    <xf numFmtId="175" fontId="0" fillId="4" borderId="0" xfId="0" applyNumberFormat="1" applyFill="1"/>
    <xf numFmtId="0" fontId="12" fillId="4" borderId="0" xfId="0" applyFont="1" applyFill="1" applyAlignment="1">
      <alignment wrapText="1"/>
    </xf>
    <xf numFmtId="0" fontId="0" fillId="4" borderId="0" xfId="0" applyFill="1" applyAlignment="1">
      <alignment wrapText="1"/>
    </xf>
    <xf numFmtId="0" fontId="10" fillId="4" borderId="0" xfId="0" applyFont="1" applyFill="1"/>
    <xf numFmtId="0" fontId="9" fillId="4" borderId="0" xfId="0" applyFont="1" applyFill="1"/>
    <xf numFmtId="0" fontId="8" fillId="0" borderId="11" xfId="0" applyFont="1" applyBorder="1"/>
    <xf numFmtId="170" fontId="0" fillId="0" borderId="0" xfId="6" applyNumberFormat="1" applyFont="1" applyFill="1"/>
    <xf numFmtId="0" fontId="23" fillId="0" borderId="0" xfId="0" applyFont="1" applyAlignment="1">
      <alignment horizontal="left"/>
    </xf>
    <xf numFmtId="0" fontId="6" fillId="0" borderId="7" xfId="0" applyFont="1" applyBorder="1" applyAlignment="1">
      <alignment horizontal="left"/>
    </xf>
    <xf numFmtId="0" fontId="6" fillId="0" borderId="8" xfId="0" applyFont="1" applyBorder="1" applyAlignment="1">
      <alignment horizontal="right"/>
    </xf>
    <xf numFmtId="0" fontId="8" fillId="0" borderId="14" xfId="0" applyFont="1" applyBorder="1"/>
    <xf numFmtId="0" fontId="0" fillId="2" borderId="13" xfId="0" applyFill="1" applyBorder="1" applyAlignment="1">
      <alignment horizontal="right"/>
    </xf>
    <xf numFmtId="0" fontId="0" fillId="0" borderId="1" xfId="0" applyBorder="1" applyProtection="1">
      <protection hidden="1"/>
    </xf>
    <xf numFmtId="0" fontId="0" fillId="3" borderId="0" xfId="0" applyFill="1"/>
    <xf numFmtId="0" fontId="40" fillId="4" borderId="17" xfId="0" applyFont="1" applyFill="1" applyBorder="1"/>
    <xf numFmtId="0" fontId="5" fillId="4" borderId="1" xfId="0" applyFont="1" applyFill="1" applyBorder="1"/>
    <xf numFmtId="0" fontId="9" fillId="4" borderId="21" xfId="0" applyFont="1" applyFill="1" applyBorder="1"/>
    <xf numFmtId="0" fontId="0" fillId="4" borderId="21" xfId="0" applyFill="1" applyBorder="1" applyProtection="1">
      <protection hidden="1"/>
    </xf>
    <xf numFmtId="0" fontId="0" fillId="4" borderId="0" xfId="0" applyFill="1" applyProtection="1">
      <protection hidden="1"/>
    </xf>
    <xf numFmtId="0" fontId="0" fillId="4" borderId="0" xfId="0" applyFill="1" applyAlignment="1" applyProtection="1">
      <alignment horizontal="right"/>
      <protection hidden="1"/>
    </xf>
    <xf numFmtId="0" fontId="0" fillId="4" borderId="15" xfId="0" applyFill="1" applyBorder="1" applyProtection="1">
      <protection hidden="1"/>
    </xf>
    <xf numFmtId="0" fontId="14" fillId="4" borderId="0" xfId="0" applyFont="1" applyFill="1" applyProtection="1">
      <protection hidden="1"/>
    </xf>
    <xf numFmtId="0" fontId="0" fillId="4" borderId="2" xfId="0" applyFill="1" applyBorder="1" applyProtection="1">
      <protection hidden="1"/>
    </xf>
    <xf numFmtId="0" fontId="0" fillId="4" borderId="16" xfId="0" applyFill="1" applyBorder="1" applyProtection="1">
      <protection hidden="1"/>
    </xf>
    <xf numFmtId="169" fontId="0" fillId="0" borderId="0" xfId="6" applyNumberFormat="1" applyFont="1" applyProtection="1">
      <protection hidden="1"/>
    </xf>
    <xf numFmtId="0" fontId="0" fillId="0" borderId="0" xfId="6" applyNumberFormat="1" applyFont="1" applyProtection="1">
      <protection hidden="1"/>
    </xf>
    <xf numFmtId="0" fontId="9" fillId="0" borderId="0" xfId="6" applyNumberFormat="1" applyFont="1" applyFill="1" applyProtection="1">
      <protection locked="0"/>
    </xf>
    <xf numFmtId="0" fontId="0" fillId="5" borderId="1" xfId="0" applyFill="1" applyBorder="1" applyProtection="1">
      <protection hidden="1"/>
    </xf>
    <xf numFmtId="0" fontId="0" fillId="5" borderId="0" xfId="0" applyFill="1" applyProtection="1">
      <protection hidden="1"/>
    </xf>
    <xf numFmtId="0" fontId="14" fillId="5" borderId="0" xfId="0" applyFont="1" applyFill="1" applyProtection="1">
      <protection hidden="1"/>
    </xf>
    <xf numFmtId="173" fontId="0" fillId="5" borderId="0" xfId="0" applyNumberFormat="1" applyFill="1" applyAlignment="1" applyProtection="1">
      <alignment horizontal="right"/>
      <protection hidden="1"/>
    </xf>
    <xf numFmtId="0" fontId="0" fillId="5" borderId="2" xfId="0" applyFill="1" applyBorder="1" applyProtection="1">
      <protection hidden="1"/>
    </xf>
    <xf numFmtId="0" fontId="0" fillId="5" borderId="2" xfId="0" applyFill="1" applyBorder="1" applyAlignment="1" applyProtection="1">
      <alignment horizontal="right"/>
      <protection hidden="1"/>
    </xf>
    <xf numFmtId="170" fontId="0" fillId="2" borderId="0" xfId="6" applyNumberFormat="1" applyFont="1" applyFill="1"/>
    <xf numFmtId="9" fontId="0" fillId="2" borderId="0" xfId="26" applyFont="1" applyFill="1"/>
    <xf numFmtId="0" fontId="5" fillId="6" borderId="1" xfId="0" quotePrefix="1" applyFont="1" applyFill="1" applyBorder="1"/>
    <xf numFmtId="0" fontId="18" fillId="6" borderId="0" xfId="0" applyFont="1" applyFill="1" applyProtection="1">
      <protection hidden="1"/>
    </xf>
    <xf numFmtId="0" fontId="5" fillId="6" borderId="0" xfId="0" applyFont="1" applyFill="1" applyAlignment="1" applyProtection="1">
      <alignment horizontal="right"/>
      <protection hidden="1"/>
    </xf>
    <xf numFmtId="0" fontId="5" fillId="6" borderId="2" xfId="0" applyFont="1" applyFill="1" applyBorder="1" applyProtection="1">
      <protection hidden="1"/>
    </xf>
    <xf numFmtId="0" fontId="0" fillId="5" borderId="1" xfId="0" applyFill="1" applyBorder="1"/>
    <xf numFmtId="0" fontId="0" fillId="5" borderId="0" xfId="0" applyFill="1"/>
    <xf numFmtId="0" fontId="0" fillId="5" borderId="2" xfId="0" applyFill="1" applyBorder="1"/>
    <xf numFmtId="0" fontId="5" fillId="0" borderId="15" xfId="0" applyFont="1" applyBorder="1"/>
    <xf numFmtId="0" fontId="5" fillId="0" borderId="15" xfId="0" applyFont="1" applyBorder="1" applyAlignment="1">
      <alignment horizontal="right"/>
    </xf>
    <xf numFmtId="0" fontId="5" fillId="0" borderId="0" xfId="0" applyFont="1" applyAlignment="1">
      <alignment horizontal="right"/>
    </xf>
    <xf numFmtId="0" fontId="9" fillId="0" borderId="0" xfId="0" applyFont="1" applyAlignment="1">
      <alignment horizontal="right"/>
    </xf>
    <xf numFmtId="0" fontId="15" fillId="0" borderId="0" xfId="0" applyFont="1"/>
    <xf numFmtId="0" fontId="6" fillId="0" borderId="24" xfId="0" applyFont="1" applyBorder="1"/>
    <xf numFmtId="0" fontId="9" fillId="0" borderId="24" xfId="0" applyFont="1" applyBorder="1"/>
    <xf numFmtId="0" fontId="0" fillId="2" borderId="0" xfId="6" applyNumberFormat="1" applyFont="1" applyFill="1"/>
    <xf numFmtId="175" fontId="0" fillId="2" borderId="0" xfId="0" applyNumberFormat="1" applyFill="1"/>
    <xf numFmtId="173" fontId="7" fillId="0" borderId="0" xfId="8" applyNumberFormat="1" applyFont="1" applyBorder="1"/>
    <xf numFmtId="9" fontId="0" fillId="2" borderId="25" xfId="26" applyFont="1" applyFill="1" applyBorder="1" applyProtection="1">
      <protection locked="0"/>
    </xf>
    <xf numFmtId="173" fontId="0" fillId="0" borderId="0" xfId="8" applyNumberFormat="1" applyFont="1" applyBorder="1"/>
    <xf numFmtId="9" fontId="0" fillId="0" borderId="25" xfId="26" applyFont="1" applyBorder="1" applyProtection="1">
      <protection locked="0"/>
    </xf>
    <xf numFmtId="0" fontId="9" fillId="2" borderId="0" xfId="0" applyFont="1" applyFill="1"/>
    <xf numFmtId="0" fontId="41" fillId="4" borderId="17" xfId="0" applyFont="1" applyFill="1" applyBorder="1"/>
    <xf numFmtId="0" fontId="5" fillId="4" borderId="26" xfId="0" applyFont="1" applyFill="1" applyBorder="1"/>
    <xf numFmtId="0" fontId="0" fillId="4" borderId="26" xfId="0" applyFill="1" applyBorder="1" applyProtection="1">
      <protection hidden="1"/>
    </xf>
    <xf numFmtId="0" fontId="14" fillId="4" borderId="26" xfId="0" applyFont="1" applyFill="1" applyBorder="1" applyProtection="1">
      <protection hidden="1"/>
    </xf>
    <xf numFmtId="173" fontId="0" fillId="4" borderId="26" xfId="0" applyNumberFormat="1" applyFill="1" applyBorder="1" applyProtection="1">
      <protection hidden="1"/>
    </xf>
    <xf numFmtId="0" fontId="0" fillId="4" borderId="27" xfId="0" applyFill="1" applyBorder="1" applyProtection="1">
      <protection hidden="1"/>
    </xf>
    <xf numFmtId="0" fontId="9" fillId="4" borderId="0" xfId="0" applyFont="1" applyFill="1" applyProtection="1">
      <protection hidden="1"/>
    </xf>
    <xf numFmtId="0" fontId="0" fillId="4" borderId="0" xfId="0" applyFill="1" applyAlignment="1" applyProtection="1">
      <alignment horizontal="left"/>
      <protection hidden="1"/>
    </xf>
    <xf numFmtId="170" fontId="0" fillId="4" borderId="0" xfId="6" applyNumberFormat="1" applyFont="1" applyFill="1" applyBorder="1" applyAlignment="1" applyProtection="1">
      <alignment horizontal="right"/>
      <protection hidden="1"/>
    </xf>
    <xf numFmtId="167" fontId="0" fillId="4" borderId="0" xfId="8" applyFont="1" applyFill="1" applyBorder="1" applyAlignment="1" applyProtection="1">
      <alignment horizontal="right"/>
      <protection hidden="1"/>
    </xf>
    <xf numFmtId="173" fontId="0" fillId="4" borderId="0" xfId="0" applyNumberFormat="1" applyFill="1" applyAlignment="1" applyProtection="1">
      <alignment horizontal="right"/>
      <protection hidden="1"/>
    </xf>
    <xf numFmtId="0" fontId="0" fillId="4" borderId="1" xfId="0" applyFill="1" applyBorder="1" applyProtection="1">
      <protection hidden="1"/>
    </xf>
    <xf numFmtId="0" fontId="20" fillId="0" borderId="6" xfId="0" applyFont="1" applyBorder="1" applyProtection="1">
      <protection hidden="1"/>
    </xf>
    <xf numFmtId="0" fontId="20" fillId="0" borderId="28" xfId="0" applyFont="1" applyBorder="1" applyProtection="1">
      <protection hidden="1"/>
    </xf>
    <xf numFmtId="173" fontId="0" fillId="0" borderId="28" xfId="0" quotePrefix="1" applyNumberFormat="1" applyBorder="1" applyProtection="1">
      <protection locked="0"/>
    </xf>
    <xf numFmtId="174" fontId="25" fillId="4" borderId="0" xfId="0" applyNumberFormat="1" applyFont="1" applyFill="1" applyProtection="1">
      <protection hidden="1"/>
    </xf>
    <xf numFmtId="0" fontId="43" fillId="0" borderId="29" xfId="0" applyFont="1" applyBorder="1"/>
    <xf numFmtId="174" fontId="43" fillId="0" borderId="29" xfId="0" applyNumberFormat="1" applyFont="1" applyBorder="1"/>
    <xf numFmtId="0" fontId="25" fillId="4" borderId="15" xfId="0" applyFont="1" applyFill="1" applyBorder="1"/>
    <xf numFmtId="173" fontId="0" fillId="0" borderId="0" xfId="0" applyNumberFormat="1" applyProtection="1">
      <protection locked="0"/>
    </xf>
    <xf numFmtId="0" fontId="9" fillId="4" borderId="21" xfId="0" applyFont="1" applyFill="1" applyBorder="1" applyProtection="1">
      <protection hidden="1"/>
    </xf>
    <xf numFmtId="173" fontId="0" fillId="4" borderId="21" xfId="0" applyNumberFormat="1" applyFill="1" applyBorder="1" applyProtection="1">
      <protection locked="0"/>
    </xf>
    <xf numFmtId="0" fontId="14" fillId="4" borderId="21" xfId="0" applyFont="1" applyFill="1" applyBorder="1" applyProtection="1">
      <protection hidden="1"/>
    </xf>
    <xf numFmtId="0" fontId="0" fillId="4" borderId="30" xfId="0" applyFill="1" applyBorder="1" applyProtection="1">
      <protection hidden="1"/>
    </xf>
    <xf numFmtId="0" fontId="9" fillId="0" borderId="6" xfId="0" applyFont="1" applyBorder="1" applyProtection="1">
      <protection hidden="1"/>
    </xf>
    <xf numFmtId="173" fontId="0" fillId="0" borderId="6" xfId="8" applyNumberFormat="1" applyFont="1" applyBorder="1" applyProtection="1">
      <protection locked="0"/>
    </xf>
    <xf numFmtId="0" fontId="15" fillId="4" borderId="0" xfId="0" applyFont="1" applyFill="1"/>
    <xf numFmtId="0" fontId="9" fillId="0" borderId="28" xfId="0" applyFont="1" applyBorder="1"/>
    <xf numFmtId="173" fontId="0" fillId="0" borderId="28" xfId="0" applyNumberFormat="1" applyBorder="1"/>
    <xf numFmtId="0" fontId="22" fillId="4" borderId="24" xfId="0" applyFont="1" applyFill="1" applyBorder="1"/>
    <xf numFmtId="0" fontId="0" fillId="4" borderId="2" xfId="0" applyFill="1" applyBorder="1" applyAlignment="1">
      <alignment wrapText="1"/>
    </xf>
    <xf numFmtId="0" fontId="0" fillId="4" borderId="18" xfId="0" applyFill="1" applyBorder="1" applyProtection="1">
      <protection hidden="1"/>
    </xf>
    <xf numFmtId="0" fontId="22" fillId="4" borderId="15" xfId="0" applyFont="1" applyFill="1" applyBorder="1"/>
    <xf numFmtId="0" fontId="0" fillId="4" borderId="15" xfId="0" applyFill="1" applyBorder="1" applyAlignment="1">
      <alignment wrapText="1"/>
    </xf>
    <xf numFmtId="0" fontId="0" fillId="0" borderId="15" xfId="0" applyBorder="1" applyProtection="1">
      <protection hidden="1"/>
    </xf>
    <xf numFmtId="0" fontId="0" fillId="4" borderId="16" xfId="0" applyFill="1" applyBorder="1" applyAlignment="1">
      <alignment wrapText="1"/>
    </xf>
    <xf numFmtId="0" fontId="43" fillId="4" borderId="0" xfId="0" applyFont="1" applyFill="1"/>
    <xf numFmtId="174" fontId="43" fillId="4" borderId="0" xfId="0" applyNumberFormat="1" applyFont="1" applyFill="1"/>
    <xf numFmtId="0" fontId="0" fillId="4" borderId="21" xfId="0" applyFill="1" applyBorder="1" applyProtection="1">
      <protection locked="0"/>
    </xf>
    <xf numFmtId="0" fontId="0" fillId="4" borderId="21" xfId="0" quotePrefix="1" applyFill="1" applyBorder="1" applyAlignment="1" applyProtection="1">
      <alignment horizontal="left"/>
      <protection hidden="1"/>
    </xf>
    <xf numFmtId="173" fontId="0" fillId="0" borderId="6" xfId="0" applyNumberFormat="1" applyBorder="1"/>
    <xf numFmtId="173" fontId="4" fillId="0" borderId="0" xfId="8" applyNumberFormat="1" applyBorder="1" applyProtection="1">
      <protection locked="0"/>
    </xf>
    <xf numFmtId="0" fontId="15" fillId="4" borderId="0" xfId="0" quotePrefix="1" applyFont="1" applyFill="1" applyAlignment="1" applyProtection="1">
      <alignment horizontal="left"/>
      <protection hidden="1"/>
    </xf>
    <xf numFmtId="0" fontId="25" fillId="4" borderId="0" xfId="0" applyFont="1" applyFill="1"/>
    <xf numFmtId="0" fontId="25" fillId="4" borderId="0" xfId="0" quotePrefix="1" applyFont="1" applyFill="1" applyAlignment="1" applyProtection="1">
      <alignment horizontal="left"/>
      <protection hidden="1"/>
    </xf>
    <xf numFmtId="0" fontId="15" fillId="4" borderId="0" xfId="0" applyFont="1" applyFill="1" applyProtection="1">
      <protection hidden="1"/>
    </xf>
    <xf numFmtId="174" fontId="43" fillId="4" borderId="31" xfId="0" applyNumberFormat="1" applyFont="1" applyFill="1" applyBorder="1"/>
    <xf numFmtId="0" fontId="44" fillId="4" borderId="17" xfId="0" applyFont="1" applyFill="1" applyBorder="1"/>
    <xf numFmtId="0" fontId="43" fillId="4" borderId="21" xfId="0" applyFont="1" applyFill="1" applyBorder="1"/>
    <xf numFmtId="174" fontId="43" fillId="4" borderId="21" xfId="0" applyNumberFormat="1" applyFont="1" applyFill="1" applyBorder="1"/>
    <xf numFmtId="0" fontId="15" fillId="4" borderId="21" xfId="0" applyFont="1" applyFill="1" applyBorder="1" applyProtection="1">
      <protection hidden="1"/>
    </xf>
    <xf numFmtId="0" fontId="22" fillId="4" borderId="21" xfId="0" applyFont="1" applyFill="1" applyBorder="1"/>
    <xf numFmtId="0" fontId="9" fillId="4" borderId="0" xfId="0" applyFont="1" applyFill="1" applyAlignment="1">
      <alignment horizontal="right"/>
    </xf>
    <xf numFmtId="175" fontId="0" fillId="2" borderId="0" xfId="0" applyNumberFormat="1" applyFill="1" applyProtection="1">
      <protection locked="0"/>
    </xf>
    <xf numFmtId="0" fontId="9" fillId="0" borderId="6" xfId="0" applyFont="1" applyBorder="1"/>
    <xf numFmtId="173" fontId="0" fillId="0" borderId="6" xfId="26" applyNumberFormat="1" applyFont="1" applyFill="1" applyBorder="1" applyProtection="1">
      <protection locked="0"/>
    </xf>
    <xf numFmtId="173" fontId="14" fillId="4" borderId="0" xfId="0" applyNumberFormat="1" applyFont="1" applyFill="1" applyProtection="1">
      <protection hidden="1"/>
    </xf>
    <xf numFmtId="0" fontId="9" fillId="0" borderId="32" xfId="0" applyFont="1" applyBorder="1"/>
    <xf numFmtId="173" fontId="0" fillId="0" borderId="32" xfId="8" applyNumberFormat="1" applyFont="1" applyFill="1" applyBorder="1" applyProtection="1">
      <protection locked="0"/>
    </xf>
    <xf numFmtId="173" fontId="0" fillId="4" borderId="0" xfId="8" applyNumberFormat="1" applyFont="1" applyFill="1" applyBorder="1" applyProtection="1">
      <protection hidden="1"/>
    </xf>
    <xf numFmtId="173" fontId="0" fillId="4" borderId="15" xfId="8" applyNumberFormat="1" applyFont="1" applyFill="1" applyBorder="1" applyProtection="1">
      <protection hidden="1"/>
    </xf>
    <xf numFmtId="0" fontId="0" fillId="0" borderId="21" xfId="0" applyBorder="1"/>
    <xf numFmtId="0" fontId="5" fillId="6" borderId="0" xfId="0" quotePrefix="1" applyFont="1" applyFill="1"/>
    <xf numFmtId="0" fontId="5" fillId="6" borderId="2" xfId="0" quotePrefix="1" applyFont="1" applyFill="1" applyBorder="1"/>
    <xf numFmtId="0" fontId="18" fillId="6" borderId="0" xfId="0" applyFont="1" applyFill="1"/>
    <xf numFmtId="0" fontId="14" fillId="5" borderId="0" xfId="0" applyFont="1" applyFill="1"/>
    <xf numFmtId="0" fontId="5" fillId="5" borderId="1" xfId="0" quotePrefix="1" applyFont="1" applyFill="1" applyBorder="1" applyProtection="1">
      <protection hidden="1"/>
    </xf>
    <xf numFmtId="0" fontId="0" fillId="0" borderId="18" xfId="0" applyBorder="1"/>
    <xf numFmtId="0" fontId="0" fillId="0" borderId="16" xfId="0" applyBorder="1"/>
    <xf numFmtId="0" fontId="5" fillId="6" borderId="2" xfId="0" applyFont="1" applyFill="1" applyBorder="1"/>
    <xf numFmtId="0" fontId="21" fillId="5" borderId="0" xfId="0" applyFont="1" applyFill="1"/>
    <xf numFmtId="0" fontId="20" fillId="5" borderId="2" xfId="0" applyFont="1" applyFill="1" applyBorder="1"/>
    <xf numFmtId="0" fontId="14" fillId="6" borderId="0" xfId="0" applyFont="1" applyFill="1" applyProtection="1">
      <protection hidden="1"/>
    </xf>
    <xf numFmtId="0" fontId="0" fillId="6" borderId="0" xfId="0" applyFill="1" applyAlignment="1" applyProtection="1">
      <alignment horizontal="right"/>
      <protection hidden="1"/>
    </xf>
    <xf numFmtId="173" fontId="0" fillId="6" borderId="0" xfId="0" applyNumberFormat="1" applyFill="1" applyAlignment="1" applyProtection="1">
      <alignment horizontal="right"/>
      <protection hidden="1"/>
    </xf>
    <xf numFmtId="0" fontId="0" fillId="6" borderId="2" xfId="0" applyFill="1" applyBorder="1" applyProtection="1">
      <protection hidden="1"/>
    </xf>
    <xf numFmtId="0" fontId="0" fillId="5" borderId="0" xfId="0" applyFill="1" applyAlignment="1">
      <alignment horizontal="right"/>
    </xf>
    <xf numFmtId="173" fontId="0" fillId="5" borderId="0" xfId="0" applyNumberFormat="1" applyFill="1" applyAlignment="1">
      <alignment horizontal="right"/>
    </xf>
    <xf numFmtId="0" fontId="0" fillId="5" borderId="0" xfId="0" applyFill="1" applyAlignment="1" applyProtection="1">
      <alignment horizontal="right"/>
      <protection hidden="1"/>
    </xf>
    <xf numFmtId="0" fontId="14" fillId="4" borderId="0" xfId="0" applyFont="1" applyFill="1"/>
    <xf numFmtId="0" fontId="14" fillId="4" borderId="21" xfId="0" applyFont="1" applyFill="1" applyBorder="1"/>
    <xf numFmtId="0" fontId="0" fillId="0" borderId="0" xfId="0" applyAlignment="1">
      <alignment horizontal="center" wrapText="1"/>
    </xf>
    <xf numFmtId="0" fontId="0" fillId="0" borderId="16" xfId="0" applyBorder="1" applyAlignment="1">
      <alignment wrapText="1"/>
    </xf>
    <xf numFmtId="0" fontId="7" fillId="0" borderId="36" xfId="0" applyFont="1" applyBorder="1"/>
    <xf numFmtId="0" fontId="7" fillId="0" borderId="37" xfId="0" applyFont="1" applyBorder="1"/>
    <xf numFmtId="0" fontId="7" fillId="0" borderId="38" xfId="0" applyFont="1" applyBorder="1"/>
    <xf numFmtId="0" fontId="0" fillId="0" borderId="5" xfId="0" applyBorder="1" applyAlignment="1">
      <alignment horizontal="right"/>
    </xf>
    <xf numFmtId="0" fontId="0" fillId="0" borderId="1" xfId="0" applyBorder="1" applyAlignment="1">
      <alignment horizontal="right"/>
    </xf>
    <xf numFmtId="0" fontId="0" fillId="0" borderId="35" xfId="0" applyBorder="1" applyAlignment="1">
      <alignment horizontal="right"/>
    </xf>
    <xf numFmtId="0" fontId="0" fillId="0" borderId="35" xfId="0" applyBorder="1"/>
    <xf numFmtId="0" fontId="0" fillId="0" borderId="34" xfId="0" applyBorder="1"/>
    <xf numFmtId="0" fontId="17" fillId="8" borderId="0" xfId="0" applyFont="1" applyFill="1"/>
    <xf numFmtId="0" fontId="0" fillId="0" borderId="37" xfId="0" applyBorder="1" applyAlignment="1">
      <alignment wrapText="1"/>
    </xf>
    <xf numFmtId="0" fontId="0" fillId="0" borderId="38" xfId="0" applyBorder="1" applyAlignment="1">
      <alignment wrapText="1"/>
    </xf>
    <xf numFmtId="0" fontId="12" fillId="0" borderId="0" xfId="0" quotePrefix="1" applyFont="1" applyAlignment="1">
      <alignment horizontal="left" vertical="center"/>
    </xf>
    <xf numFmtId="0" fontId="9" fillId="0" borderId="1" xfId="0" applyFont="1" applyBorder="1"/>
    <xf numFmtId="1" fontId="9" fillId="2" borderId="0" xfId="0" applyNumberFormat="1" applyFont="1" applyFill="1"/>
    <xf numFmtId="9" fontId="9" fillId="2" borderId="0" xfId="0" applyNumberFormat="1" applyFont="1" applyFill="1"/>
    <xf numFmtId="178" fontId="9" fillId="2" borderId="0" xfId="0" applyNumberFormat="1" applyFont="1" applyFill="1"/>
    <xf numFmtId="2" fontId="9" fillId="2" borderId="0" xfId="0" applyNumberFormat="1" applyFont="1" applyFill="1" applyProtection="1">
      <protection hidden="1"/>
    </xf>
    <xf numFmtId="175" fontId="0" fillId="2" borderId="0" xfId="6" applyNumberFormat="1" applyFont="1" applyFill="1"/>
    <xf numFmtId="0" fontId="24" fillId="4" borderId="0" xfId="0" applyFont="1" applyFill="1"/>
    <xf numFmtId="0" fontId="16" fillId="4" borderId="0" xfId="10" applyFill="1" applyAlignment="1" applyProtection="1"/>
    <xf numFmtId="0" fontId="9" fillId="0" borderId="21" xfId="0" applyFont="1" applyBorder="1" applyProtection="1">
      <protection hidden="1"/>
    </xf>
    <xf numFmtId="0" fontId="5" fillId="0" borderId="39" xfId="0" applyFont="1" applyBorder="1" applyProtection="1">
      <protection hidden="1"/>
    </xf>
    <xf numFmtId="0" fontId="5" fillId="0" borderId="39" xfId="0" applyFont="1" applyBorder="1" applyAlignment="1" applyProtection="1">
      <alignment horizontal="center"/>
      <protection hidden="1"/>
    </xf>
    <xf numFmtId="0" fontId="5" fillId="0" borderId="40" xfId="0" applyFont="1" applyBorder="1" applyAlignment="1" applyProtection="1">
      <alignment horizontal="center"/>
      <protection hidden="1"/>
    </xf>
    <xf numFmtId="0" fontId="25" fillId="0" borderId="0" xfId="0" applyFont="1"/>
    <xf numFmtId="173" fontId="0" fillId="4" borderId="0" xfId="0" applyNumberFormat="1" applyFill="1"/>
    <xf numFmtId="0" fontId="6" fillId="4" borderId="0" xfId="0" applyFont="1" applyFill="1"/>
    <xf numFmtId="0" fontId="0" fillId="4" borderId="2" xfId="0" applyFill="1" applyBorder="1"/>
    <xf numFmtId="0" fontId="0" fillId="4" borderId="16" xfId="0" applyFill="1" applyBorder="1"/>
    <xf numFmtId="173" fontId="0" fillId="4" borderId="0" xfId="8" applyNumberFormat="1" applyFont="1" applyFill="1" applyProtection="1">
      <protection locked="0"/>
    </xf>
    <xf numFmtId="0" fontId="5" fillId="0" borderId="1" xfId="0" applyFont="1" applyBorder="1"/>
    <xf numFmtId="0" fontId="7" fillId="0" borderId="6" xfId="0" applyFont="1" applyBorder="1"/>
    <xf numFmtId="0" fontId="8" fillId="0" borderId="41" xfId="0" applyFont="1" applyBorder="1"/>
    <xf numFmtId="0" fontId="20" fillId="0" borderId="0" xfId="0" applyFont="1" applyProtection="1">
      <protection locked="0"/>
    </xf>
    <xf numFmtId="169" fontId="0" fillId="2" borderId="0" xfId="6" applyNumberFormat="1" applyFont="1" applyFill="1"/>
    <xf numFmtId="173" fontId="0" fillId="0" borderId="0" xfId="0" applyNumberFormat="1"/>
    <xf numFmtId="0" fontId="0" fillId="0" borderId="17" xfId="0" applyBorder="1"/>
    <xf numFmtId="0" fontId="0" fillId="0" borderId="30" xfId="0" applyBorder="1"/>
    <xf numFmtId="0" fontId="5" fillId="3" borderId="33" xfId="0" applyFont="1" applyFill="1" applyBorder="1"/>
    <xf numFmtId="0" fontId="5" fillId="3" borderId="6" xfId="0" applyFont="1" applyFill="1" applyBorder="1"/>
    <xf numFmtId="0" fontId="8" fillId="4" borderId="2" xfId="0" applyFont="1" applyFill="1" applyBorder="1"/>
    <xf numFmtId="0" fontId="7" fillId="4" borderId="21" xfId="0" applyFont="1" applyFill="1" applyBorder="1"/>
    <xf numFmtId="0" fontId="8" fillId="4" borderId="30" xfId="0" applyFont="1" applyFill="1" applyBorder="1"/>
    <xf numFmtId="0" fontId="8" fillId="4" borderId="0" xfId="0" applyFont="1" applyFill="1"/>
    <xf numFmtId="0" fontId="7" fillId="0" borderId="42" xfId="0" applyFont="1" applyBorder="1"/>
    <xf numFmtId="0" fontId="5" fillId="0" borderId="23" xfId="0" applyFont="1" applyBorder="1" applyAlignment="1">
      <alignment horizontal="right"/>
    </xf>
    <xf numFmtId="0" fontId="5" fillId="0" borderId="23" xfId="0" applyFont="1" applyBorder="1" applyAlignment="1">
      <alignment horizontal="right" vertical="center"/>
    </xf>
    <xf numFmtId="0" fontId="0" fillId="4" borderId="0" xfId="0" quotePrefix="1" applyFill="1"/>
    <xf numFmtId="0" fontId="5" fillId="2" borderId="6" xfId="0" applyFont="1" applyFill="1" applyBorder="1" applyProtection="1">
      <protection locked="0"/>
    </xf>
    <xf numFmtId="0" fontId="5" fillId="6" borderId="25" xfId="0" quotePrefix="1" applyFont="1" applyFill="1" applyBorder="1"/>
    <xf numFmtId="2" fontId="0" fillId="0" borderId="0" xfId="0" applyNumberFormat="1" applyProtection="1">
      <protection hidden="1"/>
    </xf>
    <xf numFmtId="0" fontId="13" fillId="4" borderId="0" xfId="0" applyFont="1" applyFill="1" applyAlignment="1">
      <alignment horizontal="right" wrapText="1"/>
    </xf>
    <xf numFmtId="176" fontId="0" fillId="5" borderId="0" xfId="6" applyNumberFormat="1" applyFont="1" applyFill="1" applyAlignment="1">
      <alignment horizontal="right"/>
    </xf>
    <xf numFmtId="0" fontId="0" fillId="5" borderId="2" xfId="0" applyFill="1" applyBorder="1" applyAlignment="1">
      <alignment horizontal="right"/>
    </xf>
    <xf numFmtId="0" fontId="9" fillId="4" borderId="0" xfId="0" applyFont="1" applyFill="1" applyAlignment="1">
      <alignment horizontal="left"/>
    </xf>
    <xf numFmtId="0" fontId="16" fillId="4" borderId="0" xfId="10" applyFill="1" applyAlignment="1" applyProtection="1">
      <alignment vertical="top"/>
    </xf>
    <xf numFmtId="0" fontId="0" fillId="4" borderId="0" xfId="0" applyFill="1" applyAlignment="1">
      <alignment vertical="top"/>
    </xf>
    <xf numFmtId="0" fontId="0" fillId="3" borderId="0" xfId="0" applyFill="1" applyAlignment="1">
      <alignment horizontal="right"/>
    </xf>
    <xf numFmtId="9" fontId="0" fillId="3" borderId="0" xfId="26" applyFont="1" applyFill="1" applyAlignment="1">
      <alignment horizontal="right"/>
    </xf>
    <xf numFmtId="0" fontId="5" fillId="5" borderId="0" xfId="0" applyFont="1" applyFill="1"/>
    <xf numFmtId="170" fontId="5" fillId="0" borderId="0" xfId="6" applyNumberFormat="1" applyFont="1" applyBorder="1" applyProtection="1">
      <protection hidden="1"/>
    </xf>
    <xf numFmtId="0" fontId="18" fillId="0" borderId="0" xfId="0" applyFont="1" applyProtection="1">
      <protection hidden="1"/>
    </xf>
    <xf numFmtId="0" fontId="5" fillId="0" borderId="0" xfId="0" applyFont="1" applyAlignment="1" applyProtection="1">
      <alignment horizontal="right"/>
      <protection hidden="1"/>
    </xf>
    <xf numFmtId="173" fontId="5" fillId="0" borderId="0" xfId="0" applyNumberFormat="1" applyFont="1" applyAlignment="1" applyProtection="1">
      <alignment horizontal="right"/>
      <protection hidden="1"/>
    </xf>
    <xf numFmtId="0" fontId="5" fillId="0" borderId="2" xfId="0" applyFont="1" applyBorder="1" applyAlignment="1">
      <alignment horizontal="right"/>
    </xf>
    <xf numFmtId="0" fontId="18" fillId="0" borderId="0" xfId="0" applyFont="1"/>
    <xf numFmtId="173" fontId="5" fillId="0" borderId="0" xfId="0" applyNumberFormat="1" applyFont="1" applyAlignment="1">
      <alignment horizontal="right"/>
    </xf>
    <xf numFmtId="173" fontId="5" fillId="0" borderId="0" xfId="8" applyNumberFormat="1" applyFont="1" applyBorder="1" applyAlignment="1" applyProtection="1">
      <alignment horizontal="right"/>
      <protection hidden="1"/>
    </xf>
    <xf numFmtId="0" fontId="5" fillId="5" borderId="0" xfId="0" applyFont="1" applyFill="1" applyProtection="1">
      <protection hidden="1"/>
    </xf>
    <xf numFmtId="0" fontId="9" fillId="0" borderId="43" xfId="0" applyFont="1" applyBorder="1" applyProtection="1">
      <protection hidden="1"/>
    </xf>
    <xf numFmtId="0" fontId="5" fillId="6" borderId="1" xfId="0" quotePrefix="1" applyFont="1" applyFill="1" applyBorder="1" applyAlignment="1">
      <alignment horizontal="left"/>
    </xf>
    <xf numFmtId="0" fontId="35" fillId="4" borderId="0" xfId="0" applyFont="1" applyFill="1" applyAlignment="1" applyProtection="1">
      <alignment vertical="center"/>
      <protection locked="0" hidden="1"/>
    </xf>
    <xf numFmtId="0" fontId="7" fillId="4" borderId="1" xfId="0" applyFont="1" applyFill="1" applyBorder="1" applyAlignment="1">
      <alignment horizontal="left"/>
    </xf>
    <xf numFmtId="9" fontId="0" fillId="3" borderId="0" xfId="26" applyFont="1" applyFill="1"/>
    <xf numFmtId="0" fontId="5" fillId="0" borderId="23" xfId="0" applyFont="1" applyBorder="1"/>
    <xf numFmtId="0" fontId="5" fillId="3" borderId="6" xfId="0" applyFont="1" applyFill="1" applyBorder="1" applyAlignment="1">
      <alignment horizontal="right"/>
    </xf>
    <xf numFmtId="0" fontId="46" fillId="3" borderId="6" xfId="0" applyFont="1" applyFill="1" applyBorder="1" applyAlignment="1" applyProtection="1">
      <alignment horizontal="right"/>
      <protection locked="0"/>
    </xf>
    <xf numFmtId="0" fontId="7" fillId="0" borderId="44" xfId="0" applyFont="1" applyBorder="1"/>
    <xf numFmtId="0" fontId="8" fillId="0" borderId="45" xfId="0" applyFont="1" applyBorder="1"/>
    <xf numFmtId="0" fontId="5" fillId="6" borderId="0" xfId="0" applyFont="1" applyFill="1" applyAlignment="1">
      <alignment horizontal="right"/>
    </xf>
    <xf numFmtId="173" fontId="0" fillId="5" borderId="0" xfId="8" applyNumberFormat="1" applyFont="1" applyFill="1" applyBorder="1" applyAlignment="1" applyProtection="1">
      <alignment horizontal="right"/>
      <protection hidden="1"/>
    </xf>
    <xf numFmtId="167" fontId="5" fillId="0" borderId="0" xfId="8" applyFont="1" applyAlignment="1">
      <alignment horizontal="right"/>
    </xf>
    <xf numFmtId="0" fontId="20" fillId="5" borderId="0" xfId="0" applyFont="1" applyFill="1" applyAlignment="1">
      <alignment horizontal="right"/>
    </xf>
    <xf numFmtId="173" fontId="0" fillId="5" borderId="0" xfId="8" applyNumberFormat="1" applyFont="1" applyFill="1" applyAlignment="1">
      <alignment horizontal="right"/>
    </xf>
    <xf numFmtId="173" fontId="0" fillId="6" borderId="0" xfId="8" applyNumberFormat="1" applyFont="1" applyFill="1" applyBorder="1" applyAlignment="1" applyProtection="1">
      <alignment horizontal="right"/>
      <protection hidden="1"/>
    </xf>
    <xf numFmtId="173" fontId="0" fillId="5" borderId="0" xfId="8" applyNumberFormat="1" applyFont="1" applyFill="1" applyBorder="1" applyAlignment="1">
      <alignment horizontal="right"/>
    </xf>
    <xf numFmtId="0" fontId="7" fillId="4" borderId="46" xfId="0" applyFont="1" applyFill="1" applyBorder="1" applyAlignment="1">
      <alignment vertical="center"/>
    </xf>
    <xf numFmtId="0" fontId="27" fillId="4" borderId="0" xfId="0" applyFont="1" applyFill="1" applyAlignment="1">
      <alignment horizontal="left"/>
    </xf>
    <xf numFmtId="0" fontId="5" fillId="4" borderId="17" xfId="0" applyFont="1" applyFill="1" applyBorder="1"/>
    <xf numFmtId="0" fontId="5" fillId="3" borderId="6" xfId="0" applyFont="1" applyFill="1" applyBorder="1" applyProtection="1">
      <protection locked="0" hidden="1"/>
    </xf>
    <xf numFmtId="0" fontId="8" fillId="0" borderId="41" xfId="0" applyFont="1" applyBorder="1" applyProtection="1">
      <protection locked="0" hidden="1"/>
    </xf>
    <xf numFmtId="175" fontId="5" fillId="3" borderId="6" xfId="0" applyNumberFormat="1" applyFont="1" applyFill="1" applyBorder="1" applyProtection="1">
      <protection locked="0" hidden="1"/>
    </xf>
    <xf numFmtId="175" fontId="9" fillId="0" borderId="0" xfId="0" applyNumberFormat="1" applyFont="1" applyProtection="1">
      <protection hidden="1"/>
    </xf>
    <xf numFmtId="166" fontId="9" fillId="0" borderId="0" xfId="6" applyNumberFormat="1" applyFont="1" applyProtection="1">
      <protection hidden="1"/>
    </xf>
    <xf numFmtId="0" fontId="9" fillId="2" borderId="0" xfId="0" applyFont="1" applyFill="1" applyProtection="1">
      <protection locked="0" hidden="1"/>
    </xf>
    <xf numFmtId="9" fontId="0" fillId="3" borderId="0" xfId="0" applyNumberFormat="1" applyFill="1" applyAlignment="1">
      <alignment horizontal="right"/>
    </xf>
    <xf numFmtId="0" fontId="22" fillId="4" borderId="0" xfId="0" applyFont="1" applyFill="1" applyProtection="1">
      <protection locked="0" hidden="1"/>
    </xf>
    <xf numFmtId="0" fontId="16" fillId="4" borderId="0" xfId="10" applyFill="1" applyAlignment="1" applyProtection="1">
      <protection locked="0" hidden="1"/>
    </xf>
    <xf numFmtId="0" fontId="13" fillId="4" borderId="2" xfId="0" applyFont="1" applyFill="1" applyBorder="1" applyAlignment="1" applyProtection="1">
      <alignment horizontal="right"/>
      <protection locked="0"/>
    </xf>
    <xf numFmtId="0" fontId="12" fillId="4" borderId="0" xfId="0" applyFont="1" applyFill="1" applyProtection="1">
      <protection locked="0"/>
    </xf>
    <xf numFmtId="0" fontId="13" fillId="4" borderId="16" xfId="0" applyFont="1" applyFill="1" applyBorder="1" applyAlignment="1" applyProtection="1">
      <alignment horizontal="right"/>
      <protection locked="0"/>
    </xf>
    <xf numFmtId="0" fontId="0" fillId="0" borderId="15" xfId="0" applyBorder="1" applyAlignment="1">
      <alignment horizontal="right"/>
    </xf>
    <xf numFmtId="0" fontId="0" fillId="0" borderId="21" xfId="0" applyBorder="1" applyAlignment="1">
      <alignment horizontal="right"/>
    </xf>
    <xf numFmtId="0" fontId="17" fillId="9" borderId="0" xfId="0" applyFont="1" applyFill="1"/>
    <xf numFmtId="0" fontId="7" fillId="9" borderId="0" xfId="0" applyFont="1" applyFill="1"/>
    <xf numFmtId="0" fontId="0" fillId="9" borderId="0" xfId="0" applyFill="1"/>
    <xf numFmtId="0" fontId="5" fillId="4" borderId="17" xfId="0" applyFont="1" applyFill="1" applyBorder="1" applyAlignment="1">
      <alignment horizontal="left"/>
    </xf>
    <xf numFmtId="0" fontId="7" fillId="4" borderId="21" xfId="0" applyFont="1" applyFill="1" applyBorder="1" applyProtection="1">
      <protection hidden="1"/>
    </xf>
    <xf numFmtId="0" fontId="33" fillId="4" borderId="30" xfId="0" applyFont="1" applyFill="1" applyBorder="1" applyProtection="1">
      <protection hidden="1"/>
    </xf>
    <xf numFmtId="0" fontId="0" fillId="0" borderId="47" xfId="0" applyBorder="1"/>
    <xf numFmtId="0" fontId="22" fillId="4" borderId="0" xfId="0" applyFont="1" applyFill="1" applyAlignment="1">
      <alignment horizontal="left"/>
    </xf>
    <xf numFmtId="0" fontId="9" fillId="0" borderId="0" xfId="0" quotePrefix="1" applyFont="1" applyAlignment="1">
      <alignment horizontal="right"/>
    </xf>
    <xf numFmtId="0" fontId="9" fillId="0" borderId="15" xfId="0" quotePrefix="1" applyFont="1" applyBorder="1" applyAlignment="1">
      <alignment horizontal="right"/>
    </xf>
    <xf numFmtId="0" fontId="9" fillId="0" borderId="16" xfId="0" quotePrefix="1" applyFont="1" applyBorder="1" applyAlignment="1">
      <alignment horizontal="right"/>
    </xf>
    <xf numFmtId="0" fontId="9" fillId="0" borderId="17" xfId="0" quotePrefix="1" applyFont="1" applyBorder="1" applyAlignment="1">
      <alignment horizontal="right"/>
    </xf>
    <xf numFmtId="0" fontId="9" fillId="0" borderId="21" xfId="0" quotePrefix="1" applyFont="1" applyBorder="1" applyAlignment="1">
      <alignment horizontal="right"/>
    </xf>
    <xf numFmtId="0" fontId="9" fillId="0" borderId="30" xfId="0" quotePrefix="1" applyFont="1" applyBorder="1" applyAlignment="1">
      <alignment horizontal="right"/>
    </xf>
    <xf numFmtId="0" fontId="9" fillId="0" borderId="2" xfId="0" quotePrefix="1" applyFont="1" applyBorder="1" applyAlignment="1">
      <alignment horizontal="right"/>
    </xf>
    <xf numFmtId="0" fontId="32" fillId="0" borderId="0" xfId="27">
      <alignment vertical="center"/>
    </xf>
    <xf numFmtId="0" fontId="4" fillId="2" borderId="0" xfId="1" applyNumberFormat="1" applyBorder="1">
      <alignment horizontal="right"/>
      <protection locked="0"/>
    </xf>
    <xf numFmtId="0" fontId="4" fillId="0" borderId="0" xfId="1" applyNumberFormat="1" applyFill="1">
      <alignment horizontal="right"/>
      <protection locked="0"/>
    </xf>
    <xf numFmtId="173" fontId="9" fillId="5" borderId="0" xfId="8" applyNumberFormat="1" applyFont="1" applyFill="1" applyBorder="1" applyProtection="1">
      <protection hidden="1"/>
    </xf>
    <xf numFmtId="173" fontId="9" fillId="5" borderId="0" xfId="0" applyNumberFormat="1" applyFont="1" applyFill="1" applyAlignment="1" applyProtection="1">
      <alignment horizontal="right"/>
      <protection hidden="1"/>
    </xf>
    <xf numFmtId="0" fontId="9" fillId="5" borderId="2" xfId="0" applyFont="1" applyFill="1" applyBorder="1" applyAlignment="1" applyProtection="1">
      <alignment horizontal="right"/>
      <protection hidden="1"/>
    </xf>
    <xf numFmtId="170" fontId="4" fillId="0" borderId="0" xfId="6" applyNumberFormat="1" applyFont="1"/>
    <xf numFmtId="0" fontId="5" fillId="0" borderId="22" xfId="0" applyFont="1" applyBorder="1" applyAlignment="1">
      <alignment vertical="center"/>
    </xf>
    <xf numFmtId="0" fontId="7" fillId="0" borderId="48" xfId="0" applyFont="1" applyBorder="1" applyAlignment="1">
      <alignment vertical="center"/>
    </xf>
    <xf numFmtId="0" fontId="5" fillId="3" borderId="42" xfId="0" applyFont="1" applyFill="1" applyBorder="1" applyAlignment="1" applyProtection="1">
      <alignment vertical="center"/>
      <protection locked="0"/>
    </xf>
    <xf numFmtId="171" fontId="0" fillId="0" borderId="0" xfId="0" applyNumberFormat="1"/>
    <xf numFmtId="3" fontId="0" fillId="0" borderId="0" xfId="0" applyNumberFormat="1"/>
    <xf numFmtId="0" fontId="27" fillId="0" borderId="0" xfId="0" applyFont="1"/>
    <xf numFmtId="0" fontId="48" fillId="0" borderId="0" xfId="0" applyFont="1" applyAlignment="1">
      <alignment horizontal="left" indent="1"/>
    </xf>
    <xf numFmtId="0" fontId="12" fillId="0" borderId="0" xfId="0" applyFont="1" applyAlignment="1">
      <alignment vertical="top"/>
    </xf>
    <xf numFmtId="0" fontId="0" fillId="7" borderId="0" xfId="0" applyFill="1"/>
    <xf numFmtId="0" fontId="5" fillId="4" borderId="18" xfId="0" applyFont="1" applyFill="1" applyBorder="1" applyAlignment="1">
      <alignment vertical="center" wrapText="1"/>
    </xf>
    <xf numFmtId="0" fontId="5" fillId="4" borderId="15" xfId="0" applyFont="1" applyFill="1" applyBorder="1" applyAlignment="1" applyProtection="1">
      <alignment vertical="center"/>
      <protection locked="0"/>
    </xf>
    <xf numFmtId="0" fontId="5" fillId="0" borderId="22" xfId="0" applyFont="1" applyBorder="1" applyAlignment="1">
      <alignment vertical="center" wrapText="1"/>
    </xf>
    <xf numFmtId="0" fontId="8" fillId="0" borderId="49" xfId="0" applyFont="1" applyBorder="1" applyAlignment="1">
      <alignment vertical="center"/>
    </xf>
    <xf numFmtId="169" fontId="9" fillId="0" borderId="0" xfId="6" applyNumberFormat="1" applyFont="1" applyFill="1" applyAlignment="1" applyProtection="1">
      <alignment horizontal="right"/>
      <protection hidden="1"/>
    </xf>
    <xf numFmtId="0" fontId="32" fillId="0" borderId="0" xfId="27" applyBorder="1">
      <alignment vertical="center"/>
    </xf>
    <xf numFmtId="49" fontId="0" fillId="5" borderId="1" xfId="0" applyNumberFormat="1" applyFill="1" applyBorder="1"/>
    <xf numFmtId="0" fontId="49" fillId="0" borderId="0" xfId="0" applyFont="1"/>
    <xf numFmtId="173" fontId="9" fillId="0" borderId="0" xfId="8" applyNumberFormat="1" applyFont="1" applyProtection="1">
      <protection hidden="1"/>
    </xf>
    <xf numFmtId="173" fontId="9" fillId="0" borderId="0" xfId="0" applyNumberFormat="1" applyFont="1"/>
    <xf numFmtId="167" fontId="5" fillId="0" borderId="0" xfId="8" applyFont="1" applyBorder="1" applyProtection="1">
      <protection hidden="1"/>
    </xf>
    <xf numFmtId="173" fontId="5" fillId="0" borderId="0" xfId="0" applyNumberFormat="1" applyFont="1" applyProtection="1">
      <protection hidden="1"/>
    </xf>
    <xf numFmtId="0" fontId="5" fillId="0" borderId="25" xfId="0" applyFont="1" applyBorder="1" applyProtection="1">
      <protection hidden="1"/>
    </xf>
    <xf numFmtId="170" fontId="5" fillId="5" borderId="0" xfId="6" applyNumberFormat="1" applyFont="1" applyFill="1" applyBorder="1"/>
    <xf numFmtId="0" fontId="18" fillId="5" borderId="0" xfId="0" applyFont="1" applyFill="1"/>
    <xf numFmtId="173" fontId="5" fillId="5" borderId="0" xfId="0" applyNumberFormat="1" applyFont="1" applyFill="1"/>
    <xf numFmtId="173" fontId="5" fillId="5" borderId="25" xfId="0" applyNumberFormat="1" applyFont="1" applyFill="1" applyBorder="1" applyProtection="1">
      <protection hidden="1"/>
    </xf>
    <xf numFmtId="0" fontId="5" fillId="5" borderId="25" xfId="0" applyFont="1" applyFill="1" applyBorder="1"/>
    <xf numFmtId="0" fontId="4" fillId="2" borderId="0" xfId="1" applyNumberFormat="1">
      <alignment horizontal="right"/>
      <protection locked="0"/>
    </xf>
    <xf numFmtId="10" fontId="4" fillId="2" borderId="0" xfId="1" applyNumberFormat="1" applyBorder="1">
      <alignment horizontal="right"/>
      <protection locked="0"/>
    </xf>
    <xf numFmtId="178" fontId="0" fillId="0" borderId="0" xfId="26" applyNumberFormat="1" applyFont="1"/>
    <xf numFmtId="0" fontId="9" fillId="0" borderId="50" xfId="0" applyFont="1" applyBorder="1" applyProtection="1">
      <protection hidden="1"/>
    </xf>
    <xf numFmtId="173" fontId="0" fillId="0" borderId="50" xfId="0" applyNumberFormat="1" applyBorder="1"/>
    <xf numFmtId="0" fontId="9" fillId="0" borderId="31" xfId="0" applyFont="1" applyBorder="1"/>
    <xf numFmtId="173" fontId="0" fillId="0" borderId="15" xfId="8" applyNumberFormat="1" applyFont="1" applyBorder="1" applyProtection="1"/>
    <xf numFmtId="173" fontId="0" fillId="0" borderId="0" xfId="8" applyNumberFormat="1" applyFont="1" applyBorder="1" applyProtection="1">
      <protection locked="0"/>
    </xf>
    <xf numFmtId="0" fontId="9" fillId="0" borderId="24" xfId="0" applyFont="1" applyBorder="1" applyProtection="1">
      <protection hidden="1"/>
    </xf>
    <xf numFmtId="173" fontId="0" fillId="0" borderId="0" xfId="0" applyNumberFormat="1" applyProtection="1">
      <protection hidden="1"/>
    </xf>
    <xf numFmtId="178" fontId="9" fillId="0" borderId="0" xfId="0" applyNumberFormat="1" applyFont="1"/>
    <xf numFmtId="178" fontId="9" fillId="2" borderId="0" xfId="26" applyNumberFormat="1" applyFont="1" applyFill="1"/>
    <xf numFmtId="178" fontId="9" fillId="0" borderId="0" xfId="26" applyNumberFormat="1" applyFont="1" applyFill="1"/>
    <xf numFmtId="169" fontId="0" fillId="0" borderId="0" xfId="0" applyNumberFormat="1" applyProtection="1">
      <protection hidden="1"/>
    </xf>
    <xf numFmtId="174" fontId="9" fillId="0" borderId="0" xfId="0" applyNumberFormat="1" applyFont="1" applyProtection="1">
      <protection hidden="1"/>
    </xf>
    <xf numFmtId="3" fontId="12" fillId="0" borderId="0" xfId="0" applyNumberFormat="1" applyFont="1" applyProtection="1">
      <protection hidden="1"/>
    </xf>
    <xf numFmtId="168" fontId="0" fillId="0" borderId="0" xfId="6" applyFont="1" applyAlignment="1"/>
    <xf numFmtId="168" fontId="9" fillId="0" borderId="0" xfId="6" applyFont="1" applyProtection="1">
      <protection hidden="1"/>
    </xf>
    <xf numFmtId="168" fontId="9" fillId="0" borderId="0" xfId="6" applyFont="1" applyFill="1" applyProtection="1">
      <protection hidden="1"/>
    </xf>
    <xf numFmtId="170" fontId="4" fillId="0" borderId="0" xfId="6" applyNumberFormat="1"/>
    <xf numFmtId="173" fontId="4" fillId="0" borderId="6" xfId="0" applyNumberFormat="1" applyFont="1" applyBorder="1"/>
    <xf numFmtId="0" fontId="12" fillId="4" borderId="0" xfId="0" applyFont="1" applyFill="1" applyAlignment="1">
      <alignment horizontal="right"/>
    </xf>
    <xf numFmtId="180" fontId="9" fillId="0" borderId="0" xfId="0" applyNumberFormat="1" applyFont="1"/>
    <xf numFmtId="0" fontId="8" fillId="4" borderId="2" xfId="0" applyFont="1" applyFill="1" applyBorder="1" applyProtection="1">
      <protection locked="0" hidden="1"/>
    </xf>
    <xf numFmtId="175" fontId="12" fillId="4" borderId="0" xfId="0" applyNumberFormat="1" applyFont="1" applyFill="1" applyProtection="1">
      <protection locked="0"/>
    </xf>
    <xf numFmtId="0" fontId="33" fillId="4" borderId="2" xfId="0" applyFont="1" applyFill="1" applyBorder="1" applyProtection="1">
      <protection locked="0" hidden="1"/>
    </xf>
    <xf numFmtId="175" fontId="12" fillId="4" borderId="0" xfId="0" applyNumberFormat="1" applyFont="1" applyFill="1"/>
    <xf numFmtId="0" fontId="33" fillId="4" borderId="2" xfId="0" applyFont="1" applyFill="1" applyBorder="1"/>
    <xf numFmtId="175" fontId="0" fillId="4" borderId="0" xfId="0" applyNumberFormat="1" applyFill="1" applyProtection="1">
      <protection hidden="1"/>
    </xf>
    <xf numFmtId="0" fontId="5" fillId="3" borderId="41" xfId="20" applyBorder="1" applyAlignment="1">
      <alignment horizontal="left" vertical="center"/>
      <protection locked="0"/>
    </xf>
    <xf numFmtId="0" fontId="5" fillId="5" borderId="1" xfId="0" applyFont="1" applyFill="1" applyBorder="1" applyAlignment="1">
      <alignment horizontal="left"/>
    </xf>
    <xf numFmtId="0" fontId="0" fillId="5" borderId="1" xfId="0" applyFill="1" applyBorder="1" applyAlignment="1">
      <alignment horizontal="left"/>
    </xf>
    <xf numFmtId="0" fontId="7" fillId="0" borderId="10" xfId="0" applyFont="1" applyBorder="1" applyAlignment="1">
      <alignment vertical="top"/>
    </xf>
    <xf numFmtId="0" fontId="49" fillId="0" borderId="11" xfId="0" applyFont="1" applyBorder="1"/>
    <xf numFmtId="0" fontId="0" fillId="0" borderId="10" xfId="0" applyBorder="1" applyAlignment="1">
      <alignment vertical="top"/>
    </xf>
    <xf numFmtId="0" fontId="4" fillId="2" borderId="0" xfId="0" applyFont="1" applyFill="1"/>
    <xf numFmtId="0" fontId="4" fillId="2" borderId="11" xfId="0" applyFont="1" applyFill="1" applyBorder="1"/>
    <xf numFmtId="0" fontId="0" fillId="0" borderId="11" xfId="0" applyBorder="1"/>
    <xf numFmtId="0" fontId="0" fillId="0" borderId="12" xfId="0" applyBorder="1" applyAlignment="1">
      <alignment vertical="top"/>
    </xf>
    <xf numFmtId="0" fontId="0" fillId="0" borderId="13" xfId="0" applyBorder="1"/>
    <xf numFmtId="0" fontId="9" fillId="4" borderId="43" xfId="0" applyFont="1" applyFill="1" applyBorder="1" applyAlignment="1">
      <alignment horizontal="right"/>
    </xf>
    <xf numFmtId="0" fontId="9" fillId="4" borderId="6" xfId="0" applyFont="1" applyFill="1" applyBorder="1"/>
    <xf numFmtId="0" fontId="9" fillId="4" borderId="50" xfId="0" applyFont="1" applyFill="1" applyBorder="1"/>
    <xf numFmtId="9" fontId="0" fillId="2" borderId="6" xfId="26" applyFont="1" applyFill="1" applyBorder="1"/>
    <xf numFmtId="9" fontId="0" fillId="2" borderId="6" xfId="26" applyFont="1" applyFill="1" applyBorder="1" applyAlignment="1">
      <alignment horizontal="right"/>
    </xf>
    <xf numFmtId="0" fontId="0" fillId="2" borderId="6" xfId="26" applyNumberFormat="1" applyFont="1" applyFill="1" applyBorder="1" applyAlignment="1">
      <alignment horizontal="right"/>
    </xf>
    <xf numFmtId="0" fontId="0" fillId="4" borderId="46" xfId="26" applyNumberFormat="1" applyFont="1" applyFill="1" applyBorder="1" applyAlignment="1">
      <alignment horizontal="right"/>
    </xf>
    <xf numFmtId="169" fontId="0" fillId="4" borderId="6" xfId="6" applyNumberFormat="1" applyFont="1" applyFill="1" applyBorder="1"/>
    <xf numFmtId="169" fontId="0" fillId="0" borderId="50" xfId="6" applyNumberFormat="1" applyFont="1" applyFill="1" applyBorder="1" applyAlignment="1">
      <alignment horizontal="right"/>
    </xf>
    <xf numFmtId="0" fontId="14" fillId="4" borderId="0" xfId="0" quotePrefix="1" applyFont="1" applyFill="1"/>
    <xf numFmtId="165" fontId="9" fillId="4" borderId="6" xfId="0" applyNumberFormat="1" applyFont="1" applyFill="1" applyBorder="1"/>
    <xf numFmtId="164" fontId="9" fillId="4" borderId="28" xfId="0" applyNumberFormat="1" applyFont="1" applyFill="1" applyBorder="1"/>
    <xf numFmtId="0" fontId="14" fillId="4" borderId="15" xfId="0" quotePrefix="1" applyFont="1" applyFill="1" applyBorder="1"/>
    <xf numFmtId="0" fontId="0" fillId="4" borderId="30" xfId="0" applyFill="1" applyBorder="1"/>
    <xf numFmtId="167" fontId="0" fillId="4" borderId="0" xfId="8" applyFont="1" applyFill="1" applyBorder="1" applyProtection="1">
      <protection hidden="1"/>
    </xf>
    <xf numFmtId="0" fontId="14" fillId="4" borderId="15" xfId="0" applyFont="1" applyFill="1" applyBorder="1"/>
    <xf numFmtId="0" fontId="12" fillId="4" borderId="1" xfId="0" applyFont="1" applyFill="1" applyBorder="1" applyAlignment="1">
      <alignment horizontal="right" vertical="top"/>
    </xf>
    <xf numFmtId="9" fontId="0" fillId="2" borderId="0" xfId="26" applyFont="1" applyFill="1" applyBorder="1" applyProtection="1">
      <protection locked="0"/>
    </xf>
    <xf numFmtId="0" fontId="35" fillId="4" borderId="0" xfId="0" applyFont="1" applyFill="1" applyAlignment="1">
      <alignment horizontal="center" vertical="center"/>
    </xf>
    <xf numFmtId="175" fontId="35" fillId="4" borderId="0" xfId="0" applyNumberFormat="1" applyFont="1" applyFill="1" applyAlignment="1">
      <alignment horizontal="center" vertical="center"/>
    </xf>
    <xf numFmtId="0" fontId="5" fillId="3" borderId="42" xfId="0" applyFont="1" applyFill="1" applyBorder="1" applyAlignment="1">
      <alignment horizontal="right"/>
    </xf>
    <xf numFmtId="0" fontId="8" fillId="0" borderId="27" xfId="0" applyFont="1" applyBorder="1"/>
    <xf numFmtId="0" fontId="12" fillId="4" borderId="0" xfId="0" applyFont="1" applyFill="1" applyAlignment="1">
      <alignment horizontal="center" wrapText="1"/>
    </xf>
    <xf numFmtId="0" fontId="9" fillId="0" borderId="0" xfId="0" applyFont="1" applyAlignment="1">
      <alignment horizontal="left"/>
    </xf>
    <xf numFmtId="168" fontId="0" fillId="0" borderId="0" xfId="0" applyNumberFormat="1" applyProtection="1">
      <protection hidden="1"/>
    </xf>
    <xf numFmtId="181" fontId="0" fillId="0" borderId="0" xfId="6" applyNumberFormat="1" applyFont="1" applyProtection="1">
      <protection hidden="1"/>
    </xf>
    <xf numFmtId="168" fontId="0" fillId="0" borderId="0" xfId="6" applyFont="1" applyProtection="1">
      <protection hidden="1"/>
    </xf>
    <xf numFmtId="170" fontId="9" fillId="0" borderId="0" xfId="6" quotePrefix="1" applyNumberFormat="1" applyFont="1" applyFill="1" applyProtection="1">
      <protection hidden="1"/>
    </xf>
    <xf numFmtId="0" fontId="5" fillId="0" borderId="0" xfId="0" applyFont="1" applyAlignment="1">
      <alignment horizontal="left"/>
    </xf>
    <xf numFmtId="0" fontId="0" fillId="5" borderId="0" xfId="0" applyFill="1" applyAlignment="1">
      <alignment horizontal="left"/>
    </xf>
    <xf numFmtId="0" fontId="0" fillId="5" borderId="0" xfId="0" applyFill="1" applyAlignment="1" applyProtection="1">
      <alignment horizontal="left"/>
      <protection hidden="1"/>
    </xf>
    <xf numFmtId="0" fontId="5" fillId="6" borderId="0" xfId="0" applyFont="1" applyFill="1" applyAlignment="1">
      <alignment horizontal="left"/>
    </xf>
    <xf numFmtId="0" fontId="5" fillId="4" borderId="52" xfId="0" applyFont="1" applyFill="1" applyBorder="1" applyAlignment="1">
      <alignment vertical="center" wrapText="1"/>
    </xf>
    <xf numFmtId="0" fontId="34" fillId="0" borderId="2" xfId="22" applyBorder="1">
      <alignment horizontal="right" vertical="center"/>
    </xf>
    <xf numFmtId="9" fontId="0" fillId="2" borderId="0" xfId="0" applyNumberFormat="1" applyFill="1" applyAlignment="1">
      <alignment horizontal="right"/>
    </xf>
    <xf numFmtId="0" fontId="0" fillId="4" borderId="37" xfId="0" applyFill="1" applyBorder="1"/>
    <xf numFmtId="0" fontId="0" fillId="0" borderId="5" xfId="0" applyBorder="1"/>
    <xf numFmtId="0" fontId="7" fillId="0" borderId="0" xfId="0" applyFont="1" applyAlignment="1">
      <alignment vertical="center"/>
    </xf>
    <xf numFmtId="172" fontId="33" fillId="4" borderId="2" xfId="0" applyNumberFormat="1" applyFont="1" applyFill="1" applyBorder="1" applyAlignment="1" applyProtection="1">
      <alignment horizontal="left" vertical="center"/>
      <protection locked="0"/>
    </xf>
    <xf numFmtId="0" fontId="5" fillId="4" borderId="0" xfId="0" applyFont="1" applyFill="1" applyAlignment="1">
      <alignment horizontal="right"/>
    </xf>
    <xf numFmtId="0" fontId="5" fillId="0" borderId="22" xfId="0" applyFont="1" applyBorder="1" applyAlignment="1">
      <alignment wrapText="1"/>
    </xf>
    <xf numFmtId="0" fontId="34" fillId="4" borderId="53" xfId="22" applyFill="1" applyBorder="1">
      <alignment horizontal="right" vertical="center"/>
    </xf>
    <xf numFmtId="0" fontId="7" fillId="4" borderId="54" xfId="0" applyFont="1" applyFill="1" applyBorder="1"/>
    <xf numFmtId="0" fontId="5" fillId="4" borderId="54" xfId="0" applyFont="1" applyFill="1" applyBorder="1" applyAlignment="1" applyProtection="1">
      <alignment vertical="center"/>
      <protection locked="0"/>
    </xf>
    <xf numFmtId="0" fontId="5" fillId="3" borderId="6" xfId="0" applyFont="1" applyFill="1" applyBorder="1" applyAlignment="1">
      <alignment vertical="center"/>
    </xf>
    <xf numFmtId="0" fontId="53" fillId="4" borderId="0" xfId="0" applyFont="1" applyFill="1"/>
    <xf numFmtId="170" fontId="5" fillId="6" borderId="0" xfId="6" applyNumberFormat="1" applyFont="1" applyFill="1" applyBorder="1" applyAlignment="1">
      <alignment horizontal="right"/>
    </xf>
    <xf numFmtId="170" fontId="0" fillId="5" borderId="0" xfId="6" applyNumberFormat="1" applyFont="1" applyFill="1" applyBorder="1" applyAlignment="1">
      <alignment horizontal="right"/>
    </xf>
    <xf numFmtId="170" fontId="0" fillId="5" borderId="0" xfId="6" applyNumberFormat="1" applyFont="1" applyFill="1" applyBorder="1" applyAlignment="1" applyProtection="1">
      <alignment horizontal="right"/>
      <protection hidden="1"/>
    </xf>
    <xf numFmtId="170" fontId="9" fillId="5" borderId="0" xfId="6" applyNumberFormat="1" applyFont="1" applyFill="1" applyBorder="1" applyAlignment="1" applyProtection="1">
      <alignment horizontal="right"/>
      <protection hidden="1"/>
    </xf>
    <xf numFmtId="0" fontId="9" fillId="5" borderId="0" xfId="0" applyFont="1" applyFill="1" applyAlignment="1" applyProtection="1">
      <alignment horizontal="right"/>
      <protection hidden="1"/>
    </xf>
    <xf numFmtId="0" fontId="20" fillId="5" borderId="0" xfId="0" applyFont="1" applyFill="1" applyAlignment="1">
      <alignment horizontal="left"/>
    </xf>
    <xf numFmtId="0" fontId="9" fillId="5" borderId="0" xfId="0" applyFont="1" applyFill="1" applyAlignment="1" applyProtection="1">
      <alignment horizontal="left"/>
      <protection hidden="1"/>
    </xf>
    <xf numFmtId="0" fontId="0" fillId="6" borderId="0" xfId="0" applyFill="1" applyAlignment="1" applyProtection="1">
      <alignment horizontal="left"/>
      <protection hidden="1"/>
    </xf>
    <xf numFmtId="0" fontId="0" fillId="4" borderId="0" xfId="0" applyFill="1" applyAlignment="1">
      <alignment horizontal="right"/>
    </xf>
    <xf numFmtId="0" fontId="0" fillId="5" borderId="1" xfId="0" quotePrefix="1" applyFill="1" applyBorder="1" applyAlignment="1">
      <alignment horizontal="left"/>
    </xf>
    <xf numFmtId="0" fontId="5" fillId="6" borderId="1" xfId="0" quotePrefix="1" applyFont="1" applyFill="1" applyBorder="1" applyAlignment="1" applyProtection="1">
      <alignment horizontal="left"/>
      <protection hidden="1"/>
    </xf>
    <xf numFmtId="9" fontId="0" fillId="4" borderId="50" xfId="26" applyFont="1" applyFill="1" applyBorder="1" applyProtection="1">
      <protection locked="0"/>
    </xf>
    <xf numFmtId="0" fontId="15" fillId="4" borderId="29" xfId="0" applyFont="1" applyFill="1" applyBorder="1" applyProtection="1">
      <protection hidden="1"/>
    </xf>
    <xf numFmtId="173" fontId="0" fillId="4" borderId="15" xfId="0" applyNumberFormat="1" applyFill="1" applyBorder="1" applyProtection="1">
      <protection hidden="1"/>
    </xf>
    <xf numFmtId="169" fontId="0" fillId="0" borderId="0" xfId="6" applyNumberFormat="1" applyFont="1"/>
    <xf numFmtId="0" fontId="7" fillId="0" borderId="0" xfId="27" applyFont="1">
      <alignment vertical="center"/>
    </xf>
    <xf numFmtId="0" fontId="9" fillId="2" borderId="0" xfId="1" applyNumberFormat="1" applyFont="1">
      <alignment horizontal="right"/>
      <protection locked="0"/>
    </xf>
    <xf numFmtId="9" fontId="9" fillId="2" borderId="0" xfId="3" applyNumberFormat="1" applyFill="1">
      <alignment horizontal="right"/>
      <protection locked="0"/>
    </xf>
    <xf numFmtId="175" fontId="0" fillId="0" borderId="0" xfId="0" applyNumberFormat="1" applyProtection="1">
      <protection hidden="1"/>
    </xf>
    <xf numFmtId="2" fontId="0" fillId="5" borderId="1" xfId="0" applyNumberFormat="1" applyFill="1" applyBorder="1" applyAlignment="1">
      <alignment horizontal="left"/>
    </xf>
    <xf numFmtId="9" fontId="0" fillId="2" borderId="0" xfId="0" applyNumberFormat="1" applyFill="1"/>
    <xf numFmtId="170" fontId="5" fillId="0" borderId="0" xfId="0" applyNumberFormat="1" applyFont="1" applyAlignment="1">
      <alignment horizontal="right"/>
    </xf>
    <xf numFmtId="0" fontId="5" fillId="5" borderId="0" xfId="0" applyFont="1" applyFill="1" applyAlignment="1">
      <alignment horizontal="left"/>
    </xf>
    <xf numFmtId="170" fontId="5" fillId="5" borderId="0" xfId="6" applyNumberFormat="1" applyFont="1" applyFill="1" applyBorder="1" applyProtection="1">
      <protection hidden="1"/>
    </xf>
    <xf numFmtId="167" fontId="5" fillId="5" borderId="0" xfId="8" applyFont="1" applyFill="1" applyBorder="1" applyProtection="1">
      <protection hidden="1"/>
    </xf>
    <xf numFmtId="170" fontId="5" fillId="6" borderId="0" xfId="0" applyNumberFormat="1" applyFont="1" applyFill="1"/>
    <xf numFmtId="170" fontId="0" fillId="5" borderId="0" xfId="0" applyNumberFormat="1" applyFill="1"/>
    <xf numFmtId="170" fontId="5" fillId="0" borderId="0" xfId="0" applyNumberFormat="1" applyFont="1"/>
    <xf numFmtId="170" fontId="0" fillId="5" borderId="0" xfId="0" applyNumberFormat="1" applyFill="1" applyProtection="1">
      <protection hidden="1"/>
    </xf>
    <xf numFmtId="170" fontId="20" fillId="5" borderId="0" xfId="0" applyNumberFormat="1" applyFont="1" applyFill="1"/>
    <xf numFmtId="170" fontId="9" fillId="5" borderId="0" xfId="0" applyNumberFormat="1" applyFont="1" applyFill="1"/>
    <xf numFmtId="170" fontId="9" fillId="5" borderId="0" xfId="0" applyNumberFormat="1" applyFont="1" applyFill="1" applyProtection="1">
      <protection hidden="1"/>
    </xf>
    <xf numFmtId="170" fontId="5" fillId="0" borderId="0" xfId="0" applyNumberFormat="1" applyFont="1" applyProtection="1">
      <protection hidden="1"/>
    </xf>
    <xf numFmtId="170" fontId="0" fillId="6" borderId="0" xfId="0" applyNumberFormat="1" applyFill="1" applyProtection="1">
      <protection hidden="1"/>
    </xf>
    <xf numFmtId="170" fontId="5" fillId="6" borderId="0" xfId="0" applyNumberFormat="1" applyFont="1" applyFill="1" applyProtection="1">
      <protection hidden="1"/>
    </xf>
    <xf numFmtId="170" fontId="5" fillId="6" borderId="0" xfId="0" applyNumberFormat="1" applyFont="1" applyFill="1" applyAlignment="1">
      <alignment horizontal="right"/>
    </xf>
    <xf numFmtId="170" fontId="0" fillId="5" borderId="0" xfId="0" applyNumberFormat="1" applyFill="1" applyAlignment="1">
      <alignment horizontal="right"/>
    </xf>
    <xf numFmtId="170" fontId="0" fillId="5" borderId="0" xfId="0" applyNumberFormat="1" applyFill="1" applyAlignment="1" applyProtection="1">
      <alignment horizontal="right"/>
      <protection hidden="1"/>
    </xf>
    <xf numFmtId="170" fontId="0" fillId="5" borderId="0" xfId="6" applyNumberFormat="1" applyFont="1" applyFill="1" applyAlignment="1">
      <alignment horizontal="right"/>
    </xf>
    <xf numFmtId="170" fontId="5" fillId="0" borderId="0" xfId="0" applyNumberFormat="1" applyFont="1" applyAlignment="1" applyProtection="1">
      <alignment horizontal="right"/>
      <protection hidden="1"/>
    </xf>
    <xf numFmtId="170" fontId="0" fillId="6" borderId="0" xfId="0" applyNumberFormat="1" applyFill="1" applyAlignment="1" applyProtection="1">
      <alignment horizontal="right"/>
      <protection hidden="1"/>
    </xf>
    <xf numFmtId="170" fontId="5" fillId="6" borderId="0" xfId="0" applyNumberFormat="1" applyFont="1" applyFill="1" applyAlignment="1" applyProtection="1">
      <alignment horizontal="right"/>
      <protection hidden="1"/>
    </xf>
    <xf numFmtId="0" fontId="5" fillId="0" borderId="56" xfId="0" applyFont="1" applyBorder="1" applyAlignment="1">
      <alignment horizontal="left"/>
    </xf>
    <xf numFmtId="0" fontId="5" fillId="0" borderId="43" xfId="0" applyFont="1" applyBorder="1" applyAlignment="1">
      <alignment horizontal="left"/>
    </xf>
    <xf numFmtId="170" fontId="5" fillId="0" borderId="43" xfId="0" applyNumberFormat="1" applyFont="1" applyBorder="1"/>
    <xf numFmtId="0" fontId="18" fillId="0" borderId="43" xfId="0" applyFont="1" applyBorder="1"/>
    <xf numFmtId="170" fontId="5" fillId="0" borderId="43" xfId="0" applyNumberFormat="1" applyFont="1" applyBorder="1" applyAlignment="1">
      <alignment horizontal="right"/>
    </xf>
    <xf numFmtId="173" fontId="5" fillId="0" borderId="43" xfId="0" applyNumberFormat="1" applyFont="1" applyBorder="1" applyAlignment="1">
      <alignment horizontal="right"/>
    </xf>
    <xf numFmtId="0" fontId="5" fillId="0" borderId="43" xfId="0" applyFont="1" applyBorder="1" applyAlignment="1">
      <alignment horizontal="right"/>
    </xf>
    <xf numFmtId="0" fontId="5" fillId="0" borderId="57" xfId="0" applyFont="1" applyBorder="1" applyAlignment="1">
      <alignment horizontal="right"/>
    </xf>
    <xf numFmtId="0" fontId="5" fillId="0" borderId="1" xfId="0" applyFont="1" applyBorder="1" applyAlignment="1">
      <alignment horizontal="left"/>
    </xf>
    <xf numFmtId="0" fontId="9" fillId="0" borderId="0" xfId="6" applyNumberFormat="1" applyFont="1" applyBorder="1" applyAlignment="1">
      <alignment horizontal="left"/>
    </xf>
    <xf numFmtId="0" fontId="7" fillId="4" borderId="0" xfId="0" applyFont="1" applyFill="1" applyAlignment="1">
      <alignment vertical="center"/>
    </xf>
    <xf numFmtId="0" fontId="8" fillId="0" borderId="30" xfId="0" applyFont="1" applyBorder="1"/>
    <xf numFmtId="0" fontId="9" fillId="0" borderId="15" xfId="0" applyFont="1" applyBorder="1" applyAlignment="1">
      <alignment wrapText="1"/>
    </xf>
    <xf numFmtId="0" fontId="5" fillId="4" borderId="0" xfId="0" applyFont="1" applyFill="1" applyAlignment="1">
      <alignment wrapText="1"/>
    </xf>
    <xf numFmtId="0" fontId="34" fillId="4" borderId="0" xfId="22" applyFill="1" applyBorder="1">
      <alignment horizontal="right" vertical="center"/>
    </xf>
    <xf numFmtId="170" fontId="9" fillId="0" borderId="0" xfId="6" applyNumberFormat="1" applyFont="1" applyFill="1" applyProtection="1">
      <protection hidden="1"/>
    </xf>
    <xf numFmtId="0" fontId="12" fillId="4" borderId="0" xfId="0" quotePrefix="1" applyFont="1" applyFill="1" applyAlignment="1" applyProtection="1">
      <alignment horizontal="right" vertical="top"/>
      <protection locked="0"/>
    </xf>
    <xf numFmtId="0" fontId="12" fillId="4" borderId="0" xfId="0" quotePrefix="1" applyFont="1" applyFill="1" applyAlignment="1" applyProtection="1">
      <alignment horizontal="right" vertical="top" wrapText="1"/>
      <protection locked="0"/>
    </xf>
    <xf numFmtId="0" fontId="51" fillId="4" borderId="2" xfId="0" applyFont="1" applyFill="1" applyBorder="1" applyAlignment="1">
      <alignment vertical="top"/>
    </xf>
    <xf numFmtId="0" fontId="22" fillId="4" borderId="1" xfId="18" applyFont="1" applyFill="1" applyBorder="1" applyAlignment="1">
      <alignment horizontal="right" vertical="top"/>
    </xf>
    <xf numFmtId="37" fontId="0" fillId="0" borderId="0" xfId="6" applyNumberFormat="1" applyFont="1" applyProtection="1">
      <protection hidden="1"/>
    </xf>
    <xf numFmtId="0" fontId="9" fillId="0" borderId="10" xfId="0" applyFont="1" applyBorder="1"/>
    <xf numFmtId="0" fontId="16" fillId="0" borderId="0" xfId="10" applyAlignment="1" applyProtection="1"/>
    <xf numFmtId="0" fontId="22" fillId="4" borderId="0" xfId="0" quotePrefix="1" applyFont="1" applyFill="1" applyAlignment="1">
      <alignment vertical="top"/>
    </xf>
    <xf numFmtId="175" fontId="0" fillId="0" borderId="0" xfId="0" quotePrefix="1" applyNumberFormat="1"/>
    <xf numFmtId="0" fontId="5" fillId="0" borderId="0" xfId="0" quotePrefix="1" applyFont="1" applyProtection="1">
      <protection hidden="1"/>
    </xf>
    <xf numFmtId="0" fontId="5" fillId="0" borderId="0" xfId="0" quotePrefix="1" applyFont="1" applyAlignment="1" applyProtection="1">
      <alignment horizontal="right"/>
      <protection hidden="1"/>
    </xf>
    <xf numFmtId="173" fontId="5" fillId="0" borderId="0" xfId="8" quotePrefix="1" applyNumberFormat="1" applyFont="1" applyBorder="1" applyAlignment="1" applyProtection="1">
      <alignment horizontal="right"/>
      <protection hidden="1"/>
    </xf>
    <xf numFmtId="173" fontId="5" fillId="0" borderId="0" xfId="0" quotePrefix="1" applyNumberFormat="1" applyFont="1" applyAlignment="1" applyProtection="1">
      <alignment horizontal="right"/>
      <protection hidden="1"/>
    </xf>
    <xf numFmtId="0" fontId="5" fillId="0" borderId="2" xfId="0" applyFont="1" applyBorder="1" applyAlignment="1" applyProtection="1">
      <alignment horizontal="right"/>
      <protection hidden="1"/>
    </xf>
    <xf numFmtId="0" fontId="9" fillId="0" borderId="0" xfId="24"/>
    <xf numFmtId="0" fontId="12" fillId="0" borderId="0" xfId="24" applyFont="1"/>
    <xf numFmtId="0" fontId="7" fillId="0" borderId="0" xfId="24" applyFont="1"/>
    <xf numFmtId="173" fontId="9" fillId="0" borderId="0" xfId="9" applyNumberFormat="1" applyFont="1" applyFill="1" applyProtection="1">
      <protection hidden="1"/>
    </xf>
    <xf numFmtId="173" fontId="9" fillId="0" borderId="0" xfId="24" applyNumberFormat="1"/>
    <xf numFmtId="0" fontId="6" fillId="0" borderId="0" xfId="24" applyFont="1"/>
    <xf numFmtId="0" fontId="9" fillId="0" borderId="0" xfId="24" applyProtection="1">
      <protection hidden="1"/>
    </xf>
    <xf numFmtId="167" fontId="9" fillId="0" borderId="0" xfId="9" applyFont="1" applyFill="1" applyAlignment="1" applyProtection="1">
      <alignment horizontal="right"/>
      <protection hidden="1"/>
    </xf>
    <xf numFmtId="168" fontId="9" fillId="0" borderId="0" xfId="7" applyFont="1" applyFill="1"/>
    <xf numFmtId="173" fontId="9" fillId="0" borderId="0" xfId="9" applyNumberFormat="1" applyFont="1" applyFill="1"/>
    <xf numFmtId="3" fontId="9" fillId="0" borderId="0" xfId="24" applyNumberFormat="1"/>
    <xf numFmtId="180" fontId="9" fillId="0" borderId="0" xfId="24" applyNumberFormat="1"/>
    <xf numFmtId="0" fontId="9" fillId="0" borderId="0" xfId="24" quotePrefix="1" applyProtection="1">
      <protection hidden="1"/>
    </xf>
    <xf numFmtId="167" fontId="9" fillId="0" borderId="0" xfId="9" applyFont="1" applyFill="1" applyProtection="1">
      <protection hidden="1"/>
    </xf>
    <xf numFmtId="170" fontId="9" fillId="0" borderId="0" xfId="7" applyNumberFormat="1" applyFont="1" applyFill="1"/>
    <xf numFmtId="3" fontId="9" fillId="0" borderId="0" xfId="7" applyNumberFormat="1" applyFont="1" applyFill="1"/>
    <xf numFmtId="1" fontId="9" fillId="0" borderId="0" xfId="7" applyNumberFormat="1" applyFont="1" applyFill="1"/>
    <xf numFmtId="180" fontId="9" fillId="0" borderId="0" xfId="7" applyNumberFormat="1" applyFont="1" applyFill="1"/>
    <xf numFmtId="170" fontId="9" fillId="0" borderId="0" xfId="7" applyNumberFormat="1" applyFont="1" applyProtection="1">
      <protection hidden="1"/>
    </xf>
    <xf numFmtId="170" fontId="9" fillId="0" borderId="0" xfId="7" applyNumberFormat="1" applyFont="1" applyFill="1" applyProtection="1">
      <protection hidden="1"/>
    </xf>
    <xf numFmtId="0" fontId="5" fillId="0" borderId="0" xfId="24" applyFont="1"/>
    <xf numFmtId="175" fontId="9" fillId="0" borderId="0" xfId="24" applyNumberFormat="1"/>
    <xf numFmtId="170" fontId="0" fillId="0" borderId="0" xfId="7" applyNumberFormat="1" applyFont="1"/>
    <xf numFmtId="0" fontId="9" fillId="0" borderId="0" xfId="7" applyNumberFormat="1" applyFont="1" applyFill="1" applyProtection="1">
      <protection hidden="1"/>
    </xf>
    <xf numFmtId="0" fontId="19" fillId="0" borderId="0" xfId="24" applyFont="1"/>
    <xf numFmtId="0" fontId="11" fillId="0" borderId="0" xfId="24" applyFont="1"/>
    <xf numFmtId="3" fontId="9" fillId="0" borderId="0" xfId="7" applyNumberFormat="1" applyFont="1" applyFill="1" applyProtection="1">
      <protection hidden="1"/>
    </xf>
    <xf numFmtId="0" fontId="9" fillId="0" borderId="0" xfId="0" applyFont="1" applyAlignment="1">
      <alignment horizontal="left" indent="1"/>
    </xf>
    <xf numFmtId="3" fontId="0" fillId="0" borderId="0" xfId="0" quotePrefix="1" applyNumberFormat="1"/>
    <xf numFmtId="49" fontId="5" fillId="0" borderId="1" xfId="0" applyNumberFormat="1" applyFont="1" applyBorder="1"/>
    <xf numFmtId="49" fontId="5" fillId="0" borderId="0" xfId="0" applyNumberFormat="1" applyFont="1"/>
    <xf numFmtId="170" fontId="5" fillId="0" borderId="0" xfId="7" applyNumberFormat="1" applyFont="1" applyBorder="1" applyAlignment="1">
      <alignment horizontal="right"/>
    </xf>
    <xf numFmtId="0" fontId="18" fillId="0" borderId="0" xfId="0" applyFont="1" applyAlignment="1">
      <alignment horizontal="left"/>
    </xf>
    <xf numFmtId="1" fontId="5" fillId="0" borderId="0" xfId="0" applyNumberFormat="1" applyFont="1"/>
    <xf numFmtId="1" fontId="5" fillId="0" borderId="0" xfId="0" applyNumberFormat="1" applyFont="1" applyAlignment="1">
      <alignment horizontal="right"/>
    </xf>
    <xf numFmtId="0" fontId="14" fillId="5" borderId="0" xfId="0" applyFont="1" applyFill="1" applyAlignment="1">
      <alignment horizontal="left"/>
    </xf>
    <xf numFmtId="173" fontId="5" fillId="0" borderId="0" xfId="9" applyNumberFormat="1" applyFont="1" applyBorder="1" applyAlignment="1">
      <alignment horizontal="right"/>
    </xf>
    <xf numFmtId="175" fontId="5" fillId="0" borderId="0" xfId="0" applyNumberFormat="1" applyFont="1" applyAlignment="1">
      <alignment horizontal="right"/>
    </xf>
    <xf numFmtId="0" fontId="5" fillId="0" borderId="25" xfId="9" applyNumberFormat="1" applyFont="1" applyBorder="1" applyProtection="1">
      <protection hidden="1"/>
    </xf>
    <xf numFmtId="0" fontId="12" fillId="4" borderId="30" xfId="0" applyFont="1" applyFill="1" applyBorder="1" applyAlignment="1">
      <alignment vertical="center"/>
    </xf>
    <xf numFmtId="0" fontId="12" fillId="4" borderId="2" xfId="0" applyFont="1" applyFill="1" applyBorder="1" applyAlignment="1">
      <alignment vertical="center"/>
    </xf>
    <xf numFmtId="0" fontId="12" fillId="4" borderId="16" xfId="0" applyFont="1" applyFill="1" applyBorder="1" applyAlignment="1">
      <alignment vertical="center"/>
    </xf>
    <xf numFmtId="0" fontId="5" fillId="2" borderId="42" xfId="0" applyFont="1" applyFill="1" applyBorder="1" applyProtection="1">
      <protection locked="0"/>
    </xf>
    <xf numFmtId="0" fontId="8" fillId="0" borderId="49" xfId="0" applyFont="1" applyBorder="1"/>
    <xf numFmtId="0" fontId="5" fillId="2" borderId="6" xfId="0" applyFont="1" applyFill="1" applyBorder="1" applyAlignment="1" applyProtection="1">
      <alignment horizontal="right" vertical="center" wrapText="1"/>
      <protection locked="0"/>
    </xf>
    <xf numFmtId="0" fontId="8" fillId="0" borderId="41" xfId="0" applyFont="1" applyBorder="1" applyAlignment="1">
      <alignment vertical="center"/>
    </xf>
    <xf numFmtId="0" fontId="5" fillId="2" borderId="6" xfId="0" applyFont="1" applyFill="1" applyBorder="1" applyAlignment="1">
      <alignment horizontal="right"/>
    </xf>
    <xf numFmtId="170" fontId="0" fillId="0" borderId="0" xfId="6" applyNumberFormat="1" applyFont="1" applyFill="1" applyAlignment="1">
      <alignment horizontal="right"/>
    </xf>
    <xf numFmtId="1" fontId="0" fillId="0" borderId="0" xfId="0" applyNumberFormat="1" applyAlignment="1">
      <alignment horizontal="right"/>
    </xf>
    <xf numFmtId="170" fontId="5" fillId="0" borderId="0" xfId="6" applyNumberFormat="1" applyFont="1" applyBorder="1" applyAlignment="1" applyProtection="1">
      <alignment horizontal="right"/>
      <protection hidden="1"/>
    </xf>
    <xf numFmtId="2" fontId="56" fillId="2" borderId="5" xfId="1" applyNumberFormat="1" applyFont="1" applyBorder="1">
      <alignment horizontal="right"/>
      <protection locked="0"/>
    </xf>
    <xf numFmtId="2" fontId="56" fillId="2" borderId="35" xfId="1" applyNumberFormat="1" applyFont="1" applyBorder="1">
      <alignment horizontal="right"/>
      <protection locked="0"/>
    </xf>
    <xf numFmtId="2" fontId="56" fillId="2" borderId="34" xfId="1" applyNumberFormat="1" applyFont="1" applyBorder="1">
      <alignment horizontal="right"/>
      <protection locked="0"/>
    </xf>
    <xf numFmtId="0" fontId="56" fillId="2" borderId="0" xfId="1" applyNumberFormat="1" applyFont="1">
      <alignment horizontal="right"/>
      <protection locked="0"/>
    </xf>
    <xf numFmtId="1" fontId="5" fillId="0" borderId="0" xfId="0" applyNumberFormat="1" applyFont="1" applyProtection="1">
      <protection hidden="1"/>
    </xf>
    <xf numFmtId="2" fontId="9" fillId="0" borderId="0" xfId="0" quotePrefix="1" applyNumberFormat="1" applyFont="1"/>
    <xf numFmtId="0" fontId="6" fillId="0" borderId="0" xfId="0" applyFont="1" applyProtection="1">
      <protection hidden="1"/>
    </xf>
    <xf numFmtId="2" fontId="5" fillId="0" borderId="0" xfId="0" quotePrefix="1" applyNumberFormat="1" applyFont="1" applyAlignment="1" applyProtection="1">
      <alignment horizontal="right"/>
      <protection hidden="1"/>
    </xf>
    <xf numFmtId="0" fontId="5" fillId="3" borderId="6" xfId="0" applyFont="1" applyFill="1" applyBorder="1" applyAlignment="1">
      <alignment horizontal="right" vertical="center"/>
    </xf>
    <xf numFmtId="0" fontId="12" fillId="4" borderId="18" xfId="0" applyFont="1" applyFill="1" applyBorder="1" applyAlignment="1">
      <alignment horizontal="right" vertical="center" wrapText="1"/>
    </xf>
    <xf numFmtId="170" fontId="0" fillId="0" borderId="0" xfId="6" applyNumberFormat="1" applyFont="1" applyFill="1" applyProtection="1">
      <protection hidden="1"/>
    </xf>
    <xf numFmtId="0" fontId="5" fillId="4" borderId="15" xfId="0" applyFont="1" applyFill="1" applyBorder="1"/>
    <xf numFmtId="0" fontId="16" fillId="4" borderId="5" xfId="10" applyFill="1" applyBorder="1" applyAlignment="1" applyProtection="1">
      <alignment horizontal="center"/>
    </xf>
    <xf numFmtId="0" fontId="5" fillId="0" borderId="43" xfId="0" applyFont="1" applyBorder="1"/>
    <xf numFmtId="172" fontId="0" fillId="0" borderId="0" xfId="0" applyNumberFormat="1" applyAlignment="1" applyProtection="1">
      <alignment horizontal="right"/>
      <protection hidden="1"/>
    </xf>
    <xf numFmtId="0" fontId="7" fillId="0" borderId="5" xfId="0" applyFont="1" applyBorder="1"/>
    <xf numFmtId="2" fontId="0" fillId="0" borderId="21" xfId="0" applyNumberFormat="1" applyBorder="1"/>
    <xf numFmtId="2" fontId="0" fillId="0" borderId="15" xfId="0" applyNumberFormat="1" applyBorder="1"/>
    <xf numFmtId="0" fontId="9" fillId="0" borderId="30" xfId="0" applyFont="1" applyBorder="1" applyAlignment="1">
      <alignment horizontal="right"/>
    </xf>
    <xf numFmtId="0" fontId="9" fillId="0" borderId="2" xfId="0" applyFont="1" applyBorder="1" applyAlignment="1">
      <alignment horizontal="right"/>
    </xf>
    <xf numFmtId="0" fontId="9" fillId="0" borderId="16" xfId="0" applyFont="1" applyBorder="1" applyAlignment="1">
      <alignment horizontal="right"/>
    </xf>
    <xf numFmtId="0" fontId="0" fillId="0" borderId="0" xfId="0" quotePrefix="1" applyAlignment="1">
      <alignment horizontal="right"/>
    </xf>
    <xf numFmtId="0" fontId="22" fillId="4" borderId="0" xfId="13" applyFont="1" applyFill="1" applyBorder="1" applyAlignment="1">
      <alignment vertical="center"/>
    </xf>
    <xf numFmtId="0" fontId="10" fillId="0" borderId="0" xfId="0" applyFont="1" applyAlignment="1">
      <alignment horizontal="left"/>
    </xf>
    <xf numFmtId="3" fontId="9" fillId="2" borderId="0" xfId="1" applyNumberFormat="1" applyFont="1">
      <alignment horizontal="right"/>
      <protection locked="0"/>
    </xf>
    <xf numFmtId="178" fontId="9" fillId="0" borderId="0" xfId="1" applyNumberFormat="1" applyFont="1" applyFill="1">
      <alignment horizontal="right"/>
      <protection locked="0"/>
    </xf>
    <xf numFmtId="9" fontId="9" fillId="2" borderId="0" xfId="1" applyFont="1">
      <alignment horizontal="right"/>
      <protection locked="0"/>
    </xf>
    <xf numFmtId="169" fontId="9" fillId="0" borderId="0" xfId="6" applyNumberFormat="1" applyFont="1" applyProtection="1">
      <protection hidden="1"/>
    </xf>
    <xf numFmtId="174" fontId="0" fillId="5" borderId="0" xfId="0" applyNumberFormat="1" applyFill="1" applyAlignment="1" applyProtection="1">
      <alignment horizontal="right"/>
      <protection hidden="1"/>
    </xf>
    <xf numFmtId="1" fontId="0" fillId="5" borderId="0" xfId="0" applyNumberFormat="1" applyFill="1" applyAlignment="1">
      <alignment horizontal="right"/>
    </xf>
    <xf numFmtId="1" fontId="0" fillId="5" borderId="2" xfId="0" applyNumberFormat="1" applyFill="1" applyBorder="1" applyAlignment="1">
      <alignment horizontal="right"/>
    </xf>
    <xf numFmtId="1" fontId="5" fillId="0" borderId="0" xfId="0" applyNumberFormat="1" applyFont="1" applyAlignment="1" applyProtection="1">
      <alignment horizontal="right"/>
      <protection hidden="1"/>
    </xf>
    <xf numFmtId="1" fontId="5" fillId="0" borderId="2" xfId="0" applyNumberFormat="1" applyFont="1" applyBorder="1" applyProtection="1">
      <protection hidden="1"/>
    </xf>
    <xf numFmtId="169" fontId="5" fillId="0" borderId="0" xfId="6" applyNumberFormat="1" applyFont="1" applyBorder="1" applyProtection="1">
      <protection hidden="1"/>
    </xf>
    <xf numFmtId="0" fontId="5" fillId="0" borderId="2" xfId="0" applyFont="1" applyBorder="1" applyProtection="1">
      <protection hidden="1"/>
    </xf>
    <xf numFmtId="0" fontId="52" fillId="5" borderId="0" xfId="0" applyFont="1" applyFill="1"/>
    <xf numFmtId="173" fontId="5" fillId="0" borderId="0" xfId="8" applyNumberFormat="1" applyFont="1" applyAlignment="1">
      <alignment horizontal="right"/>
    </xf>
    <xf numFmtId="173" fontId="5" fillId="0" borderId="0" xfId="8" applyNumberFormat="1" applyFont="1" applyFill="1" applyBorder="1" applyAlignment="1" applyProtection="1">
      <alignment horizontal="right"/>
      <protection hidden="1"/>
    </xf>
    <xf numFmtId="49" fontId="9" fillId="5" borderId="1" xfId="0" applyNumberFormat="1" applyFont="1" applyFill="1" applyBorder="1"/>
    <xf numFmtId="170" fontId="0" fillId="0" borderId="0" xfId="6" applyNumberFormat="1" applyFont="1" applyAlignment="1">
      <alignment horizontal="right"/>
    </xf>
    <xf numFmtId="0" fontId="9" fillId="10" borderId="0" xfId="0" applyFont="1" applyFill="1" applyProtection="1">
      <protection hidden="1"/>
    </xf>
    <xf numFmtId="168" fontId="0" fillId="0" borderId="0" xfId="7" applyFont="1"/>
    <xf numFmtId="167" fontId="5" fillId="0" borderId="0" xfId="8" applyFont="1" applyBorder="1" applyAlignment="1" applyProtection="1">
      <alignment horizontal="right"/>
      <protection hidden="1"/>
    </xf>
    <xf numFmtId="167" fontId="5" fillId="0" borderId="0" xfId="9" applyFont="1" applyBorder="1" applyAlignment="1" applyProtection="1">
      <alignment horizontal="right"/>
      <protection hidden="1"/>
    </xf>
    <xf numFmtId="0" fontId="4" fillId="0" borderId="0" xfId="0" applyFont="1"/>
    <xf numFmtId="0" fontId="4" fillId="0" borderId="0" xfId="0" applyFont="1" applyProtection="1">
      <protection hidden="1"/>
    </xf>
    <xf numFmtId="0" fontId="4" fillId="0" borderId="0" xfId="0" quotePrefix="1" applyFont="1"/>
    <xf numFmtId="0" fontId="4" fillId="4" borderId="0" xfId="0" applyFont="1" applyFill="1" applyAlignment="1">
      <alignment horizontal="left"/>
    </xf>
    <xf numFmtId="0" fontId="4" fillId="0" borderId="15" xfId="0" applyFont="1" applyBorder="1" applyAlignment="1">
      <alignment wrapText="1"/>
    </xf>
    <xf numFmtId="0" fontId="4" fillId="0" borderId="10" xfId="0" applyFont="1" applyBorder="1"/>
    <xf numFmtId="0" fontId="4" fillId="4" borderId="35" xfId="0" applyFont="1" applyFill="1" applyBorder="1" applyAlignment="1">
      <alignment horizontal="center"/>
    </xf>
    <xf numFmtId="0" fontId="4" fillId="4" borderId="34" xfId="0" applyFont="1" applyFill="1" applyBorder="1" applyAlignment="1">
      <alignment horizontal="center"/>
    </xf>
    <xf numFmtId="0" fontId="0" fillId="0" borderId="36" xfId="0" applyBorder="1"/>
    <xf numFmtId="0" fontId="0" fillId="0" borderId="37" xfId="0" applyBorder="1"/>
    <xf numFmtId="0" fontId="0" fillId="0" borderId="38" xfId="0" applyBorder="1" applyAlignment="1">
      <alignment horizontal="center"/>
    </xf>
    <xf numFmtId="0" fontId="4" fillId="0" borderId="1" xfId="0" applyFont="1" applyBorder="1" applyAlignment="1">
      <alignment wrapText="1"/>
    </xf>
    <xf numFmtId="0" fontId="0" fillId="0" borderId="2" xfId="0" applyBorder="1" applyAlignment="1">
      <alignment horizontal="center" wrapText="1"/>
    </xf>
    <xf numFmtId="0" fontId="0" fillId="0" borderId="1" xfId="0" applyBorder="1" applyAlignment="1">
      <alignment wrapText="1"/>
    </xf>
    <xf numFmtId="0" fontId="0" fillId="0" borderId="17" xfId="0" applyBorder="1" applyAlignment="1">
      <alignment wrapText="1"/>
    </xf>
    <xf numFmtId="0" fontId="7" fillId="0" borderId="2" xfId="0" applyFont="1" applyBorder="1"/>
    <xf numFmtId="0" fontId="4" fillId="0" borderId="21" xfId="0" applyFont="1" applyBorder="1" applyAlignment="1">
      <alignment wrapText="1"/>
    </xf>
    <xf numFmtId="0" fontId="17" fillId="5" borderId="58" xfId="0" applyFont="1" applyFill="1" applyBorder="1" applyAlignment="1">
      <alignment horizontal="center"/>
    </xf>
    <xf numFmtId="0" fontId="0" fillId="0" borderId="35" xfId="0" applyBorder="1" applyAlignment="1">
      <alignment wrapText="1"/>
    </xf>
    <xf numFmtId="0" fontId="9" fillId="0" borderId="18" xfId="0" applyFont="1" applyBorder="1" applyAlignment="1">
      <alignment wrapText="1"/>
    </xf>
    <xf numFmtId="0" fontId="9" fillId="0" borderId="16" xfId="0" applyFont="1" applyBorder="1" applyAlignment="1">
      <alignment wrapText="1"/>
    </xf>
    <xf numFmtId="0" fontId="7" fillId="0" borderId="17" xfId="0" applyFont="1" applyBorder="1"/>
    <xf numFmtId="0" fontId="9" fillId="0" borderId="37" xfId="0" applyFont="1" applyBorder="1" applyAlignment="1">
      <alignment wrapText="1"/>
    </xf>
    <xf numFmtId="0" fontId="7" fillId="0" borderId="18" xfId="0" applyFont="1" applyBorder="1"/>
    <xf numFmtId="0" fontId="7" fillId="0" borderId="16" xfId="0" applyFont="1" applyBorder="1"/>
    <xf numFmtId="0" fontId="9" fillId="0" borderId="36" xfId="0" applyFont="1" applyBorder="1" applyAlignment="1">
      <alignment wrapText="1"/>
    </xf>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hidden="1"/>
    </xf>
    <xf numFmtId="0" fontId="4" fillId="2" borderId="0" xfId="0" applyFont="1" applyFill="1" applyAlignment="1">
      <alignment horizontal="right"/>
    </xf>
    <xf numFmtId="0" fontId="4" fillId="2" borderId="13" xfId="0" applyFont="1" applyFill="1" applyBorder="1"/>
    <xf numFmtId="0" fontId="58" fillId="0" borderId="0" xfId="0" applyFont="1"/>
    <xf numFmtId="0" fontId="4" fillId="0" borderId="0" xfId="0" applyFont="1" applyAlignment="1">
      <alignment horizontal="right"/>
    </xf>
    <xf numFmtId="0" fontId="6" fillId="0" borderId="0" xfId="0" applyFont="1" applyAlignment="1">
      <alignment horizontal="center"/>
    </xf>
    <xf numFmtId="0" fontId="0" fillId="0" borderId="0" xfId="0" applyAlignment="1">
      <alignment vertical="top"/>
    </xf>
    <xf numFmtId="0" fontId="27" fillId="0" borderId="0" xfId="0" applyFont="1" applyAlignment="1">
      <alignment vertical="top"/>
    </xf>
    <xf numFmtId="0" fontId="6" fillId="0" borderId="11" xfId="0" applyFont="1" applyBorder="1" applyAlignment="1">
      <alignment horizontal="center"/>
    </xf>
    <xf numFmtId="0" fontId="5" fillId="0" borderId="0" xfId="0" applyFont="1" applyAlignment="1">
      <alignment vertical="top"/>
    </xf>
    <xf numFmtId="0" fontId="4" fillId="0" borderId="0" xfId="0" applyFont="1" applyAlignment="1">
      <alignment horizontal="left" indent="1"/>
    </xf>
    <xf numFmtId="170" fontId="4" fillId="0" borderId="0" xfId="6" applyNumberFormat="1" applyFont="1" applyProtection="1">
      <protection hidden="1"/>
    </xf>
    <xf numFmtId="9" fontId="4" fillId="0" borderId="0" xfId="0" applyNumberFormat="1" applyFont="1" applyProtection="1">
      <protection hidden="1"/>
    </xf>
    <xf numFmtId="0" fontId="6" fillId="0" borderId="0" xfId="0" applyFont="1" applyAlignment="1" applyProtection="1">
      <alignment horizontal="left" indent="1"/>
      <protection hidden="1"/>
    </xf>
    <xf numFmtId="0" fontId="6" fillId="0" borderId="0" xfId="0" applyFont="1" applyAlignment="1">
      <alignment horizontal="left" indent="1"/>
    </xf>
    <xf numFmtId="0" fontId="9" fillId="0" borderId="0" xfId="0" applyFont="1" applyAlignment="1" applyProtection="1">
      <alignment horizontal="left" indent="1"/>
      <protection hidden="1"/>
    </xf>
    <xf numFmtId="0" fontId="0" fillId="0" borderId="0" xfId="0" quotePrefix="1" applyAlignment="1" applyProtection="1">
      <alignment horizontal="left" indent="1"/>
      <protection hidden="1"/>
    </xf>
    <xf numFmtId="0" fontId="0" fillId="0" borderId="0" xfId="0" applyAlignment="1">
      <alignment horizontal="left" indent="2"/>
    </xf>
    <xf numFmtId="0" fontId="0" fillId="0" borderId="0" xfId="0" applyAlignment="1" applyProtection="1">
      <alignment horizontal="left" indent="2"/>
      <protection hidden="1"/>
    </xf>
    <xf numFmtId="0" fontId="5" fillId="0" borderId="0" xfId="0" applyFont="1" applyAlignment="1">
      <alignment horizontal="left" indent="1"/>
    </xf>
    <xf numFmtId="168" fontId="4" fillId="0" borderId="0" xfId="0" applyNumberFormat="1" applyFont="1"/>
    <xf numFmtId="0" fontId="9" fillId="0" borderId="0" xfId="0" applyFont="1" applyAlignment="1">
      <alignment horizontal="left" indent="2"/>
    </xf>
    <xf numFmtId="0" fontId="4" fillId="0" borderId="0" xfId="24" applyFont="1"/>
    <xf numFmtId="0" fontId="9" fillId="0" borderId="0" xfId="0" applyFont="1" applyAlignment="1">
      <alignment horizontal="center"/>
    </xf>
    <xf numFmtId="1" fontId="9" fillId="11" borderId="0" xfId="0" applyNumberFormat="1" applyFont="1" applyFill="1" applyAlignment="1">
      <alignment horizontal="center"/>
    </xf>
    <xf numFmtId="0" fontId="0" fillId="11" borderId="0" xfId="0" applyFill="1" applyAlignment="1">
      <alignment horizontal="center"/>
    </xf>
    <xf numFmtId="0" fontId="9" fillId="11" borderId="0" xfId="0" applyFont="1" applyFill="1" applyAlignment="1">
      <alignment horizontal="center"/>
    </xf>
    <xf numFmtId="0" fontId="9" fillId="11" borderId="0" xfId="0" applyFont="1" applyFill="1" applyAlignment="1">
      <alignment horizontal="left"/>
    </xf>
    <xf numFmtId="175" fontId="4" fillId="11" borderId="0" xfId="0" applyNumberFormat="1" applyFont="1" applyFill="1" applyAlignment="1">
      <alignment horizontal="center"/>
    </xf>
    <xf numFmtId="179" fontId="4" fillId="11" borderId="0" xfId="0" applyNumberFormat="1" applyFont="1" applyFill="1" applyAlignment="1">
      <alignment horizontal="left"/>
    </xf>
    <xf numFmtId="0" fontId="4" fillId="11" borderId="0" xfId="0" applyFont="1" applyFill="1"/>
    <xf numFmtId="0" fontId="0" fillId="11" borderId="0" xfId="0" applyFill="1"/>
    <xf numFmtId="0" fontId="12" fillId="4" borderId="59" xfId="0" applyFont="1" applyFill="1" applyBorder="1" applyAlignment="1">
      <alignment horizontal="right" vertical="center" wrapText="1"/>
    </xf>
    <xf numFmtId="0" fontId="7" fillId="4" borderId="46" xfId="0" applyFont="1" applyFill="1" applyBorder="1"/>
    <xf numFmtId="0" fontId="12" fillId="4" borderId="39" xfId="0" applyFont="1" applyFill="1" applyBorder="1" applyAlignment="1" applyProtection="1">
      <alignment horizontal="right" vertical="center"/>
      <protection locked="0"/>
    </xf>
    <xf numFmtId="0" fontId="7" fillId="4" borderId="39" xfId="0" applyFont="1" applyFill="1" applyBorder="1"/>
    <xf numFmtId="0" fontId="0" fillId="12" borderId="2" xfId="0" applyFill="1" applyBorder="1"/>
    <xf numFmtId="0" fontId="61" fillId="4" borderId="0" xfId="0" applyFont="1" applyFill="1"/>
    <xf numFmtId="173" fontId="0" fillId="0" borderId="60" xfId="8" applyNumberFormat="1" applyFont="1" applyBorder="1"/>
    <xf numFmtId="9" fontId="4" fillId="0" borderId="6" xfId="26" applyFont="1" applyFill="1" applyBorder="1" applyProtection="1">
      <protection locked="0"/>
    </xf>
    <xf numFmtId="178" fontId="4" fillId="0" borderId="25" xfId="26" applyNumberFormat="1" applyFont="1" applyBorder="1" applyProtection="1"/>
    <xf numFmtId="9" fontId="4" fillId="0" borderId="6" xfId="8" applyNumberFormat="1" applyFont="1" applyFill="1" applyBorder="1" applyProtection="1">
      <protection locked="0"/>
    </xf>
    <xf numFmtId="173" fontId="4" fillId="4" borderId="50" xfId="8" applyNumberFormat="1" applyFont="1" applyFill="1" applyBorder="1" applyProtection="1">
      <protection locked="0"/>
    </xf>
    <xf numFmtId="173" fontId="4" fillId="4" borderId="55" xfId="8" applyNumberFormat="1" applyFont="1" applyFill="1" applyBorder="1" applyProtection="1">
      <protection locked="0"/>
    </xf>
    <xf numFmtId="173" fontId="4" fillId="4" borderId="33" xfId="8" applyNumberFormat="1" applyFont="1" applyFill="1" applyBorder="1" applyProtection="1">
      <protection locked="0"/>
    </xf>
    <xf numFmtId="9" fontId="4" fillId="0" borderId="25" xfId="26" applyFont="1" applyBorder="1"/>
    <xf numFmtId="9" fontId="4" fillId="0" borderId="51" xfId="26" applyFont="1" applyFill="1" applyBorder="1" applyProtection="1">
      <protection locked="0"/>
    </xf>
    <xf numFmtId="173" fontId="45" fillId="0" borderId="29" xfId="8" applyNumberFormat="1" applyFont="1" applyFill="1" applyBorder="1" applyProtection="1">
      <protection locked="0"/>
    </xf>
    <xf numFmtId="0" fontId="4" fillId="0" borderId="0" xfId="0" applyFont="1" applyAlignment="1" applyProtection="1">
      <alignment horizontal="left" indent="1"/>
      <protection hidden="1"/>
    </xf>
    <xf numFmtId="180" fontId="4" fillId="0" borderId="0" xfId="0" applyNumberFormat="1" applyFont="1"/>
    <xf numFmtId="4" fontId="0" fillId="0" borderId="0" xfId="0" applyNumberFormat="1"/>
    <xf numFmtId="0" fontId="5" fillId="12" borderId="0" xfId="0" applyFont="1" applyFill="1"/>
    <xf numFmtId="0" fontId="0" fillId="12" borderId="0" xfId="0" applyFill="1"/>
    <xf numFmtId="0" fontId="14" fillId="12" borderId="0" xfId="0" applyFont="1" applyFill="1"/>
    <xf numFmtId="0" fontId="0" fillId="12" borderId="0" xfId="0" applyFill="1" applyAlignment="1">
      <alignment horizontal="right"/>
    </xf>
    <xf numFmtId="0" fontId="14" fillId="12" borderId="0" xfId="0" applyFont="1" applyFill="1" applyProtection="1">
      <protection hidden="1"/>
    </xf>
    <xf numFmtId="0" fontId="0" fillId="12" borderId="0" xfId="0" applyFill="1" applyProtection="1">
      <protection hidden="1"/>
    </xf>
    <xf numFmtId="0" fontId="0" fillId="12" borderId="2" xfId="0" applyFill="1" applyBorder="1" applyProtection="1">
      <protection hidden="1"/>
    </xf>
    <xf numFmtId="0" fontId="16" fillId="12" borderId="0" xfId="10" applyFill="1" applyBorder="1" applyAlignment="1" applyProtection="1">
      <protection hidden="1"/>
    </xf>
    <xf numFmtId="0" fontId="0" fillId="12" borderId="0" xfId="0" applyFill="1" applyAlignment="1" applyProtection="1">
      <alignment horizontal="right"/>
      <protection hidden="1"/>
    </xf>
    <xf numFmtId="0" fontId="0" fillId="12" borderId="16" xfId="0" applyFill="1" applyBorder="1"/>
    <xf numFmtId="0" fontId="41" fillId="4" borderId="1" xfId="0" applyFont="1" applyFill="1" applyBorder="1"/>
    <xf numFmtId="0" fontId="4" fillId="0" borderId="0" xfId="0" applyFont="1" applyAlignment="1">
      <alignment horizontal="center"/>
    </xf>
    <xf numFmtId="0" fontId="27" fillId="0" borderId="1" xfId="0" quotePrefix="1" applyFont="1" applyBorder="1" applyProtection="1">
      <protection hidden="1"/>
    </xf>
    <xf numFmtId="0" fontId="5" fillId="4" borderId="0" xfId="0" applyFont="1" applyFill="1" applyAlignment="1" applyProtection="1">
      <alignment horizontal="right"/>
      <protection hidden="1"/>
    </xf>
    <xf numFmtId="0" fontId="22" fillId="4" borderId="0" xfId="0" applyFont="1" applyFill="1" applyProtection="1">
      <protection hidden="1"/>
    </xf>
    <xf numFmtId="174" fontId="5" fillId="4" borderId="0" xfId="0" applyNumberFormat="1" applyFont="1" applyFill="1" applyProtection="1">
      <protection hidden="1"/>
    </xf>
    <xf numFmtId="0" fontId="44" fillId="4" borderId="1" xfId="0" applyFont="1" applyFill="1" applyBorder="1"/>
    <xf numFmtId="0" fontId="5" fillId="12" borderId="0" xfId="8" applyNumberFormat="1" applyFont="1" applyFill="1" applyBorder="1" applyAlignment="1">
      <alignment horizontal="right"/>
    </xf>
    <xf numFmtId="9" fontId="5" fillId="4" borderId="0" xfId="26" applyFont="1" applyFill="1" applyBorder="1" applyProtection="1">
      <protection locked="0"/>
    </xf>
    <xf numFmtId="175" fontId="5" fillId="4" borderId="0" xfId="0" applyNumberFormat="1" applyFont="1" applyFill="1" applyAlignment="1" applyProtection="1">
      <alignment horizontal="right"/>
      <protection locked="0"/>
    </xf>
    <xf numFmtId="175" fontId="0" fillId="12" borderId="0" xfId="0" applyNumberFormat="1" applyFill="1" applyProtection="1">
      <protection locked="0"/>
    </xf>
    <xf numFmtId="0" fontId="45" fillId="0" borderId="70" xfId="0" applyFont="1" applyBorder="1"/>
    <xf numFmtId="0" fontId="44" fillId="4" borderId="71" xfId="0" applyFont="1" applyFill="1" applyBorder="1"/>
    <xf numFmtId="0" fontId="4" fillId="0" borderId="72" xfId="0" applyFont="1" applyBorder="1"/>
    <xf numFmtId="173" fontId="50" fillId="0" borderId="29" xfId="0" applyNumberFormat="1" applyFont="1" applyBorder="1"/>
    <xf numFmtId="0" fontId="5" fillId="6" borderId="18" xfId="0" applyFont="1" applyFill="1" applyBorder="1"/>
    <xf numFmtId="0" fontId="5" fillId="6" borderId="15" xfId="0" applyFont="1" applyFill="1" applyBorder="1"/>
    <xf numFmtId="9" fontId="5" fillId="6" borderId="15" xfId="26" applyFont="1" applyFill="1" applyBorder="1"/>
    <xf numFmtId="0" fontId="18" fillId="6" borderId="15" xfId="0" applyFont="1" applyFill="1" applyBorder="1"/>
    <xf numFmtId="0" fontId="5" fillId="6" borderId="15" xfId="0" applyFont="1" applyFill="1" applyBorder="1" applyAlignment="1">
      <alignment horizontal="right"/>
    </xf>
    <xf numFmtId="173" fontId="5" fillId="0" borderId="15" xfId="0" applyNumberFormat="1" applyFont="1" applyBorder="1" applyProtection="1">
      <protection hidden="1"/>
    </xf>
    <xf numFmtId="0" fontId="5" fillId="0" borderId="28" xfId="0" applyFont="1" applyBorder="1" applyProtection="1">
      <protection hidden="1"/>
    </xf>
    <xf numFmtId="0" fontId="5" fillId="12" borderId="43" xfId="26" applyNumberFormat="1" applyFont="1" applyFill="1" applyBorder="1" applyAlignment="1">
      <alignment horizontal="right"/>
    </xf>
    <xf numFmtId="0" fontId="5" fillId="12" borderId="43" xfId="0" applyFont="1" applyFill="1" applyBorder="1" applyAlignment="1">
      <alignment horizontal="left"/>
    </xf>
    <xf numFmtId="173" fontId="0" fillId="0" borderId="6" xfId="0" quotePrefix="1" applyNumberFormat="1" applyBorder="1" applyProtection="1">
      <protection locked="0"/>
    </xf>
    <xf numFmtId="0" fontId="4" fillId="4" borderId="0" xfId="0" applyFont="1" applyFill="1"/>
    <xf numFmtId="0" fontId="4" fillId="4" borderId="0" xfId="0" applyFont="1" applyFill="1" applyProtection="1">
      <protection hidden="1"/>
    </xf>
    <xf numFmtId="0" fontId="4" fillId="0" borderId="0" xfId="8" applyNumberFormat="1" applyFont="1" applyAlignment="1">
      <alignment horizontal="right"/>
    </xf>
    <xf numFmtId="0" fontId="4" fillId="0" borderId="0" xfId="26" applyNumberFormat="1" applyFont="1" applyFill="1"/>
    <xf numFmtId="168" fontId="0" fillId="2" borderId="0" xfId="6" applyFont="1" applyFill="1"/>
    <xf numFmtId="178" fontId="0" fillId="2" borderId="0" xfId="26" applyNumberFormat="1" applyFont="1" applyFill="1"/>
    <xf numFmtId="0" fontId="65" fillId="0" borderId="0" xfId="0" applyFont="1"/>
    <xf numFmtId="0" fontId="63" fillId="0" borderId="0" xfId="0" applyFont="1"/>
    <xf numFmtId="170" fontId="63" fillId="0" borderId="0" xfId="6" applyNumberFormat="1" applyFont="1"/>
    <xf numFmtId="0" fontId="66" fillId="0" borderId="0" xfId="0" applyFont="1"/>
    <xf numFmtId="0" fontId="65" fillId="0" borderId="0" xfId="0" applyFont="1" applyAlignment="1">
      <alignment horizontal="left" indent="1"/>
    </xf>
    <xf numFmtId="0" fontId="63" fillId="0" borderId="0" xfId="0" applyFont="1" applyAlignment="1">
      <alignment horizontal="left" indent="1"/>
    </xf>
    <xf numFmtId="0" fontId="4" fillId="5" borderId="0" xfId="0" applyFont="1" applyFill="1" applyProtection="1">
      <protection hidden="1"/>
    </xf>
    <xf numFmtId="0" fontId="4" fillId="0" borderId="6" xfId="0" applyFont="1" applyBorder="1" applyProtection="1">
      <protection hidden="1"/>
    </xf>
    <xf numFmtId="0" fontId="4" fillId="5" borderId="1" xfId="0" quotePrefix="1" applyFont="1" applyFill="1" applyBorder="1" applyAlignment="1">
      <alignment horizontal="left"/>
    </xf>
    <xf numFmtId="0" fontId="4" fillId="0" borderId="0" xfId="6" applyNumberFormat="1" applyFont="1"/>
    <xf numFmtId="0" fontId="0" fillId="13" borderId="0" xfId="0" applyFill="1"/>
    <xf numFmtId="0" fontId="4" fillId="4" borderId="0" xfId="0" applyFont="1" applyFill="1" applyAlignment="1">
      <alignment horizontal="left" wrapText="1"/>
    </xf>
    <xf numFmtId="0" fontId="27" fillId="4" borderId="0" xfId="0" applyFont="1" applyFill="1" applyAlignment="1">
      <alignment horizontal="left" vertical="center"/>
    </xf>
    <xf numFmtId="0" fontId="67" fillId="4" borderId="0" xfId="0" quotePrefix="1" applyFont="1" applyFill="1" applyAlignment="1">
      <alignment vertical="center" wrapText="1"/>
    </xf>
    <xf numFmtId="0" fontId="67" fillId="4" borderId="0" xfId="0" applyFont="1" applyFill="1"/>
    <xf numFmtId="0" fontId="61" fillId="4" borderId="2" xfId="0" applyFont="1" applyFill="1" applyBorder="1" applyAlignment="1">
      <alignment horizontal="left"/>
    </xf>
    <xf numFmtId="0" fontId="0" fillId="4" borderId="74" xfId="0" applyFill="1" applyBorder="1"/>
    <xf numFmtId="0" fontId="5" fillId="4" borderId="50" xfId="0" applyFont="1" applyFill="1" applyBorder="1"/>
    <xf numFmtId="164" fontId="5" fillId="4" borderId="50" xfId="0" applyNumberFormat="1" applyFont="1" applyFill="1" applyBorder="1"/>
    <xf numFmtId="0" fontId="5" fillId="4" borderId="28" xfId="0" applyFont="1" applyFill="1" applyBorder="1"/>
    <xf numFmtId="164" fontId="5" fillId="4" borderId="28" xfId="0" applyNumberFormat="1" applyFont="1" applyFill="1" applyBorder="1"/>
    <xf numFmtId="0" fontId="45" fillId="4" borderId="55" xfId="0" applyFont="1" applyFill="1" applyBorder="1"/>
    <xf numFmtId="164" fontId="50" fillId="4" borderId="55" xfId="0" applyNumberFormat="1" applyFont="1" applyFill="1" applyBorder="1"/>
    <xf numFmtId="0" fontId="0" fillId="0" borderId="35" xfId="0" applyBorder="1" applyAlignment="1">
      <alignment horizontal="center"/>
    </xf>
    <xf numFmtId="9" fontId="0" fillId="0" borderId="0" xfId="26" applyFont="1" applyFill="1"/>
    <xf numFmtId="9" fontId="0" fillId="13" borderId="0" xfId="26" applyFont="1" applyFill="1" applyAlignment="1">
      <alignment horizontal="right"/>
    </xf>
    <xf numFmtId="0" fontId="0" fillId="13" borderId="0" xfId="0" applyFill="1" applyAlignment="1">
      <alignment horizontal="right"/>
    </xf>
    <xf numFmtId="0" fontId="0" fillId="14" borderId="0" xfId="0" applyFill="1"/>
    <xf numFmtId="0" fontId="37" fillId="4" borderId="75" xfId="18" applyFill="1" applyBorder="1">
      <alignment vertical="center"/>
    </xf>
    <xf numFmtId="0" fontId="7" fillId="4" borderId="76" xfId="0" applyFont="1" applyFill="1" applyBorder="1"/>
    <xf numFmtId="0" fontId="5" fillId="13" borderId="76" xfId="0" applyFont="1" applyFill="1" applyBorder="1" applyAlignment="1">
      <alignment horizontal="right"/>
    </xf>
    <xf numFmtId="0" fontId="8" fillId="4" borderId="77" xfId="0" applyFont="1" applyFill="1" applyBorder="1" applyAlignment="1">
      <alignment vertical="center"/>
    </xf>
    <xf numFmtId="0" fontId="37" fillId="4" borderId="23" xfId="18" applyFill="1" applyBorder="1">
      <alignment vertical="center"/>
    </xf>
    <xf numFmtId="0" fontId="7" fillId="4" borderId="6" xfId="0" applyFont="1" applyFill="1" applyBorder="1"/>
    <xf numFmtId="0" fontId="8" fillId="4" borderId="41" xfId="0" applyFont="1" applyFill="1" applyBorder="1" applyAlignment="1">
      <alignment vertical="center"/>
    </xf>
    <xf numFmtId="0" fontId="4" fillId="0" borderId="0" xfId="28" applyFont="1"/>
    <xf numFmtId="0" fontId="7" fillId="0" borderId="0" xfId="28" applyFont="1"/>
    <xf numFmtId="0" fontId="5" fillId="4" borderId="73" xfId="0" applyFont="1" applyFill="1" applyBorder="1" applyAlignment="1">
      <alignment vertical="center" wrapText="1"/>
    </xf>
    <xf numFmtId="0" fontId="5" fillId="0" borderId="78" xfId="0" applyFont="1" applyBorder="1" applyAlignment="1">
      <alignment wrapText="1"/>
    </xf>
    <xf numFmtId="0" fontId="7" fillId="0" borderId="79" xfId="0" applyFont="1" applyBorder="1"/>
    <xf numFmtId="0" fontId="5" fillId="3" borderId="79" xfId="0" applyFont="1" applyFill="1" applyBorder="1" applyAlignment="1">
      <alignment horizontal="right"/>
    </xf>
    <xf numFmtId="0" fontId="8" fillId="0" borderId="80" xfId="0" applyFont="1" applyBorder="1"/>
    <xf numFmtId="0" fontId="5" fillId="0" borderId="81" xfId="0" applyFont="1" applyBorder="1" applyAlignment="1">
      <alignment wrapText="1"/>
    </xf>
    <xf numFmtId="0" fontId="7" fillId="0" borderId="82" xfId="0" applyFont="1" applyBorder="1"/>
    <xf numFmtId="0" fontId="5" fillId="3" borderId="82" xfId="0" applyFont="1" applyFill="1" applyBorder="1" applyAlignment="1">
      <alignment horizontal="right"/>
    </xf>
    <xf numFmtId="0" fontId="8" fillId="0" borderId="83" xfId="0" applyFont="1" applyBorder="1"/>
    <xf numFmtId="0" fontId="5" fillId="0" borderId="81" xfId="0" applyFont="1" applyBorder="1"/>
    <xf numFmtId="0" fontId="7" fillId="4" borderId="82" xfId="0" applyFont="1" applyFill="1" applyBorder="1" applyAlignment="1">
      <alignment vertical="center"/>
    </xf>
    <xf numFmtId="174" fontId="22" fillId="4" borderId="0" xfId="0" applyNumberFormat="1" applyFont="1" applyFill="1" applyProtection="1">
      <protection hidden="1"/>
    </xf>
    <xf numFmtId="0" fontId="4" fillId="12" borderId="0" xfId="0" applyFont="1" applyFill="1" applyProtection="1">
      <protection hidden="1"/>
    </xf>
    <xf numFmtId="0" fontId="4" fillId="12" borderId="0" xfId="0" applyFont="1" applyFill="1"/>
    <xf numFmtId="0" fontId="0" fillId="12" borderId="0" xfId="0" applyFill="1" applyAlignment="1">
      <alignment wrapText="1"/>
    </xf>
    <xf numFmtId="0" fontId="4" fillId="12" borderId="0" xfId="0" applyFont="1" applyFill="1" applyAlignment="1">
      <alignment wrapText="1"/>
    </xf>
    <xf numFmtId="0" fontId="46" fillId="0" borderId="0" xfId="0" applyFont="1"/>
    <xf numFmtId="0" fontId="20" fillId="12" borderId="0" xfId="0" applyFont="1" applyFill="1"/>
    <xf numFmtId="0" fontId="46" fillId="12" borderId="0" xfId="0" applyFont="1" applyFill="1"/>
    <xf numFmtId="0" fontId="5" fillId="12" borderId="0" xfId="0" applyFont="1" applyFill="1" applyProtection="1">
      <protection hidden="1"/>
    </xf>
    <xf numFmtId="0" fontId="9" fillId="12" borderId="0" xfId="0" applyFont="1" applyFill="1"/>
    <xf numFmtId="0" fontId="4" fillId="0" borderId="0" xfId="0" quotePrefix="1" applyFont="1" applyAlignment="1">
      <alignment horizontal="right"/>
    </xf>
    <xf numFmtId="9" fontId="4" fillId="2" borderId="0" xfId="0" applyNumberFormat="1" applyFont="1" applyFill="1"/>
    <xf numFmtId="0" fontId="4" fillId="5" borderId="0" xfId="0" applyFont="1" applyFill="1"/>
    <xf numFmtId="0" fontId="4" fillId="5" borderId="0" xfId="0" applyFont="1" applyFill="1" applyProtection="1">
      <protection locked="0"/>
    </xf>
    <xf numFmtId="173" fontId="5" fillId="0" borderId="0" xfId="9" applyNumberFormat="1" applyFont="1" applyBorder="1" applyAlignment="1" applyProtection="1">
      <alignment horizontal="right"/>
      <protection hidden="1"/>
    </xf>
    <xf numFmtId="173" fontId="5" fillId="6" borderId="0" xfId="0" applyNumberFormat="1" applyFont="1" applyFill="1" applyAlignment="1">
      <alignment horizontal="right"/>
    </xf>
    <xf numFmtId="173" fontId="20" fillId="5" borderId="0" xfId="0" applyNumberFormat="1" applyFont="1" applyFill="1" applyAlignment="1">
      <alignment horizontal="right"/>
    </xf>
    <xf numFmtId="173" fontId="5" fillId="6" borderId="0" xfId="0" quotePrefix="1" applyNumberFormat="1" applyFont="1" applyFill="1"/>
    <xf numFmtId="173" fontId="0" fillId="5" borderId="0" xfId="0" applyNumberFormat="1" applyFill="1"/>
    <xf numFmtId="173" fontId="5" fillId="6" borderId="0" xfId="0" applyNumberFormat="1" applyFont="1" applyFill="1" applyAlignment="1" applyProtection="1">
      <alignment horizontal="right"/>
      <protection hidden="1"/>
    </xf>
    <xf numFmtId="173" fontId="5" fillId="0" borderId="43" xfId="8" applyNumberFormat="1" applyFont="1" applyFill="1" applyBorder="1" applyAlignment="1">
      <alignment horizontal="right"/>
    </xf>
    <xf numFmtId="168" fontId="5" fillId="0" borderId="0" xfId="0" applyNumberFormat="1" applyFont="1" applyAlignment="1">
      <alignment horizontal="right"/>
    </xf>
    <xf numFmtId="168" fontId="5" fillId="0" borderId="0" xfId="0" applyNumberFormat="1" applyFont="1"/>
    <xf numFmtId="168" fontId="5" fillId="0" borderId="0" xfId="0" applyNumberFormat="1" applyFont="1" applyAlignment="1">
      <alignment horizontal="left"/>
    </xf>
    <xf numFmtId="170" fontId="5" fillId="0" borderId="0" xfId="6" applyNumberFormat="1" applyFont="1" applyAlignment="1">
      <alignment horizontal="right"/>
    </xf>
    <xf numFmtId="176" fontId="0" fillId="2" borderId="0" xfId="6" applyNumberFormat="1" applyFont="1" applyFill="1"/>
    <xf numFmtId="168" fontId="0" fillId="0" borderId="0" xfId="6" applyFont="1" applyFill="1"/>
    <xf numFmtId="178" fontId="0" fillId="0" borderId="0" xfId="26" applyNumberFormat="1" applyFont="1" applyFill="1"/>
    <xf numFmtId="0" fontId="0" fillId="0" borderId="74" xfId="0" applyBorder="1"/>
    <xf numFmtId="0" fontId="9" fillId="0" borderId="74" xfId="0" quotePrefix="1" applyFont="1" applyBorder="1" applyAlignment="1">
      <alignment horizontal="right"/>
    </xf>
    <xf numFmtId="0" fontId="9" fillId="0" borderId="73" xfId="0" quotePrefix="1" applyFont="1" applyBorder="1" applyAlignment="1">
      <alignment horizontal="right"/>
    </xf>
    <xf numFmtId="0" fontId="0" fillId="0" borderId="73" xfId="0" applyBorder="1"/>
    <xf numFmtId="0" fontId="9" fillId="0" borderId="17" xfId="0" applyFont="1" applyBorder="1" applyAlignment="1">
      <alignment horizontal="right"/>
    </xf>
    <xf numFmtId="0" fontId="9" fillId="0" borderId="74" xfId="0" applyFont="1" applyBorder="1" applyAlignment="1">
      <alignment horizontal="right"/>
    </xf>
    <xf numFmtId="0" fontId="9" fillId="0" borderId="73" xfId="0" applyFont="1" applyBorder="1" applyAlignment="1">
      <alignment horizontal="right"/>
    </xf>
    <xf numFmtId="0" fontId="4" fillId="0" borderId="74" xfId="0" quotePrefix="1" applyFont="1" applyBorder="1" applyAlignment="1">
      <alignment horizontal="right"/>
    </xf>
    <xf numFmtId="0" fontId="4" fillId="0" borderId="74" xfId="0" applyFont="1" applyBorder="1" applyAlignment="1">
      <alignment horizontal="right"/>
    </xf>
    <xf numFmtId="0" fontId="4" fillId="0" borderId="15" xfId="0" applyFont="1" applyBorder="1"/>
    <xf numFmtId="0" fontId="0" fillId="15" borderId="0" xfId="0" applyFill="1"/>
    <xf numFmtId="0" fontId="0" fillId="15" borderId="0" xfId="0" quotePrefix="1" applyFill="1"/>
    <xf numFmtId="0" fontId="4" fillId="4" borderId="0" xfId="0" applyFont="1" applyFill="1" applyAlignment="1">
      <alignment horizontal="right"/>
    </xf>
    <xf numFmtId="0" fontId="45" fillId="4" borderId="85" xfId="0" applyFont="1" applyFill="1" applyBorder="1" applyAlignment="1">
      <alignment horizontal="right"/>
    </xf>
    <xf numFmtId="9" fontId="4" fillId="0" borderId="0" xfId="26" quotePrefix="1" applyFont="1"/>
    <xf numFmtId="0" fontId="67" fillId="4" borderId="0" xfId="0" quotePrefix="1" applyFont="1" applyFill="1"/>
    <xf numFmtId="0" fontId="9" fillId="4" borderId="28" xfId="0" applyFont="1" applyFill="1" applyBorder="1"/>
    <xf numFmtId="0" fontId="4" fillId="0" borderId="0" xfId="0" quotePrefix="1" applyFont="1" applyAlignment="1">
      <alignment horizontal="left" indent="1"/>
    </xf>
    <xf numFmtId="0" fontId="68" fillId="4" borderId="84" xfId="0" applyFont="1" applyFill="1" applyBorder="1"/>
    <xf numFmtId="0" fontId="9" fillId="4" borderId="15" xfId="0" applyFont="1" applyFill="1" applyBorder="1"/>
    <xf numFmtId="0" fontId="4" fillId="12" borderId="15" xfId="0" applyFont="1" applyFill="1" applyBorder="1" applyAlignment="1">
      <alignment horizontal="left"/>
    </xf>
    <xf numFmtId="0" fontId="0" fillId="4" borderId="73" xfId="0" applyFill="1" applyBorder="1"/>
    <xf numFmtId="0" fontId="5" fillId="12" borderId="15" xfId="0" applyFont="1" applyFill="1" applyBorder="1" applyAlignment="1">
      <alignment horizontal="right"/>
    </xf>
    <xf numFmtId="0" fontId="5" fillId="12" borderId="15" xfId="0" applyFont="1" applyFill="1" applyBorder="1"/>
    <xf numFmtId="0" fontId="0" fillId="4" borderId="84" xfId="0" applyFill="1" applyBorder="1"/>
    <xf numFmtId="0" fontId="4" fillId="12" borderId="0" xfId="0" applyFont="1" applyFill="1" applyAlignment="1">
      <alignment horizontal="left"/>
    </xf>
    <xf numFmtId="0" fontId="69" fillId="0" borderId="0" xfId="31" applyFont="1"/>
    <xf numFmtId="0" fontId="63" fillId="0" borderId="0" xfId="31" applyFont="1"/>
    <xf numFmtId="0" fontId="12" fillId="0" borderId="0" xfId="31" applyFont="1"/>
    <xf numFmtId="0" fontId="63" fillId="0" borderId="0" xfId="28" applyFont="1"/>
    <xf numFmtId="0" fontId="0" fillId="4" borderId="86" xfId="0" applyFill="1" applyBorder="1"/>
    <xf numFmtId="0" fontId="0" fillId="12" borderId="0" xfId="0" quotePrefix="1" applyFill="1" applyAlignment="1">
      <alignment horizontal="right"/>
    </xf>
    <xf numFmtId="0" fontId="22" fillId="4" borderId="0" xfId="0" applyFont="1" applyFill="1" applyAlignment="1">
      <alignment wrapText="1"/>
    </xf>
    <xf numFmtId="0" fontId="9" fillId="4" borderId="0" xfId="0" applyFont="1" applyFill="1" applyAlignment="1">
      <alignment wrapText="1"/>
    </xf>
    <xf numFmtId="0" fontId="22" fillId="4" borderId="1" xfId="0" applyFont="1" applyFill="1" applyBorder="1" applyAlignment="1">
      <alignment wrapText="1"/>
    </xf>
    <xf numFmtId="0" fontId="22" fillId="4" borderId="24" xfId="0" applyFont="1" applyFill="1" applyBorder="1" applyAlignment="1">
      <alignment vertical="center" wrapText="1"/>
    </xf>
    <xf numFmtId="0" fontId="22" fillId="4" borderId="2" xfId="0" applyFont="1" applyFill="1" applyBorder="1" applyAlignment="1">
      <alignment vertical="center" wrapText="1"/>
    </xf>
    <xf numFmtId="0" fontId="5" fillId="4" borderId="21" xfId="0" applyFont="1" applyFill="1" applyBorder="1" applyProtection="1">
      <protection locked="0"/>
    </xf>
    <xf numFmtId="0" fontId="5" fillId="4" borderId="15" xfId="0" applyFont="1" applyFill="1" applyBorder="1" applyProtection="1">
      <protection hidden="1"/>
    </xf>
    <xf numFmtId="0" fontId="5" fillId="4" borderId="37" xfId="0" applyFont="1" applyFill="1" applyBorder="1" applyProtection="1">
      <protection hidden="1"/>
    </xf>
    <xf numFmtId="0" fontId="4" fillId="4" borderId="1" xfId="0" applyFont="1" applyFill="1" applyBorder="1"/>
    <xf numFmtId="0" fontId="4" fillId="4" borderId="18" xfId="0" applyFont="1" applyFill="1" applyBorder="1"/>
    <xf numFmtId="0" fontId="4" fillId="4" borderId="1" xfId="0" applyFont="1" applyFill="1" applyBorder="1" applyProtection="1">
      <protection hidden="1"/>
    </xf>
    <xf numFmtId="0" fontId="70" fillId="0" borderId="0" xfId="0" applyFont="1" applyAlignment="1">
      <alignment horizontal="left"/>
    </xf>
    <xf numFmtId="0" fontId="5" fillId="0" borderId="21" xfId="0" applyFont="1" applyBorder="1"/>
    <xf numFmtId="3" fontId="5" fillId="0" borderId="21" xfId="0" applyNumberFormat="1" applyFont="1" applyBorder="1"/>
    <xf numFmtId="0" fontId="5" fillId="12" borderId="0" xfId="24" applyFont="1" applyFill="1" applyAlignment="1">
      <alignment horizontal="center" vertical="center"/>
    </xf>
    <xf numFmtId="0" fontId="77" fillId="12" borderId="0" xfId="24" applyFont="1" applyFill="1" applyAlignment="1">
      <alignment horizontal="left" vertical="center"/>
    </xf>
    <xf numFmtId="0" fontId="9" fillId="12" borderId="0" xfId="24" applyFill="1" applyAlignment="1">
      <alignment vertical="center"/>
    </xf>
    <xf numFmtId="0" fontId="9" fillId="12" borderId="0" xfId="24" applyFill="1" applyAlignment="1">
      <alignment vertical="center" wrapText="1"/>
    </xf>
    <xf numFmtId="0" fontId="16" fillId="12" borderId="0" xfId="29" applyFill="1" applyAlignment="1" applyProtection="1">
      <alignment vertical="center"/>
    </xf>
    <xf numFmtId="0" fontId="9" fillId="12" borderId="0" xfId="24" applyFill="1"/>
    <xf numFmtId="0" fontId="4" fillId="12" borderId="0" xfId="24" applyFont="1" applyFill="1" applyAlignment="1">
      <alignment horizontal="left" vertical="center" indent="2"/>
    </xf>
    <xf numFmtId="49" fontId="4" fillId="12" borderId="15" xfId="24" applyNumberFormat="1" applyFont="1" applyFill="1" applyBorder="1" applyAlignment="1">
      <alignment horizontal="center" vertical="center"/>
    </xf>
    <xf numFmtId="0" fontId="7" fillId="0" borderId="15" xfId="0" applyFont="1" applyBorder="1" applyAlignment="1">
      <alignment horizontal="left"/>
    </xf>
    <xf numFmtId="1" fontId="0" fillId="0" borderId="21" xfId="0" applyNumberFormat="1" applyBorder="1"/>
    <xf numFmtId="4" fontId="0" fillId="0" borderId="37" xfId="0" applyNumberFormat="1" applyBorder="1"/>
    <xf numFmtId="0" fontId="0" fillId="0" borderId="37" xfId="0" applyBorder="1" applyAlignment="1">
      <alignment horizontal="right"/>
    </xf>
    <xf numFmtId="0" fontId="4" fillId="0" borderId="37" xfId="0" applyFont="1" applyBorder="1"/>
    <xf numFmtId="4" fontId="0" fillId="0" borderId="21" xfId="0" applyNumberFormat="1" applyBorder="1"/>
    <xf numFmtId="4" fontId="0" fillId="0" borderId="15" xfId="0" applyNumberFormat="1" applyBorder="1"/>
    <xf numFmtId="0" fontId="4" fillId="0" borderId="21" xfId="0" applyFont="1" applyBorder="1"/>
    <xf numFmtId="0" fontId="4" fillId="0" borderId="15" xfId="0" applyFont="1" applyBorder="1" applyAlignment="1">
      <alignment horizontal="center"/>
    </xf>
    <xf numFmtId="1" fontId="4" fillId="0" borderId="15" xfId="0" applyNumberFormat="1" applyFont="1" applyBorder="1" applyAlignment="1">
      <alignment horizontal="center"/>
    </xf>
    <xf numFmtId="0" fontId="5" fillId="0" borderId="36" xfId="0" applyFont="1" applyBorder="1"/>
    <xf numFmtId="0" fontId="0" fillId="0" borderId="38" xfId="0" applyBorder="1"/>
    <xf numFmtId="0" fontId="71" fillId="0" borderId="0" xfId="0" applyFont="1"/>
    <xf numFmtId="3" fontId="4" fillId="0" borderId="0" xfId="0" applyNumberFormat="1" applyFont="1"/>
    <xf numFmtId="0" fontId="0" fillId="0" borderId="15" xfId="0" applyBorder="1" applyAlignment="1">
      <alignment horizontal="center"/>
    </xf>
    <xf numFmtId="1" fontId="4" fillId="0" borderId="15" xfId="0" applyNumberFormat="1" applyFont="1" applyBorder="1"/>
    <xf numFmtId="3" fontId="4" fillId="0" borderId="0" xfId="0" applyNumberFormat="1" applyFont="1" applyAlignment="1">
      <alignment horizontal="right"/>
    </xf>
    <xf numFmtId="4" fontId="4" fillId="0" borderId="0" xfId="0" applyNumberFormat="1" applyFont="1"/>
    <xf numFmtId="4" fontId="4" fillId="0" borderId="0" xfId="8" applyNumberFormat="1" applyFont="1" applyFill="1"/>
    <xf numFmtId="179" fontId="72" fillId="0" borderId="21" xfId="0" applyNumberFormat="1" applyFont="1" applyBorder="1"/>
    <xf numFmtId="165" fontId="0" fillId="0" borderId="15" xfId="0" applyNumberFormat="1" applyBorder="1"/>
    <xf numFmtId="2" fontId="0" fillId="0" borderId="0" xfId="0" applyNumberFormat="1" applyAlignment="1">
      <alignment horizontal="center" vertical="center"/>
    </xf>
    <xf numFmtId="0" fontId="73" fillId="0" borderId="0" xfId="0" applyFont="1"/>
    <xf numFmtId="0" fontId="74" fillId="0" borderId="0" xfId="0" applyFont="1"/>
    <xf numFmtId="0" fontId="75" fillId="0" borderId="0" xfId="0" applyFont="1"/>
    <xf numFmtId="0" fontId="7" fillId="0" borderId="21" xfId="0" applyFont="1" applyBorder="1" applyAlignment="1">
      <alignment horizontal="left"/>
    </xf>
    <xf numFmtId="0" fontId="7" fillId="0" borderId="15" xfId="0" applyFont="1" applyBorder="1" applyAlignment="1">
      <alignment horizontal="center"/>
    </xf>
    <xf numFmtId="0" fontId="11" fillId="0" borderId="37" xfId="0" applyFont="1" applyBorder="1" applyAlignment="1">
      <alignment horizontal="left"/>
    </xf>
    <xf numFmtId="0" fontId="27" fillId="0" borderId="37" xfId="0" applyFont="1" applyBorder="1"/>
    <xf numFmtId="0" fontId="12" fillId="0" borderId="37" xfId="0" applyFont="1" applyBorder="1"/>
    <xf numFmtId="0" fontId="11" fillId="0" borderId="37" xfId="0" applyFont="1" applyBorder="1"/>
    <xf numFmtId="3" fontId="0" fillId="0" borderId="15" xfId="0" applyNumberFormat="1" applyBorder="1"/>
    <xf numFmtId="173" fontId="4" fillId="0" borderId="0" xfId="8" applyNumberFormat="1" applyFill="1"/>
    <xf numFmtId="175" fontId="4" fillId="0" borderId="0" xfId="0" applyNumberFormat="1" applyFont="1"/>
    <xf numFmtId="0" fontId="76" fillId="0" borderId="0" xfId="0" applyFont="1"/>
    <xf numFmtId="169" fontId="0" fillId="0" borderId="0" xfId="6" applyNumberFormat="1" applyFont="1" applyFill="1"/>
    <xf numFmtId="10" fontId="0" fillId="0" borderId="0" xfId="0" applyNumberFormat="1"/>
    <xf numFmtId="9" fontId="63" fillId="0" borderId="0" xfId="0" applyNumberFormat="1" applyFont="1"/>
    <xf numFmtId="10" fontId="0" fillId="0" borderId="0" xfId="26" applyNumberFormat="1" applyFont="1" applyFill="1"/>
    <xf numFmtId="0" fontId="4" fillId="0" borderId="0" xfId="10" applyFont="1" applyFill="1" applyAlignment="1" applyProtection="1"/>
    <xf numFmtId="0" fontId="0" fillId="0" borderId="0" xfId="0" applyAlignment="1">
      <alignment horizontal="center"/>
    </xf>
    <xf numFmtId="175" fontId="0" fillId="0" borderId="0" xfId="0" applyNumberFormat="1" applyAlignment="1">
      <alignment horizontal="center"/>
    </xf>
    <xf numFmtId="1" fontId="0" fillId="0" borderId="0" xfId="0" applyNumberFormat="1" applyAlignment="1">
      <alignment horizontal="center"/>
    </xf>
    <xf numFmtId="10" fontId="5" fillId="0" borderId="0" xfId="0" applyNumberFormat="1" applyFont="1"/>
    <xf numFmtId="10" fontId="6" fillId="0" borderId="0" xfId="0" applyNumberFormat="1" applyFont="1"/>
    <xf numFmtId="171" fontId="6" fillId="0" borderId="0" xfId="0" applyNumberFormat="1" applyFont="1"/>
    <xf numFmtId="1" fontId="0" fillId="0" borderId="0" xfId="6" applyNumberFormat="1" applyFont="1" applyFill="1"/>
    <xf numFmtId="10" fontId="4" fillId="0" borderId="0" xfId="0" applyNumberFormat="1" applyFont="1"/>
    <xf numFmtId="171" fontId="4" fillId="0" borderId="0" xfId="0" applyNumberFormat="1" applyFont="1"/>
    <xf numFmtId="22" fontId="0" fillId="0" borderId="0" xfId="0" applyNumberFormat="1"/>
    <xf numFmtId="0" fontId="14" fillId="12" borderId="15" xfId="0" applyFont="1" applyFill="1" applyBorder="1"/>
    <xf numFmtId="0" fontId="34" fillId="0" borderId="17" xfId="22" applyBorder="1" applyAlignment="1">
      <alignment horizontal="center" vertical="center"/>
    </xf>
    <xf numFmtId="0" fontId="34" fillId="0" borderId="30" xfId="22" applyBorder="1" applyAlignment="1">
      <alignment horizontal="center" vertical="center"/>
    </xf>
    <xf numFmtId="0" fontId="34" fillId="0" borderId="1" xfId="22" applyBorder="1" applyAlignment="1">
      <alignment horizontal="center" vertical="center"/>
    </xf>
    <xf numFmtId="0" fontId="34" fillId="0" borderId="2" xfId="22" applyBorder="1" applyAlignment="1">
      <alignment horizontal="center" vertical="center"/>
    </xf>
    <xf numFmtId="0" fontId="34" fillId="0" borderId="18" xfId="22" applyBorder="1" applyAlignment="1">
      <alignment horizontal="center" vertical="center"/>
    </xf>
    <xf numFmtId="0" fontId="34" fillId="0" borderId="16" xfId="22" applyBorder="1" applyAlignment="1">
      <alignment horizontal="center" vertical="center"/>
    </xf>
    <xf numFmtId="0" fontId="35" fillId="4" borderId="1" xfId="0" applyFont="1" applyFill="1" applyBorder="1" applyAlignment="1">
      <alignment horizontal="left" vertical="center" wrapText="1"/>
    </xf>
    <xf numFmtId="0" fontId="7" fillId="0" borderId="56" xfId="0" applyFont="1" applyBorder="1" applyAlignment="1">
      <alignment horizontal="left" wrapText="1"/>
    </xf>
    <xf numFmtId="0" fontId="9" fillId="0" borderId="43" xfId="0" applyFont="1" applyBorder="1" applyAlignment="1">
      <alignment wrapText="1"/>
    </xf>
    <xf numFmtId="0" fontId="9" fillId="0" borderId="57" xfId="0" applyFont="1" applyBorder="1" applyAlignment="1">
      <alignment wrapText="1"/>
    </xf>
    <xf numFmtId="0" fontId="22" fillId="4" borderId="1" xfId="0" applyFont="1" applyFill="1" applyBorder="1" applyAlignment="1">
      <alignment horizontal="left" vertical="top" wrapText="1"/>
    </xf>
    <xf numFmtId="0" fontId="22" fillId="4" borderId="74" xfId="0" applyFont="1" applyFill="1" applyBorder="1" applyAlignment="1">
      <alignment horizontal="left" vertical="center" wrapText="1"/>
    </xf>
    <xf numFmtId="0" fontId="22" fillId="4" borderId="1" xfId="0" applyFont="1" applyFill="1" applyBorder="1" applyAlignment="1">
      <alignment wrapText="1"/>
    </xf>
    <xf numFmtId="0" fontId="22" fillId="4" borderId="0" xfId="0" applyFont="1" applyFill="1" applyAlignment="1">
      <alignment wrapText="1"/>
    </xf>
    <xf numFmtId="0" fontId="22" fillId="4" borderId="1" xfId="0" applyFont="1" applyFill="1" applyBorder="1" applyAlignment="1">
      <alignment horizontal="left" vertical="center" wrapText="1"/>
    </xf>
    <xf numFmtId="0" fontId="5" fillId="0" borderId="39" xfId="0" applyFont="1" applyBorder="1" applyAlignment="1" applyProtection="1">
      <alignment horizontal="center"/>
      <protection hidden="1"/>
    </xf>
    <xf numFmtId="0" fontId="14" fillId="12" borderId="0" xfId="0" applyFont="1" applyFill="1" applyProtection="1">
      <protection hidden="1"/>
    </xf>
    <xf numFmtId="0" fontId="0" fillId="12" borderId="2" xfId="0" applyFill="1" applyBorder="1"/>
    <xf numFmtId="0" fontId="22" fillId="4" borderId="0" xfId="0" applyFont="1" applyFill="1" applyAlignment="1">
      <alignment vertical="center" wrapText="1"/>
    </xf>
    <xf numFmtId="0" fontId="22" fillId="4" borderId="2" xfId="0" applyFont="1" applyFill="1" applyBorder="1" applyAlignment="1">
      <alignment vertical="center" wrapText="1"/>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9" xfId="0" applyFont="1"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5" fillId="4" borderId="62" xfId="0" applyFont="1" applyFill="1" applyBorder="1" applyAlignment="1">
      <alignment horizontal="center" wrapText="1"/>
    </xf>
    <xf numFmtId="0" fontId="5" fillId="4" borderId="65" xfId="0" applyFont="1" applyFill="1" applyBorder="1" applyAlignment="1">
      <alignment horizontal="center" wrapText="1"/>
    </xf>
    <xf numFmtId="0" fontId="5" fillId="4" borderId="68" xfId="0" applyFont="1" applyFill="1" applyBorder="1" applyAlignment="1">
      <alignment horizontal="center" wrapText="1"/>
    </xf>
    <xf numFmtId="0" fontId="4" fillId="0" borderId="0" xfId="0" applyFont="1" applyAlignment="1">
      <alignment horizontal="center"/>
    </xf>
    <xf numFmtId="0" fontId="6" fillId="0" borderId="7" xfId="0" applyFont="1" applyBorder="1" applyAlignment="1">
      <alignment wrapText="1"/>
    </xf>
    <xf numFmtId="0" fontId="6" fillId="0" borderId="10" xfId="0" applyFont="1" applyBorder="1" applyAlignment="1">
      <alignment wrapText="1"/>
    </xf>
    <xf numFmtId="0" fontId="6" fillId="0" borderId="8" xfId="0" applyFont="1" applyBorder="1"/>
    <xf numFmtId="0" fontId="6" fillId="0" borderId="0" xfId="0" applyFont="1"/>
    <xf numFmtId="0" fontId="6" fillId="0" borderId="8" xfId="0" applyFont="1" applyBorder="1" applyAlignment="1">
      <alignment horizontal="center"/>
    </xf>
    <xf numFmtId="0" fontId="6" fillId="0" borderId="9" xfId="0" applyFont="1" applyBorder="1" applyAlignment="1">
      <alignment horizontal="center"/>
    </xf>
    <xf numFmtId="3" fontId="9" fillId="0" borderId="0" xfId="24" applyNumberFormat="1" applyAlignment="1">
      <alignment horizontal="center"/>
    </xf>
    <xf numFmtId="0" fontId="4" fillId="0" borderId="0" xfId="0" applyFont="1" applyAlignment="1">
      <alignment horizontal="center" wrapText="1"/>
    </xf>
    <xf numFmtId="0" fontId="17" fillId="5" borderId="36" xfId="0" applyFont="1" applyFill="1" applyBorder="1" applyAlignment="1">
      <alignment horizontal="center"/>
    </xf>
    <xf numFmtId="0" fontId="17" fillId="5" borderId="37" xfId="0" applyFont="1" applyFill="1" applyBorder="1" applyAlignment="1">
      <alignment horizontal="center"/>
    </xf>
    <xf numFmtId="0" fontId="17" fillId="5" borderId="38" xfId="0" applyFont="1" applyFill="1" applyBorder="1" applyAlignment="1">
      <alignment horizontal="center"/>
    </xf>
    <xf numFmtId="175" fontId="17" fillId="5" borderId="37" xfId="0" applyNumberFormat="1" applyFont="1" applyFill="1" applyBorder="1" applyAlignment="1">
      <alignment horizontal="center"/>
    </xf>
    <xf numFmtId="175" fontId="17" fillId="5" borderId="38" xfId="0" applyNumberFormat="1" applyFont="1" applyFill="1" applyBorder="1" applyAlignment="1">
      <alignment horizontal="center"/>
    </xf>
    <xf numFmtId="0" fontId="17" fillId="5" borderId="17" xfId="0" applyFont="1" applyFill="1" applyBorder="1" applyAlignment="1">
      <alignment horizontal="center"/>
    </xf>
    <xf numFmtId="0" fontId="17" fillId="5" borderId="21" xfId="0" applyFont="1" applyFill="1" applyBorder="1" applyAlignment="1">
      <alignment horizontal="center"/>
    </xf>
    <xf numFmtId="0" fontId="17" fillId="5" borderId="30" xfId="0" applyFont="1" applyFill="1" applyBorder="1" applyAlignment="1">
      <alignment horizontal="center"/>
    </xf>
  </cellXfs>
  <cellStyles count="32">
    <cellStyle name="CDA" xfId="1" xr:uid="{00000000-0005-0000-0000-000000000000}"/>
    <cellStyle name="CDA Guidance" xfId="2" xr:uid="{00000000-0005-0000-0000-000001000000}"/>
    <cellStyle name="CDA Important" xfId="3" xr:uid="{00000000-0005-0000-0000-000002000000}"/>
    <cellStyle name="CDA Information" xfId="4" xr:uid="{00000000-0005-0000-0000-000003000000}"/>
    <cellStyle name="CDA_CDA in progress" xfId="5" xr:uid="{00000000-0005-0000-0000-000004000000}"/>
    <cellStyle name="Comma" xfId="6" builtinId="3"/>
    <cellStyle name="Comma 2" xfId="7" xr:uid="{00000000-0005-0000-0000-000006000000}"/>
    <cellStyle name="Currency" xfId="8" builtinId="4"/>
    <cellStyle name="Currency 2" xfId="9" xr:uid="{00000000-0005-0000-0000-000008000000}"/>
    <cellStyle name="Hyperlink" xfId="10" builtinId="8"/>
    <cellStyle name="Hyperlink 2" xfId="29" xr:uid="{00000000-0005-0000-0000-00000A000000}"/>
    <cellStyle name="Input Design Information" xfId="11" xr:uid="{00000000-0005-0000-0000-00000B000000}"/>
    <cellStyle name="Input Design Information Units" xfId="12" xr:uid="{00000000-0005-0000-0000-00000C000000}"/>
    <cellStyle name="Input Guidance" xfId="13" xr:uid="{00000000-0005-0000-0000-00000D000000}"/>
    <cellStyle name="Input Guidance Hyperlink" xfId="14" xr:uid="{00000000-0005-0000-0000-00000E000000}"/>
    <cellStyle name="Input Guidance_CDA in progress" xfId="15" xr:uid="{00000000-0005-0000-0000-00000F000000}"/>
    <cellStyle name="Input Header" xfId="16" xr:uid="{00000000-0005-0000-0000-000010000000}"/>
    <cellStyle name="Input Instruction" xfId="17" xr:uid="{00000000-0005-0000-0000-000011000000}"/>
    <cellStyle name="Input Manual Name" xfId="18" xr:uid="{00000000-0005-0000-0000-000012000000}"/>
    <cellStyle name="Input Optional Entry" xfId="19" xr:uid="{00000000-0005-0000-0000-000013000000}"/>
    <cellStyle name="Input Required Entry" xfId="20" xr:uid="{00000000-0005-0000-0000-000014000000}"/>
    <cellStyle name="Input Units" xfId="21" xr:uid="{00000000-0005-0000-0000-000015000000}"/>
    <cellStyle name="Input Warning" xfId="22" xr:uid="{00000000-0005-0000-0000-000016000000}"/>
    <cellStyle name="Main CDA" xfId="23" xr:uid="{00000000-0005-0000-0000-000017000000}"/>
    <cellStyle name="Normal" xfId="0" builtinId="0"/>
    <cellStyle name="Normal 2" xfId="24" xr:uid="{00000000-0005-0000-0000-000019000000}"/>
    <cellStyle name="Normal 3" xfId="28" xr:uid="{00000000-0005-0000-0000-00001A000000}"/>
    <cellStyle name="Normal 4" xfId="30" xr:uid="{00000000-0005-0000-0000-00001B000000}"/>
    <cellStyle name="Normal 5" xfId="31" xr:uid="{B66E83D1-00A1-45BA-B812-2D99C875CA60}"/>
    <cellStyle name="Normal_Yard Piping" xfId="25" xr:uid="{00000000-0005-0000-0000-00001C000000}"/>
    <cellStyle name="Percent" xfId="26" builtinId="5"/>
    <cellStyle name="Range Name" xfId="27" xr:uid="{00000000-0005-0000-0000-00001E000000}"/>
  </cellStyles>
  <dxfs count="4328">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condense val="0"/>
        <extend val="0"/>
        <color indexed="1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condense val="0"/>
        <extend val="0"/>
        <color indexed="10"/>
      </font>
    </dxf>
    <dxf>
      <font>
        <b val="0"/>
        <i/>
        <condense val="0"/>
        <extend val="0"/>
      </font>
    </dxf>
    <dxf>
      <font>
        <b/>
        <i val="0"/>
        <condense val="0"/>
        <extend val="0"/>
        <color indexed="10"/>
      </font>
    </dxf>
    <dxf>
      <font>
        <b/>
        <i val="0"/>
        <condense val="0"/>
        <extend val="0"/>
        <color indexed="10"/>
      </font>
    </dxf>
    <dxf>
      <font>
        <b val="0"/>
        <i val="0"/>
        <condense val="0"/>
        <extend val="0"/>
        <color auto="1"/>
      </font>
    </dxf>
    <dxf>
      <font>
        <b/>
        <i val="0"/>
        <condense val="0"/>
        <extend val="0"/>
        <color indexed="10"/>
      </font>
    </dxf>
    <dxf>
      <font>
        <b val="0"/>
        <i/>
        <condense val="0"/>
        <extend val="0"/>
      </font>
    </dxf>
    <dxf>
      <font>
        <b val="0"/>
        <i/>
        <condense val="0"/>
        <extend val="0"/>
      </font>
    </dxf>
    <dxf>
      <font>
        <condense val="0"/>
        <extend val="0"/>
        <color indexed="10"/>
      </font>
    </dxf>
    <dxf>
      <font>
        <b/>
        <i/>
        <color theme="0" tint="-0.34998626667073579"/>
      </font>
      <fill>
        <patternFill>
          <bgColor theme="0" tint="-0.34998626667073579"/>
        </patternFill>
      </fill>
    </dxf>
    <dxf>
      <font>
        <b/>
        <i val="0"/>
        <strike val="0"/>
        <color theme="0" tint="-0.34998626667073579"/>
      </font>
    </dxf>
    <dxf>
      <font>
        <b/>
        <i/>
        <color theme="0" tint="-0.499984740745262"/>
      </font>
    </dxf>
    <dxf>
      <font>
        <color theme="0" tint="-0.34998626667073579"/>
      </font>
    </dxf>
    <dxf>
      <font>
        <color theme="1" tint="0.499984740745262"/>
      </font>
      <fill>
        <patternFill>
          <bgColor theme="1" tint="0.499984740745262"/>
        </patternFill>
      </fill>
    </dxf>
    <dxf>
      <font>
        <color theme="0" tint="-0.24994659260841701"/>
      </font>
      <fill>
        <patternFill>
          <bgColor theme="0" tint="-0.24994659260841701"/>
        </patternFill>
      </fill>
    </dxf>
    <dxf>
      <font>
        <b/>
        <i/>
        <condense val="0"/>
        <extend val="0"/>
        <color indexed="55"/>
      </font>
    </dxf>
    <dxf>
      <font>
        <condense val="0"/>
        <extend val="0"/>
        <color indexed="55"/>
      </font>
      <fill>
        <patternFill>
          <bgColor indexed="55"/>
        </patternFill>
      </fill>
    </dxf>
    <dxf>
      <font>
        <b/>
        <i/>
        <color theme="0" tint="-0.34998626667073579"/>
      </font>
    </dxf>
    <dxf>
      <font>
        <b/>
        <i val="0"/>
        <condense val="0"/>
        <extend val="0"/>
        <color indexed="17"/>
      </font>
    </dxf>
    <dxf>
      <font>
        <color theme="0" tint="-0.34998626667073579"/>
      </font>
    </dxf>
    <dxf>
      <font>
        <color theme="0" tint="-0.24994659260841701"/>
      </font>
      <fill>
        <patternFill>
          <bgColor theme="0" tint="-0.24994659260841701"/>
        </patternFill>
      </fill>
    </dxf>
    <dxf>
      <font>
        <condense val="0"/>
        <extend val="0"/>
        <color indexed="22"/>
      </font>
    </dxf>
    <dxf>
      <font>
        <b/>
        <i val="0"/>
        <condense val="0"/>
        <extend val="0"/>
        <color indexed="17"/>
      </font>
    </dxf>
    <dxf>
      <font>
        <b/>
        <i val="0"/>
        <condense val="0"/>
        <extend val="0"/>
        <color indexed="17"/>
      </font>
    </dxf>
    <dxf>
      <font>
        <b/>
        <i val="0"/>
        <condense val="0"/>
        <extend val="0"/>
        <color indexed="17"/>
      </font>
    </dxf>
    <dxf>
      <font>
        <color theme="0" tint="-0.34998626667073579"/>
      </font>
    </dxf>
    <dxf>
      <font>
        <color theme="0" tint="-0.34998626667073579"/>
      </font>
    </dxf>
    <dxf>
      <font>
        <color theme="0" tint="-0.34998626667073579"/>
      </font>
    </dxf>
    <dxf>
      <font>
        <color theme="1" tint="0.499984740745262"/>
      </font>
      <fill>
        <patternFill>
          <bgColor theme="1" tint="0.499984740745262"/>
        </patternFill>
      </fill>
    </dxf>
    <dxf>
      <font>
        <color theme="0" tint="-0.24994659260841701"/>
      </font>
      <fill>
        <patternFill>
          <bgColor theme="0" tint="-0.24994659260841701"/>
        </patternFill>
      </fill>
    </dxf>
    <dxf>
      <font>
        <b/>
        <i/>
        <condense val="0"/>
        <extend val="0"/>
        <color indexed="55"/>
      </font>
    </dxf>
    <dxf>
      <font>
        <b/>
        <i/>
        <condense val="0"/>
        <extend val="0"/>
        <color indexed="23"/>
      </font>
      <fill>
        <patternFill patternType="none">
          <bgColor indexed="65"/>
        </patternFill>
      </fill>
    </dxf>
    <dxf>
      <font>
        <b/>
        <i/>
        <condense val="0"/>
        <extend val="0"/>
        <color indexed="23"/>
      </font>
    </dxf>
    <dxf>
      <font>
        <b/>
        <i/>
        <condense val="0"/>
        <extend val="0"/>
        <color indexed="55"/>
      </font>
      <fill>
        <patternFill>
          <bgColor indexed="55"/>
        </patternFill>
      </fill>
    </dxf>
    <dxf>
      <font>
        <b/>
        <i/>
        <condense val="0"/>
        <extend val="0"/>
        <color indexed="23"/>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55"/>
      </font>
      <fill>
        <patternFill>
          <bgColor indexed="55"/>
        </patternFill>
      </fill>
    </dxf>
    <dxf>
      <font>
        <b/>
        <i/>
        <condense val="0"/>
        <extend val="0"/>
        <color indexed="55"/>
      </font>
    </dxf>
    <dxf>
      <font>
        <condense val="0"/>
        <extend val="0"/>
        <color indexed="55"/>
      </font>
    </dxf>
    <dxf>
      <font>
        <condense val="0"/>
        <extend val="0"/>
        <color indexed="55"/>
      </font>
    </dxf>
    <dxf>
      <font>
        <condense val="0"/>
        <extend val="0"/>
        <color indexed="55"/>
      </font>
      <fill>
        <patternFill>
          <bgColor indexed="55"/>
        </patternFill>
      </fill>
    </dxf>
    <dxf>
      <font>
        <b/>
        <i val="0"/>
        <condense val="0"/>
        <extend val="0"/>
        <color indexed="17"/>
      </font>
    </dxf>
    <dxf>
      <font>
        <b/>
        <i val="0"/>
        <condense val="0"/>
        <extend val="0"/>
        <color indexed="17"/>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10"/>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condense val="0"/>
        <extend val="0"/>
        <color indexed="55"/>
      </font>
      <fill>
        <patternFill>
          <bgColor indexed="22"/>
        </patternFill>
      </fill>
    </dxf>
    <dxf>
      <font>
        <condense val="0"/>
        <extend val="0"/>
        <color indexed="22"/>
      </font>
    </dxf>
    <dxf>
      <font>
        <condense val="0"/>
        <extend val="0"/>
        <color indexed="22"/>
      </font>
    </dxf>
    <dxf>
      <font>
        <condense val="0"/>
        <extend val="0"/>
        <color indexed="22"/>
      </font>
    </dxf>
    <dxf>
      <font>
        <b val="0"/>
        <i val="0"/>
        <condense val="0"/>
        <extend val="0"/>
        <color indexed="17"/>
      </font>
    </dxf>
    <dxf>
      <font>
        <condense val="0"/>
        <extend val="0"/>
        <color indexed="10"/>
      </font>
    </dxf>
    <dxf>
      <font>
        <condense val="0"/>
        <extend val="0"/>
        <color indexed="10"/>
      </font>
    </dxf>
  </dxfs>
  <tableStyles count="0" defaultTableStyle="TableStyleMedium9"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Drop" dropLines="3" dropStyle="combo" dx="16" fmlaLink="design_type" fmlaRange="'Lookup Tables'!$B$9:$B$11"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Lines="3" dropStyle="combo" dx="16" fmlaLink="contam" fmlaRange="'Lookup Tables'!$B$5:$B$7" noThreeD="1" sel="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133350</xdr:rowOff>
        </xdr:from>
        <xdr:to>
          <xdr:col>6</xdr:col>
          <xdr:colOff>2552700</xdr:colOff>
          <xdr:row>5</xdr:row>
          <xdr:rowOff>123825</xdr:rowOff>
        </xdr:to>
        <xdr:sp macro="" textlink="">
          <xdr:nvSpPr>
            <xdr:cNvPr id="7289" name="ddResinChoice" hidden="1">
              <a:extLst>
                <a:ext uri="{63B3BB69-23CF-44E3-9099-C40C66FF867C}">
                  <a14:compatExt spid="_x0000_s7289"/>
                </a:ext>
                <a:ext uri="{FF2B5EF4-FFF2-40B4-BE49-F238E27FC236}">
                  <a16:creationId xmlns:a16="http://schemas.microsoft.com/office/drawing/2014/main" id="{00000000-0008-0000-0200-00007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57</xdr:row>
          <xdr:rowOff>28575</xdr:rowOff>
        </xdr:from>
        <xdr:to>
          <xdr:col>4</xdr:col>
          <xdr:colOff>1447800</xdr:colOff>
          <xdr:row>60</xdr:row>
          <xdr:rowOff>123825</xdr:rowOff>
        </xdr:to>
        <xdr:sp macro="" textlink="">
          <xdr:nvSpPr>
            <xdr:cNvPr id="7409" name="cmdAutoSize" hidden="1">
              <a:extLst>
                <a:ext uri="{63B3BB69-23CF-44E3-9099-C40C66FF867C}">
                  <a14:compatExt spid="_x0000_s7409"/>
                </a:ext>
                <a:ext uri="{FF2B5EF4-FFF2-40B4-BE49-F238E27FC236}">
                  <a16:creationId xmlns:a16="http://schemas.microsoft.com/office/drawing/2014/main" id="{00000000-0008-0000-0200-0000F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Auto Size Pressure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20</xdr:row>
          <xdr:rowOff>76200</xdr:rowOff>
        </xdr:from>
        <xdr:to>
          <xdr:col>7</xdr:col>
          <xdr:colOff>1371600</xdr:colOff>
          <xdr:row>24</xdr:row>
          <xdr:rowOff>66675</xdr:rowOff>
        </xdr:to>
        <xdr:sp macro="" textlink="">
          <xdr:nvSpPr>
            <xdr:cNvPr id="7410" name="cmdCompSelect" hidden="1">
              <a:extLst>
                <a:ext uri="{63B3BB69-23CF-44E3-9099-C40C66FF867C}">
                  <a14:compatExt spid="_x0000_s7410"/>
                </a:ext>
                <a:ext uri="{FF2B5EF4-FFF2-40B4-BE49-F238E27FC236}">
                  <a16:creationId xmlns:a16="http://schemas.microsoft.com/office/drawing/2014/main" id="{00000000-0008-0000-0200-0000F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7</xdr:row>
          <xdr:rowOff>28575</xdr:rowOff>
        </xdr:from>
        <xdr:to>
          <xdr:col>6</xdr:col>
          <xdr:colOff>2562225</xdr:colOff>
          <xdr:row>8</xdr:row>
          <xdr:rowOff>0</xdr:rowOff>
        </xdr:to>
        <xdr:sp macro="" textlink="">
          <xdr:nvSpPr>
            <xdr:cNvPr id="7411" name="CommandButton1" hidden="1">
              <a:extLst>
                <a:ext uri="{63B3BB69-23CF-44E3-9099-C40C66FF867C}">
                  <a14:compatExt spid="_x0000_s7411"/>
                </a:ext>
                <a:ext uri="{FF2B5EF4-FFF2-40B4-BE49-F238E27FC236}">
                  <a16:creationId xmlns:a16="http://schemas.microsoft.com/office/drawing/2014/main" id="{00000000-0008-0000-0200-0000F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8</xdr:row>
          <xdr:rowOff>28575</xdr:rowOff>
        </xdr:from>
        <xdr:to>
          <xdr:col>6</xdr:col>
          <xdr:colOff>2562225</xdr:colOff>
          <xdr:row>8</xdr:row>
          <xdr:rowOff>314325</xdr:rowOff>
        </xdr:to>
        <xdr:sp macro="" textlink="">
          <xdr:nvSpPr>
            <xdr:cNvPr id="7412" name="CommandButton2" hidden="1">
              <a:extLst>
                <a:ext uri="{63B3BB69-23CF-44E3-9099-C40C66FF867C}">
                  <a14:compatExt spid="_x0000_s7412"/>
                </a:ext>
                <a:ext uri="{FF2B5EF4-FFF2-40B4-BE49-F238E27FC236}">
                  <a16:creationId xmlns:a16="http://schemas.microsoft.com/office/drawing/2014/main" id="{00000000-0008-0000-0200-0000F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9</xdr:row>
          <xdr:rowOff>28575</xdr:rowOff>
        </xdr:from>
        <xdr:to>
          <xdr:col>6</xdr:col>
          <xdr:colOff>2562225</xdr:colOff>
          <xdr:row>9</xdr:row>
          <xdr:rowOff>314325</xdr:rowOff>
        </xdr:to>
        <xdr:sp macro="" textlink="">
          <xdr:nvSpPr>
            <xdr:cNvPr id="7413" name="CommandButton3" hidden="1">
              <a:extLst>
                <a:ext uri="{63B3BB69-23CF-44E3-9099-C40C66FF867C}">
                  <a14:compatExt spid="_x0000_s7413"/>
                </a:ext>
                <a:ext uri="{FF2B5EF4-FFF2-40B4-BE49-F238E27FC236}">
                  <a16:creationId xmlns:a16="http://schemas.microsoft.com/office/drawing/2014/main" id="{00000000-0008-0000-0200-0000F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10</xdr:row>
          <xdr:rowOff>28575</xdr:rowOff>
        </xdr:from>
        <xdr:to>
          <xdr:col>6</xdr:col>
          <xdr:colOff>2562225</xdr:colOff>
          <xdr:row>10</xdr:row>
          <xdr:rowOff>314325</xdr:rowOff>
        </xdr:to>
        <xdr:sp macro="" textlink="">
          <xdr:nvSpPr>
            <xdr:cNvPr id="7414" name="CommandButton4" hidden="1">
              <a:extLst>
                <a:ext uri="{63B3BB69-23CF-44E3-9099-C40C66FF867C}">
                  <a14:compatExt spid="_x0000_s7414"/>
                </a:ext>
                <a:ext uri="{FF2B5EF4-FFF2-40B4-BE49-F238E27FC236}">
                  <a16:creationId xmlns:a16="http://schemas.microsoft.com/office/drawing/2014/main" id="{00000000-0008-0000-0200-0000F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11</xdr:row>
          <xdr:rowOff>28575</xdr:rowOff>
        </xdr:from>
        <xdr:to>
          <xdr:col>6</xdr:col>
          <xdr:colOff>2562225</xdr:colOff>
          <xdr:row>11</xdr:row>
          <xdr:rowOff>314325</xdr:rowOff>
        </xdr:to>
        <xdr:sp macro="" textlink="">
          <xdr:nvSpPr>
            <xdr:cNvPr id="7415" name="CommandButton5" hidden="1">
              <a:extLst>
                <a:ext uri="{63B3BB69-23CF-44E3-9099-C40C66FF867C}">
                  <a14:compatExt spid="_x0000_s7415"/>
                </a:ext>
                <a:ext uri="{FF2B5EF4-FFF2-40B4-BE49-F238E27FC236}">
                  <a16:creationId xmlns:a16="http://schemas.microsoft.com/office/drawing/2014/main" id="{00000000-0008-0000-0200-0000F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12</xdr:row>
          <xdr:rowOff>28575</xdr:rowOff>
        </xdr:from>
        <xdr:to>
          <xdr:col>6</xdr:col>
          <xdr:colOff>2562225</xdr:colOff>
          <xdr:row>12</xdr:row>
          <xdr:rowOff>314325</xdr:rowOff>
        </xdr:to>
        <xdr:sp macro="" textlink="">
          <xdr:nvSpPr>
            <xdr:cNvPr id="7416" name="CommandButton6" hidden="1">
              <a:extLst>
                <a:ext uri="{63B3BB69-23CF-44E3-9099-C40C66FF867C}">
                  <a14:compatExt spid="_x0000_s7416"/>
                </a:ext>
                <a:ext uri="{FF2B5EF4-FFF2-40B4-BE49-F238E27FC236}">
                  <a16:creationId xmlns:a16="http://schemas.microsoft.com/office/drawing/2014/main" id="{00000000-0008-0000-0200-0000F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13</xdr:row>
          <xdr:rowOff>28575</xdr:rowOff>
        </xdr:from>
        <xdr:to>
          <xdr:col>6</xdr:col>
          <xdr:colOff>2562225</xdr:colOff>
          <xdr:row>13</xdr:row>
          <xdr:rowOff>314325</xdr:rowOff>
        </xdr:to>
        <xdr:sp macro="" textlink="">
          <xdr:nvSpPr>
            <xdr:cNvPr id="7417" name="CommandButton7" hidden="1">
              <a:extLst>
                <a:ext uri="{63B3BB69-23CF-44E3-9099-C40C66FF867C}">
                  <a14:compatExt spid="_x0000_s7417"/>
                </a:ext>
                <a:ext uri="{FF2B5EF4-FFF2-40B4-BE49-F238E27FC236}">
                  <a16:creationId xmlns:a16="http://schemas.microsoft.com/office/drawing/2014/main" id="{00000000-0008-0000-0200-0000F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14</xdr:row>
          <xdr:rowOff>28575</xdr:rowOff>
        </xdr:from>
        <xdr:to>
          <xdr:col>6</xdr:col>
          <xdr:colOff>2562225</xdr:colOff>
          <xdr:row>14</xdr:row>
          <xdr:rowOff>314325</xdr:rowOff>
        </xdr:to>
        <xdr:sp macro="" textlink="">
          <xdr:nvSpPr>
            <xdr:cNvPr id="7418" name="CommandButton8" hidden="1">
              <a:extLst>
                <a:ext uri="{63B3BB69-23CF-44E3-9099-C40C66FF867C}">
                  <a14:compatExt spid="_x0000_s7418"/>
                </a:ext>
                <a:ext uri="{FF2B5EF4-FFF2-40B4-BE49-F238E27FC236}">
                  <a16:creationId xmlns:a16="http://schemas.microsoft.com/office/drawing/2014/main" id="{00000000-0008-0000-0200-0000F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75.072 MGD (53,133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15</xdr:row>
          <xdr:rowOff>9525</xdr:rowOff>
        </xdr:from>
        <xdr:to>
          <xdr:col>6</xdr:col>
          <xdr:colOff>2562225</xdr:colOff>
          <xdr:row>15</xdr:row>
          <xdr:rowOff>295275</xdr:rowOff>
        </xdr:to>
        <xdr:sp macro="" textlink="">
          <xdr:nvSpPr>
            <xdr:cNvPr id="7419" name="cmdClearDesign" hidden="1">
              <a:extLst>
                <a:ext uri="{63B3BB69-23CF-44E3-9099-C40C66FF867C}">
                  <a14:compatExt spid="_x0000_s7419"/>
                </a:ext>
                <a:ext uri="{FF2B5EF4-FFF2-40B4-BE49-F238E27FC236}">
                  <a16:creationId xmlns:a16="http://schemas.microsoft.com/office/drawing/2014/main" id="{00000000-0008-0000-0200-0000F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104775</xdr:colOff>
          <xdr:row>75</xdr:row>
          <xdr:rowOff>38100</xdr:rowOff>
        </xdr:from>
        <xdr:to>
          <xdr:col>4</xdr:col>
          <xdr:colOff>1419225</xdr:colOff>
          <xdr:row>78</xdr:row>
          <xdr:rowOff>123825</xdr:rowOff>
        </xdr:to>
        <xdr:sp macro="" textlink="">
          <xdr:nvSpPr>
            <xdr:cNvPr id="7420" name="cmdAutoSizeA" hidden="1">
              <a:extLst>
                <a:ext uri="{63B3BB69-23CF-44E3-9099-C40C66FF867C}">
                  <a14:compatExt spid="_x0000_s7420"/>
                </a:ext>
                <a:ext uri="{FF2B5EF4-FFF2-40B4-BE49-F238E27FC236}">
                  <a16:creationId xmlns:a16="http://schemas.microsoft.com/office/drawing/2014/main" id="{00000000-0008-0000-0200-0000F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Auto Size Gravity Contactors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105</xdr:row>
          <xdr:rowOff>28575</xdr:rowOff>
        </xdr:from>
        <xdr:to>
          <xdr:col>4</xdr:col>
          <xdr:colOff>1447800</xdr:colOff>
          <xdr:row>108</xdr:row>
          <xdr:rowOff>123825</xdr:rowOff>
        </xdr:to>
        <xdr:sp macro="" textlink="">
          <xdr:nvSpPr>
            <xdr:cNvPr id="7516" name="cmdAutoSize_Filt" hidden="1">
              <a:extLst>
                <a:ext uri="{63B3BB69-23CF-44E3-9099-C40C66FF867C}">
                  <a14:compatExt spid="_x0000_s7516"/>
                </a:ext>
                <a:ext uri="{FF2B5EF4-FFF2-40B4-BE49-F238E27FC236}">
                  <a16:creationId xmlns:a16="http://schemas.microsoft.com/office/drawing/2014/main" id="{00000000-0008-0000-0200-00005C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Auto Size Filter Vessels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85725</xdr:colOff>
          <xdr:row>94</xdr:row>
          <xdr:rowOff>38100</xdr:rowOff>
        </xdr:from>
        <xdr:to>
          <xdr:col>4</xdr:col>
          <xdr:colOff>1466850</xdr:colOff>
          <xdr:row>97</xdr:row>
          <xdr:rowOff>133350</xdr:rowOff>
        </xdr:to>
        <xdr:sp macro="" textlink="">
          <xdr:nvSpPr>
            <xdr:cNvPr id="7554" name="cmdAutoSizeA_Filt" hidden="1">
              <a:extLst>
                <a:ext uri="{63B3BB69-23CF-44E3-9099-C40C66FF867C}">
                  <a14:compatExt spid="_x0000_s7554"/>
                </a:ext>
                <a:ext uri="{FF2B5EF4-FFF2-40B4-BE49-F238E27FC236}">
                  <a16:creationId xmlns:a16="http://schemas.microsoft.com/office/drawing/2014/main" id="{00000000-0008-0000-0200-000082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Auto Size Filter Basins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200025</xdr:rowOff>
        </xdr:from>
        <xdr:to>
          <xdr:col>6</xdr:col>
          <xdr:colOff>2552700</xdr:colOff>
          <xdr:row>2</xdr:row>
          <xdr:rowOff>190500</xdr:rowOff>
        </xdr:to>
        <xdr:sp macro="" textlink="">
          <xdr:nvSpPr>
            <xdr:cNvPr id="7556" name="Drop Down 388" hidden="1">
              <a:extLst>
                <a:ext uri="{63B3BB69-23CF-44E3-9099-C40C66FF867C}">
                  <a14:compatExt spid="_x0000_s7556"/>
                </a:ext>
                <a:ext uri="{FF2B5EF4-FFF2-40B4-BE49-F238E27FC236}">
                  <a16:creationId xmlns:a16="http://schemas.microsoft.com/office/drawing/2014/main" id="{00000000-0008-0000-0200-000084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47625</xdr:rowOff>
        </xdr:from>
        <xdr:to>
          <xdr:col>7</xdr:col>
          <xdr:colOff>2057400</xdr:colOff>
          <xdr:row>1</xdr:row>
          <xdr:rowOff>161925</xdr:rowOff>
        </xdr:to>
        <xdr:sp macro="" textlink="">
          <xdr:nvSpPr>
            <xdr:cNvPr id="7557" name="Button 389" hidden="1">
              <a:extLst>
                <a:ext uri="{63B3BB69-23CF-44E3-9099-C40C66FF867C}">
                  <a14:compatExt spid="_x0000_s7557"/>
                </a:ext>
                <a:ext uri="{FF2B5EF4-FFF2-40B4-BE49-F238E27FC236}">
                  <a16:creationId xmlns:a16="http://schemas.microsoft.com/office/drawing/2014/main" id="{00000000-0008-0000-0200-000085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Get Treatability Data</a:t>
              </a:r>
            </a:p>
          </xdr:txBody>
        </xdr:sp>
        <xdr:clientData fPrintsWithSheet="0"/>
      </xdr:twoCellAnchor>
    </mc:Choice>
    <mc:Fallback/>
  </mc:AlternateContent>
  <xdr:twoCellAnchor editAs="oneCell">
    <xdr:from>
      <xdr:col>6</xdr:col>
      <xdr:colOff>1536000</xdr:colOff>
      <xdr:row>11</xdr:row>
      <xdr:rowOff>218865</xdr:rowOff>
    </xdr:from>
    <xdr:to>
      <xdr:col>6</xdr:col>
      <xdr:colOff>1552560</xdr:colOff>
      <xdr:row>11</xdr:row>
      <xdr:rowOff>225345</xdr:rowOff>
    </xdr:to>
    <mc:AlternateContent xmlns:mc="http://schemas.openxmlformats.org/markup-compatibility/2006">
      <mc:Choice xmlns:xdr14="http://schemas.microsoft.com/office/excel/2010/spreadsheetDrawing" Requires="xdr14">
        <xdr:contentPart xmlns:r="http://schemas.openxmlformats.org/officeDocument/2006/relationships" r:id="rId1">
          <xdr14:nvContentPartPr>
            <xdr14:cNvPr id="2" name="Ink 1">
              <a:extLst>
                <a:ext uri="{FF2B5EF4-FFF2-40B4-BE49-F238E27FC236}">
                  <a16:creationId xmlns:a16="http://schemas.microsoft.com/office/drawing/2014/main" id="{130EDD29-8D79-DFA1-3CA2-F44019295020}"/>
                </a:ext>
              </a:extLst>
            </xdr14:cNvPr>
            <xdr14:cNvContentPartPr/>
          </xdr14:nvContentPartPr>
          <xdr14:nvPr macro=""/>
          <xdr14:xfrm>
            <a:off x="5346000" y="2838240"/>
            <a:ext cx="16560" cy="6480"/>
          </xdr14:xfrm>
        </xdr:contentPart>
      </mc:Choice>
      <mc:Fallback>
        <xdr:pic>
          <xdr:nvPicPr>
            <xdr:cNvPr id="2" name="Ink 1">
              <a:extLst>
                <a:ext uri="{FF2B5EF4-FFF2-40B4-BE49-F238E27FC236}">
                  <a16:creationId xmlns:a16="http://schemas.microsoft.com/office/drawing/2014/main" id="{130EDD29-8D79-DFA1-3CA2-F44019295020}"/>
                </a:ext>
              </a:extLst>
            </xdr:cNvPr>
            <xdr:cNvPicPr/>
          </xdr:nvPicPr>
          <xdr:blipFill>
            <a:blip xmlns:r="http://schemas.openxmlformats.org/officeDocument/2006/relationships" r:embed="rId2"/>
            <a:stretch>
              <a:fillRect/>
            </a:stretch>
          </xdr:blipFill>
          <xdr:spPr>
            <a:xfrm>
              <a:off x="5341680" y="2833920"/>
              <a:ext cx="25200" cy="15120"/>
            </a:xfrm>
            <a:prstGeom prst="rect">
              <a:avLst/>
            </a:prstGeom>
          </xdr:spPr>
        </xdr:pic>
      </mc:Fallback>
    </mc:AlternateContent>
    <xdr:clientData/>
  </xdr:twoCellAnchor>
  <xdr:twoCellAnchor editAs="oneCell">
    <xdr:from>
      <xdr:col>6</xdr:col>
      <xdr:colOff>1122000</xdr:colOff>
      <xdr:row>12</xdr:row>
      <xdr:rowOff>180135</xdr:rowOff>
    </xdr:from>
    <xdr:to>
      <xdr:col>6</xdr:col>
      <xdr:colOff>1146120</xdr:colOff>
      <xdr:row>12</xdr:row>
      <xdr:rowOff>209295</xdr:rowOff>
    </xdr:to>
    <mc:AlternateContent xmlns:mc="http://schemas.openxmlformats.org/markup-compatibility/2006">
      <mc:Choice xmlns:xdr14="http://schemas.microsoft.com/office/excel/2010/spreadsheetDrawing" Requires="xdr14">
        <xdr:contentPart xmlns:r="http://schemas.openxmlformats.org/officeDocument/2006/relationships" r:id="rId3">
          <xdr14:nvContentPartPr>
            <xdr14:cNvPr id="6" name="Ink 5">
              <a:extLst>
                <a:ext uri="{FF2B5EF4-FFF2-40B4-BE49-F238E27FC236}">
                  <a16:creationId xmlns:a16="http://schemas.microsoft.com/office/drawing/2014/main" id="{C0719821-2629-9DB0-FF56-7460036CCECE}"/>
                </a:ext>
              </a:extLst>
            </xdr14:cNvPr>
            <xdr14:cNvContentPartPr/>
          </xdr14:nvContentPartPr>
          <xdr14:nvPr macro=""/>
          <xdr14:xfrm>
            <a:off x="4932000" y="3123360"/>
            <a:ext cx="24120" cy="29160"/>
          </xdr14:xfrm>
        </xdr:contentPart>
      </mc:Choice>
      <mc:Fallback>
        <xdr:pic>
          <xdr:nvPicPr>
            <xdr:cNvPr id="6" name="Ink 5">
              <a:extLst>
                <a:ext uri="{FF2B5EF4-FFF2-40B4-BE49-F238E27FC236}">
                  <a16:creationId xmlns:a16="http://schemas.microsoft.com/office/drawing/2014/main" id="{C0719821-2629-9DB0-FF56-7460036CCECE}"/>
                </a:ext>
              </a:extLst>
            </xdr:cNvPr>
            <xdr:cNvPicPr/>
          </xdr:nvPicPr>
          <xdr:blipFill>
            <a:blip xmlns:r="http://schemas.openxmlformats.org/officeDocument/2006/relationships" r:embed="rId4"/>
            <a:stretch>
              <a:fillRect/>
            </a:stretch>
          </xdr:blipFill>
          <xdr:spPr>
            <a:xfrm>
              <a:off x="4927680" y="3119040"/>
              <a:ext cx="32760" cy="378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2</xdr:row>
          <xdr:rowOff>9525</xdr:rowOff>
        </xdr:from>
        <xdr:to>
          <xdr:col>7</xdr:col>
          <xdr:colOff>514350</xdr:colOff>
          <xdr:row>6</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142875</xdr:colOff>
          <xdr:row>7</xdr:row>
          <xdr:rowOff>0</xdr:rowOff>
        </xdr:from>
        <xdr:to>
          <xdr:col>7</xdr:col>
          <xdr:colOff>485775</xdr:colOff>
          <xdr:row>11</xdr:row>
          <xdr:rowOff>85725</xdr:rowOff>
        </xdr:to>
        <xdr:sp macro="" textlink="">
          <xdr:nvSpPr>
            <xdr:cNvPr id="1073" name="cmdCompSelect"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2</xdr:row>
          <xdr:rowOff>66675</xdr:rowOff>
        </xdr:from>
        <xdr:to>
          <xdr:col>2</xdr:col>
          <xdr:colOff>428625</xdr:colOff>
          <xdr:row>4</xdr:row>
          <xdr:rowOff>38100</xdr:rowOff>
        </xdr:to>
        <xdr:sp macro="" textlink="">
          <xdr:nvSpPr>
            <xdr:cNvPr id="14408" name="cmdFactoryDefaults" hidden="1">
              <a:extLst>
                <a:ext uri="{63B3BB69-23CF-44E3-9099-C40C66FF867C}">
                  <a14:compatExt spid="_x0000_s14408"/>
                </a:ext>
                <a:ext uri="{FF2B5EF4-FFF2-40B4-BE49-F238E27FC236}">
                  <a16:creationId xmlns:a16="http://schemas.microsoft.com/office/drawing/2014/main" id="{00000000-0008-0000-1100-000048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Reset to Defaults</a:t>
              </a:r>
            </a:p>
          </xdr:txBody>
        </xdr:sp>
        <xdr:clientData fPrintsWithSheet="0"/>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3-08T01:26:53.409"/>
    </inkml:context>
    <inkml:brush xml:id="br0">
      <inkml:brushProperty name="width" value="0.025" units="cm"/>
      <inkml:brushProperty name="height" value="0.025" units="cm"/>
    </inkml:brush>
  </inkml:definitions>
  <inkml:trace contextRef="#ctx0" brushRef="#br0">45 1 12150,'0'0'4482,"-40"0"-3986,36 4-464,4 2-10901,4 0 6691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3-08T01:27:05.080"/>
    </inkml:context>
    <inkml:brush xml:id="br0">
      <inkml:brushProperty name="width" value="0.025" units="cm"/>
      <inkml:brushProperty name="height" value="0.025" units="cm"/>
    </inkml:brush>
  </inkml:definitions>
  <inkml:trace contextRef="#ctx0" brushRef="#br0">66 30 13430,'0'0'4866,"-18"6"-4866,18-12-4962,0-7 2033,0 2 1040,0 5-1409</inkml:trace>
  <inkml:trace contextRef="#ctx0" brushRef="#br0" timeOffset="301.97">29 30 9812,'0'0'1857,"0"4"-6979,0-15-1025</inkml:trace>
  <inkml:trace contextRef="#ctx0" brushRef="#br0" timeOffset="519.31">29 30 11637,'28'14'1601,"-44"-1"-592,-1-2-913,8-3 128,2-4-144,0-4-80</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2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AAEAA-9BF2-4AB5-B231-2323E2AF2B0D}">
  <dimension ref="A1:A16"/>
  <sheetViews>
    <sheetView workbookViewId="0">
      <pane ySplit="3" topLeftCell="A4" activePane="bottomLeft" state="frozen"/>
      <selection pane="bottomLeft"/>
    </sheetView>
  </sheetViews>
  <sheetFormatPr defaultRowHeight="12.75" x14ac:dyDescent="0.2"/>
  <cols>
    <col min="1" max="1" width="122.7109375" style="941" customWidth="1"/>
    <col min="2" max="16384" width="9.140625" style="774"/>
  </cols>
  <sheetData>
    <row r="1" spans="1:1" ht="15.95" customHeight="1" x14ac:dyDescent="0.2">
      <c r="A1" s="936" t="s">
        <v>5246</v>
      </c>
    </row>
    <row r="2" spans="1:1" ht="15.95" customHeight="1" x14ac:dyDescent="0.2">
      <c r="A2" s="936" t="s">
        <v>5258</v>
      </c>
    </row>
    <row r="3" spans="1:1" ht="15.95" customHeight="1" x14ac:dyDescent="0.2">
      <c r="A3" s="943" t="s">
        <v>5267</v>
      </c>
    </row>
    <row r="4" spans="1:1" ht="20.100000000000001" customHeight="1" x14ac:dyDescent="0.2">
      <c r="A4" s="937" t="s">
        <v>5247</v>
      </c>
    </row>
    <row r="5" spans="1:1" ht="20.100000000000001" customHeight="1" x14ac:dyDescent="0.2">
      <c r="A5" s="938" t="s">
        <v>5248</v>
      </c>
    </row>
    <row r="6" spans="1:1" ht="20.100000000000001" customHeight="1" x14ac:dyDescent="0.2">
      <c r="A6" s="938" t="s">
        <v>5249</v>
      </c>
    </row>
    <row r="7" spans="1:1" ht="20.100000000000001" customHeight="1" x14ac:dyDescent="0.2">
      <c r="A7" s="938" t="s">
        <v>5250</v>
      </c>
    </row>
    <row r="8" spans="1:1" ht="20.100000000000001" customHeight="1" x14ac:dyDescent="0.2">
      <c r="A8" s="938" t="s">
        <v>5251</v>
      </c>
    </row>
    <row r="9" spans="1:1" ht="33.950000000000003" customHeight="1" x14ac:dyDescent="0.2">
      <c r="A9" s="939" t="s">
        <v>5252</v>
      </c>
    </row>
    <row r="10" spans="1:1" ht="20.100000000000001" customHeight="1" x14ac:dyDescent="0.2">
      <c r="A10" s="938" t="s">
        <v>5253</v>
      </c>
    </row>
    <row r="11" spans="1:1" ht="20.100000000000001" customHeight="1" x14ac:dyDescent="0.2">
      <c r="A11" s="938" t="s">
        <v>5254</v>
      </c>
    </row>
    <row r="12" spans="1:1" ht="20.100000000000001" customHeight="1" x14ac:dyDescent="0.2">
      <c r="A12" s="938" t="s">
        <v>5255</v>
      </c>
    </row>
    <row r="13" spans="1:1" ht="20.100000000000001" customHeight="1" x14ac:dyDescent="0.2">
      <c r="A13" s="938" t="s">
        <v>5256</v>
      </c>
    </row>
    <row r="14" spans="1:1" ht="20.100000000000001" customHeight="1" x14ac:dyDescent="0.2">
      <c r="A14" s="942" t="s">
        <v>5266</v>
      </c>
    </row>
    <row r="15" spans="1:1" ht="20.100000000000001" customHeight="1" x14ac:dyDescent="0.2">
      <c r="A15" s="940" t="s">
        <v>5257</v>
      </c>
    </row>
    <row r="16" spans="1:1" x14ac:dyDescent="0.2">
      <c r="A16" s="938"/>
    </row>
  </sheetData>
  <hyperlinks>
    <hyperlink ref="A15" location="INPUT!A1" display="· To begin using the model, go to the INPUT sheet." xr:uid="{95CE6BD5-0E51-49C3-9860-17273B9A3AB4}"/>
  </hyperlink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36B03-6E94-4B48-8D5E-AE7F8A688726}">
  <sheetPr codeName="Sheet18"/>
  <dimension ref="A1:B485"/>
  <sheetViews>
    <sheetView workbookViewId="0">
      <pane ySplit="4" topLeftCell="A49" activePane="bottomLeft" state="frozen"/>
      <selection pane="bottomLeft"/>
    </sheetView>
  </sheetViews>
  <sheetFormatPr defaultColWidth="9.140625" defaultRowHeight="12.75" x14ac:dyDescent="0.2"/>
  <cols>
    <col min="1" max="1" width="80.7109375" style="917" customWidth="1"/>
    <col min="2" max="2" width="23.7109375" style="917" customWidth="1"/>
    <col min="3" max="16384" width="9.140625" style="917"/>
  </cols>
  <sheetData>
    <row r="1" spans="1:2" x14ac:dyDescent="0.2">
      <c r="A1" s="916" t="s">
        <v>4463</v>
      </c>
    </row>
    <row r="2" spans="1:2" x14ac:dyDescent="0.2">
      <c r="A2" s="918" t="s">
        <v>4464</v>
      </c>
    </row>
    <row r="4" spans="1:2" x14ac:dyDescent="0.2">
      <c r="A4" s="916" t="s">
        <v>4465</v>
      </c>
      <c r="B4" s="916" t="s">
        <v>4466</v>
      </c>
    </row>
    <row r="5" spans="1:2" x14ac:dyDescent="0.2">
      <c r="A5" s="917" t="s">
        <v>3194</v>
      </c>
      <c r="B5" s="592" t="s">
        <v>3195</v>
      </c>
    </row>
    <row r="6" spans="1:2" x14ac:dyDescent="0.2">
      <c r="A6" s="917" t="s">
        <v>3196</v>
      </c>
      <c r="B6" s="592" t="s">
        <v>3197</v>
      </c>
    </row>
    <row r="7" spans="1:2" x14ac:dyDescent="0.2">
      <c r="A7" s="917" t="s">
        <v>273</v>
      </c>
      <c r="B7" s="592" t="s">
        <v>277</v>
      </c>
    </row>
    <row r="8" spans="1:2" x14ac:dyDescent="0.2">
      <c r="A8" s="917" t="s">
        <v>3975</v>
      </c>
      <c r="B8" s="592" t="s">
        <v>3976</v>
      </c>
    </row>
    <row r="9" spans="1:2" x14ac:dyDescent="0.2">
      <c r="A9" s="917" t="s">
        <v>4470</v>
      </c>
      <c r="B9" s="592" t="s">
        <v>1290</v>
      </c>
    </row>
    <row r="10" spans="1:2" x14ac:dyDescent="0.2">
      <c r="A10" s="917" t="s">
        <v>4471</v>
      </c>
      <c r="B10" s="592" t="s">
        <v>4186</v>
      </c>
    </row>
    <row r="11" spans="1:2" x14ac:dyDescent="0.2">
      <c r="A11" s="917" t="s">
        <v>797</v>
      </c>
      <c r="B11" s="592" t="s">
        <v>3236</v>
      </c>
    </row>
    <row r="12" spans="1:2" x14ac:dyDescent="0.2">
      <c r="A12" s="917" t="s">
        <v>3107</v>
      </c>
      <c r="B12" s="592" t="s">
        <v>2881</v>
      </c>
    </row>
    <row r="13" spans="1:2" x14ac:dyDescent="0.2">
      <c r="A13" s="917" t="s">
        <v>3900</v>
      </c>
      <c r="B13" s="592" t="s">
        <v>307</v>
      </c>
    </row>
    <row r="14" spans="1:2" x14ac:dyDescent="0.2">
      <c r="A14" s="917" t="s">
        <v>1990</v>
      </c>
      <c r="B14" s="592" t="s">
        <v>1991</v>
      </c>
    </row>
    <row r="15" spans="1:2" x14ac:dyDescent="0.2">
      <c r="A15" s="917" t="s">
        <v>4050</v>
      </c>
      <c r="B15" s="592" t="s">
        <v>4051</v>
      </c>
    </row>
    <row r="16" spans="1:2" x14ac:dyDescent="0.2">
      <c r="A16" s="917" t="s">
        <v>1351</v>
      </c>
      <c r="B16" s="592" t="s">
        <v>1352</v>
      </c>
    </row>
    <row r="17" spans="1:2" x14ac:dyDescent="0.2">
      <c r="A17" s="917" t="s">
        <v>3470</v>
      </c>
      <c r="B17" s="592" t="s">
        <v>3471</v>
      </c>
    </row>
    <row r="18" spans="1:2" x14ac:dyDescent="0.2">
      <c r="A18" s="917" t="s">
        <v>1584</v>
      </c>
      <c r="B18" s="592" t="s">
        <v>1675</v>
      </c>
    </row>
    <row r="19" spans="1:2" x14ac:dyDescent="0.2">
      <c r="A19" s="917" t="s">
        <v>2804</v>
      </c>
      <c r="B19" s="592" t="s">
        <v>2806</v>
      </c>
    </row>
    <row r="20" spans="1:2" x14ac:dyDescent="0.2">
      <c r="A20" s="917" t="s">
        <v>2803</v>
      </c>
      <c r="B20" s="592" t="s">
        <v>2805</v>
      </c>
    </row>
    <row r="21" spans="1:2" x14ac:dyDescent="0.2">
      <c r="A21" s="917" t="s">
        <v>1889</v>
      </c>
      <c r="B21" s="592" t="s">
        <v>1890</v>
      </c>
    </row>
    <row r="22" spans="1:2" x14ac:dyDescent="0.2">
      <c r="A22" s="917" t="s">
        <v>3910</v>
      </c>
      <c r="B22" s="592" t="s">
        <v>3911</v>
      </c>
    </row>
    <row r="23" spans="1:2" x14ac:dyDescent="0.2">
      <c r="A23" s="917" t="s">
        <v>3909</v>
      </c>
      <c r="B23" s="592" t="s">
        <v>3435</v>
      </c>
    </row>
    <row r="24" spans="1:2" x14ac:dyDescent="0.2">
      <c r="A24" s="917" t="s">
        <v>1646</v>
      </c>
      <c r="B24" s="592" t="s">
        <v>1647</v>
      </c>
    </row>
    <row r="25" spans="1:2" x14ac:dyDescent="0.2">
      <c r="A25" s="917" t="s">
        <v>278</v>
      </c>
      <c r="B25" s="592" t="s">
        <v>1792</v>
      </c>
    </row>
    <row r="26" spans="1:2" x14ac:dyDescent="0.2">
      <c r="A26" s="917" t="s">
        <v>3124</v>
      </c>
      <c r="B26" s="592" t="s">
        <v>2363</v>
      </c>
    </row>
    <row r="27" spans="1:2" x14ac:dyDescent="0.2">
      <c r="A27" s="917" t="s">
        <v>1685</v>
      </c>
      <c r="B27" s="592" t="s">
        <v>1686</v>
      </c>
    </row>
    <row r="28" spans="1:2" x14ac:dyDescent="0.2">
      <c r="A28" s="917" t="s">
        <v>205</v>
      </c>
      <c r="B28" s="592" t="s">
        <v>206</v>
      </c>
    </row>
    <row r="29" spans="1:2" x14ac:dyDescent="0.2">
      <c r="A29" s="917" t="s">
        <v>2137</v>
      </c>
      <c r="B29" s="592" t="s">
        <v>2138</v>
      </c>
    </row>
    <row r="30" spans="1:2" x14ac:dyDescent="0.2">
      <c r="A30" s="917" t="s">
        <v>2712</v>
      </c>
      <c r="B30" s="592" t="s">
        <v>2713</v>
      </c>
    </row>
    <row r="31" spans="1:2" x14ac:dyDescent="0.2">
      <c r="A31" s="917" t="s">
        <v>3710</v>
      </c>
      <c r="B31" s="592" t="s">
        <v>3711</v>
      </c>
    </row>
    <row r="32" spans="1:2" x14ac:dyDescent="0.2">
      <c r="A32" s="917" t="s">
        <v>1432</v>
      </c>
      <c r="B32" s="592" t="s">
        <v>1433</v>
      </c>
    </row>
    <row r="33" spans="1:2" x14ac:dyDescent="0.2">
      <c r="A33" s="917" t="s">
        <v>3713</v>
      </c>
      <c r="B33" s="592" t="s">
        <v>3714</v>
      </c>
    </row>
    <row r="34" spans="1:2" x14ac:dyDescent="0.2">
      <c r="A34" s="917" t="s">
        <v>3276</v>
      </c>
      <c r="B34" s="592" t="s">
        <v>3277</v>
      </c>
    </row>
    <row r="35" spans="1:2" x14ac:dyDescent="0.2">
      <c r="A35" s="917" t="s">
        <v>3283</v>
      </c>
      <c r="B35" s="592" t="s">
        <v>3284</v>
      </c>
    </row>
    <row r="36" spans="1:2" x14ac:dyDescent="0.2">
      <c r="A36" s="917" t="s">
        <v>1668</v>
      </c>
      <c r="B36" s="592" t="s">
        <v>602</v>
      </c>
    </row>
    <row r="37" spans="1:2" x14ac:dyDescent="0.2">
      <c r="A37" s="917" t="s">
        <v>4445</v>
      </c>
      <c r="B37" s="592" t="s">
        <v>4446</v>
      </c>
    </row>
    <row r="38" spans="1:2" x14ac:dyDescent="0.2">
      <c r="A38" s="917" t="s">
        <v>1829</v>
      </c>
      <c r="B38" s="592" t="s">
        <v>1830</v>
      </c>
    </row>
    <row r="39" spans="1:2" x14ac:dyDescent="0.2">
      <c r="A39" s="917" t="s">
        <v>1860</v>
      </c>
      <c r="B39" s="592" t="s">
        <v>1861</v>
      </c>
    </row>
    <row r="40" spans="1:2" x14ac:dyDescent="0.2">
      <c r="A40" s="917" t="s">
        <v>239</v>
      </c>
      <c r="B40" s="592" t="s">
        <v>240</v>
      </c>
    </row>
    <row r="41" spans="1:2" x14ac:dyDescent="0.2">
      <c r="A41" s="917" t="s">
        <v>239</v>
      </c>
      <c r="B41" s="592" t="s">
        <v>171</v>
      </c>
    </row>
    <row r="42" spans="1:2" x14ac:dyDescent="0.2">
      <c r="A42" s="917" t="s">
        <v>2709</v>
      </c>
      <c r="B42" s="592" t="s">
        <v>175</v>
      </c>
    </row>
    <row r="43" spans="1:2" x14ac:dyDescent="0.2">
      <c r="A43" s="917" t="s">
        <v>2711</v>
      </c>
      <c r="B43" s="592" t="s">
        <v>176</v>
      </c>
    </row>
    <row r="44" spans="1:2" x14ac:dyDescent="0.2">
      <c r="A44" s="917" t="s">
        <v>2710</v>
      </c>
      <c r="B44" s="592" t="s">
        <v>169</v>
      </c>
    </row>
    <row r="45" spans="1:2" x14ac:dyDescent="0.2">
      <c r="A45" s="917" t="s">
        <v>4468</v>
      </c>
      <c r="B45" s="592" t="s">
        <v>607</v>
      </c>
    </row>
    <row r="46" spans="1:2" x14ac:dyDescent="0.2">
      <c r="A46" s="917" t="s">
        <v>1284</v>
      </c>
      <c r="B46" s="592" t="s">
        <v>608</v>
      </c>
    </row>
    <row r="47" spans="1:2" x14ac:dyDescent="0.2">
      <c r="A47" s="917" t="s">
        <v>1284</v>
      </c>
      <c r="B47" s="592" t="s">
        <v>172</v>
      </c>
    </row>
    <row r="48" spans="1:2" x14ac:dyDescent="0.2">
      <c r="A48" s="917" t="s">
        <v>224</v>
      </c>
      <c r="B48" s="592" t="s">
        <v>225</v>
      </c>
    </row>
    <row r="49" spans="1:2" x14ac:dyDescent="0.2">
      <c r="A49" s="917" t="s">
        <v>226</v>
      </c>
      <c r="B49" s="592" t="s">
        <v>227</v>
      </c>
    </row>
    <row r="50" spans="1:2" x14ac:dyDescent="0.2">
      <c r="A50" s="917" t="s">
        <v>3117</v>
      </c>
      <c r="B50" s="592" t="s">
        <v>2417</v>
      </c>
    </row>
    <row r="51" spans="1:2" x14ac:dyDescent="0.2">
      <c r="A51" s="917" t="s">
        <v>279</v>
      </c>
      <c r="B51" s="592" t="s">
        <v>280</v>
      </c>
    </row>
    <row r="52" spans="1:2" x14ac:dyDescent="0.2">
      <c r="A52" s="917" t="s">
        <v>1926</v>
      </c>
      <c r="B52" s="592" t="s">
        <v>2763</v>
      </c>
    </row>
    <row r="53" spans="1:2" x14ac:dyDescent="0.2">
      <c r="A53" s="917" t="s">
        <v>1925</v>
      </c>
      <c r="B53" s="592" t="s">
        <v>2762</v>
      </c>
    </row>
    <row r="54" spans="1:2" x14ac:dyDescent="0.2">
      <c r="A54" s="917" t="s">
        <v>310</v>
      </c>
      <c r="B54" s="592" t="s">
        <v>311</v>
      </c>
    </row>
    <row r="55" spans="1:2" x14ac:dyDescent="0.2">
      <c r="A55" s="917" t="s">
        <v>314</v>
      </c>
      <c r="B55" s="592" t="s">
        <v>2349</v>
      </c>
    </row>
    <row r="56" spans="1:2" x14ac:dyDescent="0.2">
      <c r="A56" s="917" t="s">
        <v>1854</v>
      </c>
      <c r="B56" s="592" t="s">
        <v>1855</v>
      </c>
    </row>
    <row r="57" spans="1:2" x14ac:dyDescent="0.2">
      <c r="A57" s="917" t="s">
        <v>1858</v>
      </c>
      <c r="B57" s="592" t="s">
        <v>1859</v>
      </c>
    </row>
    <row r="58" spans="1:2" x14ac:dyDescent="0.2">
      <c r="A58" s="917" t="s">
        <v>1856</v>
      </c>
      <c r="B58" s="592" t="s">
        <v>1857</v>
      </c>
    </row>
    <row r="59" spans="1:2" x14ac:dyDescent="0.2">
      <c r="A59" s="917" t="s">
        <v>1609</v>
      </c>
      <c r="B59" s="592" t="s">
        <v>1610</v>
      </c>
    </row>
    <row r="60" spans="1:2" x14ac:dyDescent="0.2">
      <c r="A60" s="917" t="s">
        <v>1611</v>
      </c>
      <c r="B60" s="592" t="s">
        <v>1612</v>
      </c>
    </row>
    <row r="61" spans="1:2" x14ac:dyDescent="0.2">
      <c r="A61" s="917" t="s">
        <v>1740</v>
      </c>
      <c r="B61" s="592" t="s">
        <v>1741</v>
      </c>
    </row>
    <row r="62" spans="1:2" x14ac:dyDescent="0.2">
      <c r="A62" s="917" t="s">
        <v>4459</v>
      </c>
      <c r="B62" s="592" t="s">
        <v>4460</v>
      </c>
    </row>
    <row r="63" spans="1:2" x14ac:dyDescent="0.2">
      <c r="A63" s="917" t="s">
        <v>4447</v>
      </c>
      <c r="B63" s="592" t="s">
        <v>4448</v>
      </c>
    </row>
    <row r="64" spans="1:2" x14ac:dyDescent="0.2">
      <c r="A64" s="917" t="s">
        <v>4057</v>
      </c>
      <c r="B64" s="592" t="s">
        <v>4058</v>
      </c>
    </row>
    <row r="65" spans="1:2" x14ac:dyDescent="0.2">
      <c r="A65" s="917" t="s">
        <v>1994</v>
      </c>
      <c r="B65" s="592" t="s">
        <v>1995</v>
      </c>
    </row>
    <row r="66" spans="1:2" x14ac:dyDescent="0.2">
      <c r="A66" s="919" t="s">
        <v>4483</v>
      </c>
      <c r="B66" s="592" t="s">
        <v>4484</v>
      </c>
    </row>
    <row r="67" spans="1:2" x14ac:dyDescent="0.2">
      <c r="A67" s="917" t="s">
        <v>633</v>
      </c>
      <c r="B67" s="592" t="s">
        <v>1581</v>
      </c>
    </row>
    <row r="68" spans="1:2" x14ac:dyDescent="0.2">
      <c r="A68" s="917" t="s">
        <v>2505</v>
      </c>
      <c r="B68" s="592" t="s">
        <v>2506</v>
      </c>
    </row>
    <row r="69" spans="1:2" x14ac:dyDescent="0.2">
      <c r="A69" s="917" t="s">
        <v>336</v>
      </c>
      <c r="B69" s="592" t="s">
        <v>335</v>
      </c>
    </row>
    <row r="70" spans="1:2" x14ac:dyDescent="0.2">
      <c r="A70" s="917" t="s">
        <v>359</v>
      </c>
      <c r="B70" s="592" t="s">
        <v>360</v>
      </c>
    </row>
    <row r="71" spans="1:2" x14ac:dyDescent="0.2">
      <c r="A71" s="917" t="s">
        <v>346</v>
      </c>
      <c r="B71" s="592" t="s">
        <v>337</v>
      </c>
    </row>
    <row r="72" spans="1:2" x14ac:dyDescent="0.2">
      <c r="A72" s="917" t="s">
        <v>4194</v>
      </c>
      <c r="B72" s="592" t="s">
        <v>4195</v>
      </c>
    </row>
    <row r="73" spans="1:2" x14ac:dyDescent="0.2">
      <c r="A73" s="917" t="s">
        <v>4190</v>
      </c>
      <c r="B73" s="592" t="s">
        <v>343</v>
      </c>
    </row>
    <row r="74" spans="1:2" x14ac:dyDescent="0.2">
      <c r="A74" s="917" t="s">
        <v>220</v>
      </c>
      <c r="B74" s="592" t="s">
        <v>221</v>
      </c>
    </row>
    <row r="75" spans="1:2" x14ac:dyDescent="0.2">
      <c r="A75" s="917" t="s">
        <v>4473</v>
      </c>
      <c r="B75" s="592" t="s">
        <v>552</v>
      </c>
    </row>
    <row r="76" spans="1:2" x14ac:dyDescent="0.2">
      <c r="A76" s="917" t="s">
        <v>1700</v>
      </c>
      <c r="B76" s="592" t="s">
        <v>1701</v>
      </c>
    </row>
    <row r="77" spans="1:2" x14ac:dyDescent="0.2">
      <c r="A77" s="917" t="s">
        <v>1702</v>
      </c>
      <c r="B77" s="592" t="s">
        <v>1703</v>
      </c>
    </row>
    <row r="78" spans="1:2" x14ac:dyDescent="0.2">
      <c r="A78" s="917" t="s">
        <v>259</v>
      </c>
      <c r="B78" s="592" t="s">
        <v>260</v>
      </c>
    </row>
    <row r="79" spans="1:2" x14ac:dyDescent="0.2">
      <c r="A79" s="919" t="s">
        <v>4481</v>
      </c>
      <c r="B79" s="592" t="s">
        <v>2503</v>
      </c>
    </row>
    <row r="80" spans="1:2" x14ac:dyDescent="0.2">
      <c r="A80" s="919" t="s">
        <v>4482</v>
      </c>
      <c r="B80" s="592" t="s">
        <v>2504</v>
      </c>
    </row>
    <row r="81" spans="1:2" x14ac:dyDescent="0.2">
      <c r="A81" s="917" t="s">
        <v>2521</v>
      </c>
      <c r="B81" s="592" t="s">
        <v>2522</v>
      </c>
    </row>
    <row r="82" spans="1:2" x14ac:dyDescent="0.2">
      <c r="A82" s="917" t="s">
        <v>2449</v>
      </c>
      <c r="B82" s="592" t="s">
        <v>1464</v>
      </c>
    </row>
    <row r="83" spans="1:2" x14ac:dyDescent="0.2">
      <c r="A83" s="917" t="s">
        <v>319</v>
      </c>
      <c r="B83" s="592" t="s">
        <v>2350</v>
      </c>
    </row>
    <row r="84" spans="1:2" x14ac:dyDescent="0.2">
      <c r="A84" s="917" t="s">
        <v>4027</v>
      </c>
      <c r="B84" s="592" t="s">
        <v>1795</v>
      </c>
    </row>
    <row r="85" spans="1:2" x14ac:dyDescent="0.2">
      <c r="A85" s="917" t="s">
        <v>4024</v>
      </c>
      <c r="B85" s="592" t="s">
        <v>102</v>
      </c>
    </row>
    <row r="86" spans="1:2" x14ac:dyDescent="0.2">
      <c r="A86" s="917" t="s">
        <v>1847</v>
      </c>
      <c r="B86" s="592" t="s">
        <v>1341</v>
      </c>
    </row>
    <row r="87" spans="1:2" x14ac:dyDescent="0.2">
      <c r="A87" s="917" t="s">
        <v>3285</v>
      </c>
      <c r="B87" s="592" t="s">
        <v>3286</v>
      </c>
    </row>
    <row r="88" spans="1:2" x14ac:dyDescent="0.2">
      <c r="A88" s="917" t="s">
        <v>625</v>
      </c>
      <c r="B88" s="592" t="s">
        <v>626</v>
      </c>
    </row>
    <row r="89" spans="1:2" x14ac:dyDescent="0.2">
      <c r="A89" s="917" t="s">
        <v>700</v>
      </c>
      <c r="B89" s="592" t="s">
        <v>699</v>
      </c>
    </row>
    <row r="90" spans="1:2" x14ac:dyDescent="0.2">
      <c r="A90" s="917" t="s">
        <v>1667</v>
      </c>
      <c r="B90" s="592" t="s">
        <v>598</v>
      </c>
    </row>
    <row r="91" spans="1:2" x14ac:dyDescent="0.2">
      <c r="A91" s="917" t="s">
        <v>297</v>
      </c>
      <c r="B91" s="592" t="s">
        <v>298</v>
      </c>
    </row>
    <row r="92" spans="1:2" x14ac:dyDescent="0.2">
      <c r="A92" s="917" t="s">
        <v>2460</v>
      </c>
      <c r="B92" s="592" t="s">
        <v>3361</v>
      </c>
    </row>
    <row r="93" spans="1:2" x14ac:dyDescent="0.2">
      <c r="A93" s="917" t="s">
        <v>97</v>
      </c>
      <c r="B93" s="592" t="s">
        <v>98</v>
      </c>
    </row>
    <row r="94" spans="1:2" x14ac:dyDescent="0.2">
      <c r="A94" s="917" t="s">
        <v>728</v>
      </c>
      <c r="B94" s="592" t="s">
        <v>729</v>
      </c>
    </row>
    <row r="95" spans="1:2" x14ac:dyDescent="0.2">
      <c r="A95" s="917" t="s">
        <v>1848</v>
      </c>
      <c r="B95" s="592" t="s">
        <v>3696</v>
      </c>
    </row>
    <row r="96" spans="1:2" x14ac:dyDescent="0.2">
      <c r="A96" s="917" t="s">
        <v>536</v>
      </c>
      <c r="B96" s="592" t="s">
        <v>6</v>
      </c>
    </row>
    <row r="97" spans="1:2" x14ac:dyDescent="0.2">
      <c r="A97" s="917" t="s">
        <v>2528</v>
      </c>
      <c r="B97" s="592" t="s">
        <v>5</v>
      </c>
    </row>
    <row r="98" spans="1:2" x14ac:dyDescent="0.2">
      <c r="A98" s="917" t="s">
        <v>1962</v>
      </c>
      <c r="B98" s="592" t="s">
        <v>1963</v>
      </c>
    </row>
    <row r="99" spans="1:2" x14ac:dyDescent="0.2">
      <c r="A99" s="917" t="s">
        <v>2529</v>
      </c>
      <c r="B99" s="592" t="s">
        <v>7</v>
      </c>
    </row>
    <row r="100" spans="1:2" x14ac:dyDescent="0.2">
      <c r="A100" s="917" t="s">
        <v>2001</v>
      </c>
      <c r="B100" s="592" t="s">
        <v>8</v>
      </c>
    </row>
    <row r="101" spans="1:2" x14ac:dyDescent="0.2">
      <c r="A101" s="917" t="s">
        <v>2788</v>
      </c>
      <c r="B101" s="592" t="s">
        <v>2789</v>
      </c>
    </row>
    <row r="102" spans="1:2" x14ac:dyDescent="0.2">
      <c r="A102" s="917" t="s">
        <v>1849</v>
      </c>
      <c r="B102" s="592" t="s">
        <v>3701</v>
      </c>
    </row>
    <row r="103" spans="1:2" x14ac:dyDescent="0.2">
      <c r="A103" s="917" t="s">
        <v>2708</v>
      </c>
      <c r="B103" s="592" t="s">
        <v>168</v>
      </c>
    </row>
    <row r="104" spans="1:2" x14ac:dyDescent="0.2">
      <c r="A104" s="917" t="s">
        <v>2523</v>
      </c>
      <c r="B104" s="592" t="s">
        <v>2524</v>
      </c>
    </row>
    <row r="105" spans="1:2" x14ac:dyDescent="0.2">
      <c r="A105" s="917" t="s">
        <v>1403</v>
      </c>
      <c r="B105" s="592" t="s">
        <v>1404</v>
      </c>
    </row>
    <row r="106" spans="1:2" x14ac:dyDescent="0.2">
      <c r="A106" s="917" t="s">
        <v>3116</v>
      </c>
      <c r="B106" s="592" t="s">
        <v>3201</v>
      </c>
    </row>
    <row r="107" spans="1:2" x14ac:dyDescent="0.2">
      <c r="A107" s="917" t="s">
        <v>3115</v>
      </c>
      <c r="B107" s="592" t="s">
        <v>1797</v>
      </c>
    </row>
    <row r="108" spans="1:2" x14ac:dyDescent="0.2">
      <c r="A108" s="917" t="s">
        <v>1414</v>
      </c>
      <c r="B108" s="592" t="s">
        <v>1415</v>
      </c>
    </row>
    <row r="109" spans="1:2" x14ac:dyDescent="0.2">
      <c r="A109" s="917" t="s">
        <v>1412</v>
      </c>
      <c r="B109" s="592" t="s">
        <v>1413</v>
      </c>
    </row>
    <row r="110" spans="1:2" x14ac:dyDescent="0.2">
      <c r="A110" s="917" t="s">
        <v>1409</v>
      </c>
      <c r="B110" s="592" t="s">
        <v>1410</v>
      </c>
    </row>
    <row r="111" spans="1:2" x14ac:dyDescent="0.2">
      <c r="A111" s="917" t="s">
        <v>274</v>
      </c>
      <c r="B111" s="592" t="s">
        <v>276</v>
      </c>
    </row>
    <row r="112" spans="1:2" x14ac:dyDescent="0.2">
      <c r="A112" s="917" t="s">
        <v>1513</v>
      </c>
      <c r="B112" s="592" t="s">
        <v>1489</v>
      </c>
    </row>
    <row r="113" spans="1:2" x14ac:dyDescent="0.2">
      <c r="A113" s="917" t="s">
        <v>1271</v>
      </c>
      <c r="B113" s="592" t="s">
        <v>1272</v>
      </c>
    </row>
    <row r="114" spans="1:2" x14ac:dyDescent="0.2">
      <c r="A114" s="917" t="s">
        <v>1259</v>
      </c>
      <c r="B114" s="592" t="s">
        <v>1260</v>
      </c>
    </row>
    <row r="115" spans="1:2" x14ac:dyDescent="0.2">
      <c r="A115" s="917" t="s">
        <v>3288</v>
      </c>
      <c r="B115" s="592" t="s">
        <v>3289</v>
      </c>
    </row>
    <row r="116" spans="1:2" x14ac:dyDescent="0.2">
      <c r="A116" s="917" t="s">
        <v>1269</v>
      </c>
      <c r="B116" s="592" t="s">
        <v>1270</v>
      </c>
    </row>
    <row r="117" spans="1:2" x14ac:dyDescent="0.2">
      <c r="A117" s="917" t="s">
        <v>1265</v>
      </c>
      <c r="B117" s="592" t="s">
        <v>1266</v>
      </c>
    </row>
    <row r="118" spans="1:2" x14ac:dyDescent="0.2">
      <c r="A118" s="917" t="s">
        <v>3280</v>
      </c>
      <c r="B118" s="592" t="s">
        <v>3281</v>
      </c>
    </row>
    <row r="119" spans="1:2" x14ac:dyDescent="0.2">
      <c r="A119" s="917" t="s">
        <v>740</v>
      </c>
      <c r="B119" s="592" t="s">
        <v>3239</v>
      </c>
    </row>
    <row r="120" spans="1:2" x14ac:dyDescent="0.2">
      <c r="A120" s="917" t="s">
        <v>741</v>
      </c>
      <c r="B120" s="592" t="s">
        <v>3241</v>
      </c>
    </row>
    <row r="121" spans="1:2" x14ac:dyDescent="0.2">
      <c r="A121" s="917" t="s">
        <v>4192</v>
      </c>
      <c r="B121" s="592" t="s">
        <v>4193</v>
      </c>
    </row>
    <row r="122" spans="1:2" x14ac:dyDescent="0.2">
      <c r="A122" s="917" t="s">
        <v>4191</v>
      </c>
      <c r="B122" s="592" t="s">
        <v>3240</v>
      </c>
    </row>
    <row r="123" spans="1:2" x14ac:dyDescent="0.2">
      <c r="A123" s="917" t="s">
        <v>1928</v>
      </c>
      <c r="B123" s="592" t="s">
        <v>1929</v>
      </c>
    </row>
    <row r="124" spans="1:2" x14ac:dyDescent="0.2">
      <c r="A124" s="917" t="s">
        <v>3099</v>
      </c>
      <c r="B124" s="592" t="s">
        <v>3097</v>
      </c>
    </row>
    <row r="125" spans="1:2" x14ac:dyDescent="0.2">
      <c r="A125" s="917" t="s">
        <v>3098</v>
      </c>
      <c r="B125" s="592" t="s">
        <v>3096</v>
      </c>
    </row>
    <row r="126" spans="1:2" x14ac:dyDescent="0.2">
      <c r="A126" s="917" t="s">
        <v>1927</v>
      </c>
      <c r="B126" s="592" t="s">
        <v>1930</v>
      </c>
    </row>
    <row r="127" spans="1:2" x14ac:dyDescent="0.2">
      <c r="A127" s="917" t="s">
        <v>803</v>
      </c>
      <c r="B127" s="592" t="s">
        <v>804</v>
      </c>
    </row>
    <row r="128" spans="1:2" x14ac:dyDescent="0.2">
      <c r="A128" s="917" t="s">
        <v>3418</v>
      </c>
      <c r="B128" s="592" t="s">
        <v>3419</v>
      </c>
    </row>
    <row r="129" spans="1:2" x14ac:dyDescent="0.2">
      <c r="A129" s="917" t="s">
        <v>1199</v>
      </c>
      <c r="B129" s="592" t="s">
        <v>3584</v>
      </c>
    </row>
    <row r="130" spans="1:2" x14ac:dyDescent="0.2">
      <c r="A130" s="917" t="s">
        <v>3480</v>
      </c>
      <c r="B130" s="592" t="s">
        <v>399</v>
      </c>
    </row>
    <row r="131" spans="1:2" x14ac:dyDescent="0.2">
      <c r="A131" s="917" t="s">
        <v>4414</v>
      </c>
      <c r="B131" s="592" t="s">
        <v>3327</v>
      </c>
    </row>
    <row r="132" spans="1:2" x14ac:dyDescent="0.2">
      <c r="A132" s="917" t="s">
        <v>3479</v>
      </c>
      <c r="B132" s="592" t="s">
        <v>3329</v>
      </c>
    </row>
    <row r="133" spans="1:2" x14ac:dyDescent="0.2">
      <c r="A133" s="917" t="s">
        <v>3702</v>
      </c>
      <c r="B133" s="592" t="s">
        <v>3703</v>
      </c>
    </row>
    <row r="134" spans="1:2" x14ac:dyDescent="0.2">
      <c r="A134" s="917" t="s">
        <v>1719</v>
      </c>
      <c r="B134" s="592" t="s">
        <v>1720</v>
      </c>
    </row>
    <row r="135" spans="1:2" x14ac:dyDescent="0.2">
      <c r="A135" s="917" t="s">
        <v>22</v>
      </c>
      <c r="B135" s="592" t="s">
        <v>1710</v>
      </c>
    </row>
    <row r="136" spans="1:2" x14ac:dyDescent="0.2">
      <c r="A136" s="917" t="s">
        <v>1712</v>
      </c>
      <c r="B136" s="592" t="s">
        <v>1713</v>
      </c>
    </row>
    <row r="137" spans="1:2" x14ac:dyDescent="0.2">
      <c r="A137" s="917" t="s">
        <v>1715</v>
      </c>
      <c r="B137" s="592" t="s">
        <v>1716</v>
      </c>
    </row>
    <row r="138" spans="1:2" x14ac:dyDescent="0.2">
      <c r="A138" s="917" t="s">
        <v>2700</v>
      </c>
      <c r="B138" s="592" t="s">
        <v>2701</v>
      </c>
    </row>
    <row r="139" spans="1:2" x14ac:dyDescent="0.2">
      <c r="A139" s="917" t="s">
        <v>2706</v>
      </c>
      <c r="B139" s="592" t="s">
        <v>2707</v>
      </c>
    </row>
    <row r="140" spans="1:2" x14ac:dyDescent="0.2">
      <c r="A140" s="917" t="s">
        <v>2704</v>
      </c>
      <c r="B140" s="592" t="s">
        <v>2705</v>
      </c>
    </row>
    <row r="141" spans="1:2" x14ac:dyDescent="0.2">
      <c r="A141" s="917" t="s">
        <v>2702</v>
      </c>
      <c r="B141" s="592" t="s">
        <v>2703</v>
      </c>
    </row>
    <row r="142" spans="1:2" x14ac:dyDescent="0.2">
      <c r="A142" s="917" t="s">
        <v>2403</v>
      </c>
      <c r="B142" s="592" t="s">
        <v>1697</v>
      </c>
    </row>
    <row r="143" spans="1:2" x14ac:dyDescent="0.2">
      <c r="A143" s="917" t="s">
        <v>2399</v>
      </c>
      <c r="B143" s="592" t="s">
        <v>2396</v>
      </c>
    </row>
    <row r="144" spans="1:2" x14ac:dyDescent="0.2">
      <c r="A144" s="917" t="s">
        <v>2400</v>
      </c>
      <c r="B144" s="592" t="s">
        <v>431</v>
      </c>
    </row>
    <row r="145" spans="1:2" x14ac:dyDescent="0.2">
      <c r="A145" s="917" t="s">
        <v>211</v>
      </c>
      <c r="B145" s="592" t="s">
        <v>212</v>
      </c>
    </row>
    <row r="146" spans="1:2" x14ac:dyDescent="0.2">
      <c r="A146" s="917" t="s">
        <v>268</v>
      </c>
      <c r="B146" s="592" t="s">
        <v>269</v>
      </c>
    </row>
    <row r="147" spans="1:2" x14ac:dyDescent="0.2">
      <c r="A147" s="917" t="s">
        <v>2715</v>
      </c>
      <c r="B147" s="592" t="s">
        <v>2716</v>
      </c>
    </row>
    <row r="148" spans="1:2" x14ac:dyDescent="0.2">
      <c r="A148" s="917" t="s">
        <v>3332</v>
      </c>
      <c r="B148" s="592" t="s">
        <v>3333</v>
      </c>
    </row>
    <row r="149" spans="1:2" x14ac:dyDescent="0.2">
      <c r="A149" s="917" t="s">
        <v>1891</v>
      </c>
      <c r="B149" s="592" t="s">
        <v>1892</v>
      </c>
    </row>
    <row r="150" spans="1:2" x14ac:dyDescent="0.2">
      <c r="A150" s="917" t="s">
        <v>2525</v>
      </c>
      <c r="B150" s="592" t="s">
        <v>2526</v>
      </c>
    </row>
    <row r="151" spans="1:2" x14ac:dyDescent="0.2">
      <c r="A151" s="917" t="s">
        <v>1257</v>
      </c>
      <c r="B151" s="592" t="s">
        <v>2756</v>
      </c>
    </row>
    <row r="152" spans="1:2" x14ac:dyDescent="0.2">
      <c r="A152" s="919" t="s">
        <v>4479</v>
      </c>
      <c r="B152" s="592" t="s">
        <v>2497</v>
      </c>
    </row>
    <row r="153" spans="1:2" x14ac:dyDescent="0.2">
      <c r="A153" s="919" t="s">
        <v>4480</v>
      </c>
      <c r="B153" s="592" t="s">
        <v>2501</v>
      </c>
    </row>
    <row r="154" spans="1:2" x14ac:dyDescent="0.2">
      <c r="A154" s="917" t="s">
        <v>207</v>
      </c>
      <c r="B154" s="592" t="s">
        <v>2519</v>
      </c>
    </row>
    <row r="155" spans="1:2" x14ac:dyDescent="0.2">
      <c r="A155" s="917" t="s">
        <v>4469</v>
      </c>
      <c r="B155" s="592" t="s">
        <v>3360</v>
      </c>
    </row>
    <row r="156" spans="1:2" x14ac:dyDescent="0.2">
      <c r="A156" s="917" t="s">
        <v>2688</v>
      </c>
      <c r="B156" s="592" t="s">
        <v>2689</v>
      </c>
    </row>
    <row r="157" spans="1:2" x14ac:dyDescent="0.2">
      <c r="A157" s="917" t="s">
        <v>1845</v>
      </c>
      <c r="B157" s="592" t="s">
        <v>2023</v>
      </c>
    </row>
    <row r="158" spans="1:2" x14ac:dyDescent="0.2">
      <c r="A158" s="917" t="s">
        <v>3704</v>
      </c>
      <c r="B158" s="592" t="s">
        <v>3705</v>
      </c>
    </row>
    <row r="159" spans="1:2" x14ac:dyDescent="0.2">
      <c r="A159" s="917" t="s">
        <v>628</v>
      </c>
      <c r="B159" s="592" t="s">
        <v>629</v>
      </c>
    </row>
    <row r="160" spans="1:2" x14ac:dyDescent="0.2">
      <c r="A160" s="917" t="s">
        <v>630</v>
      </c>
      <c r="B160" s="592" t="s">
        <v>631</v>
      </c>
    </row>
    <row r="161" spans="1:2" x14ac:dyDescent="0.2">
      <c r="A161" s="917" t="s">
        <v>632</v>
      </c>
      <c r="B161" s="592" t="s">
        <v>29</v>
      </c>
    </row>
    <row r="162" spans="1:2" x14ac:dyDescent="0.2">
      <c r="A162" s="917" t="s">
        <v>654</v>
      </c>
      <c r="B162" s="592" t="s">
        <v>807</v>
      </c>
    </row>
    <row r="163" spans="1:2" x14ac:dyDescent="0.2">
      <c r="A163" s="917" t="s">
        <v>778</v>
      </c>
      <c r="B163" s="592" t="s">
        <v>30</v>
      </c>
    </row>
    <row r="164" spans="1:2" x14ac:dyDescent="0.2">
      <c r="A164" s="917" t="s">
        <v>776</v>
      </c>
      <c r="B164" s="592" t="s">
        <v>1557</v>
      </c>
    </row>
    <row r="165" spans="1:2" x14ac:dyDescent="0.2">
      <c r="A165" s="917" t="s">
        <v>635</v>
      </c>
      <c r="B165" s="592" t="s">
        <v>3243</v>
      </c>
    </row>
    <row r="166" spans="1:2" x14ac:dyDescent="0.2">
      <c r="A166" s="917" t="s">
        <v>634</v>
      </c>
      <c r="B166" s="592" t="s">
        <v>32</v>
      </c>
    </row>
    <row r="167" spans="1:2" x14ac:dyDescent="0.2">
      <c r="A167" s="917" t="s">
        <v>409</v>
      </c>
      <c r="B167" s="592" t="s">
        <v>1554</v>
      </c>
    </row>
    <row r="168" spans="1:2" x14ac:dyDescent="0.2">
      <c r="A168" s="917" t="s">
        <v>4467</v>
      </c>
      <c r="B168" s="592" t="s">
        <v>1418</v>
      </c>
    </row>
    <row r="169" spans="1:2" x14ac:dyDescent="0.2">
      <c r="A169" s="917" t="s">
        <v>92</v>
      </c>
      <c r="B169" s="592" t="s">
        <v>103</v>
      </c>
    </row>
    <row r="170" spans="1:2" x14ac:dyDescent="0.2">
      <c r="A170" s="919" t="s">
        <v>4477</v>
      </c>
      <c r="B170" s="592" t="s">
        <v>4478</v>
      </c>
    </row>
    <row r="171" spans="1:2" x14ac:dyDescent="0.2">
      <c r="A171" s="917" t="s">
        <v>4472</v>
      </c>
      <c r="B171" s="592" t="s">
        <v>1993</v>
      </c>
    </row>
    <row r="172" spans="1:2" x14ac:dyDescent="0.2">
      <c r="A172" s="917" t="s">
        <v>3412</v>
      </c>
      <c r="B172" s="592" t="s">
        <v>3413</v>
      </c>
    </row>
    <row r="173" spans="1:2" x14ac:dyDescent="0.2">
      <c r="A173" s="917" t="s">
        <v>1659</v>
      </c>
      <c r="B173" s="592" t="s">
        <v>1660</v>
      </c>
    </row>
    <row r="174" spans="1:2" x14ac:dyDescent="0.2">
      <c r="A174" s="917" t="s">
        <v>3297</v>
      </c>
      <c r="B174" s="592" t="s">
        <v>3298</v>
      </c>
    </row>
    <row r="175" spans="1:2" x14ac:dyDescent="0.2">
      <c r="A175" s="917" t="s">
        <v>2288</v>
      </c>
      <c r="B175" s="592" t="s">
        <v>2289</v>
      </c>
    </row>
    <row r="176" spans="1:2" x14ac:dyDescent="0.2">
      <c r="A176" s="917" t="s">
        <v>1745</v>
      </c>
      <c r="B176" s="592" t="s">
        <v>1746</v>
      </c>
    </row>
    <row r="177" spans="1:2" x14ac:dyDescent="0.2">
      <c r="A177" s="917" t="s">
        <v>3425</v>
      </c>
      <c r="B177" s="592" t="s">
        <v>3426</v>
      </c>
    </row>
    <row r="178" spans="1:2" x14ac:dyDescent="0.2">
      <c r="A178" s="917" t="s">
        <v>3421</v>
      </c>
      <c r="B178" s="592" t="s">
        <v>3422</v>
      </c>
    </row>
    <row r="179" spans="1:2" x14ac:dyDescent="0.2">
      <c r="A179" s="917" t="s">
        <v>3423</v>
      </c>
      <c r="B179" s="592" t="s">
        <v>3424</v>
      </c>
    </row>
    <row r="180" spans="1:2" x14ac:dyDescent="0.2">
      <c r="A180" s="917" t="s">
        <v>3693</v>
      </c>
      <c r="B180" s="592" t="s">
        <v>3694</v>
      </c>
    </row>
    <row r="181" spans="1:2" x14ac:dyDescent="0.2">
      <c r="A181" s="917" t="s">
        <v>1399</v>
      </c>
      <c r="B181" s="592" t="s">
        <v>1400</v>
      </c>
    </row>
    <row r="182" spans="1:2" x14ac:dyDescent="0.2">
      <c r="A182" s="917" t="s">
        <v>1395</v>
      </c>
      <c r="B182" s="592" t="s">
        <v>1396</v>
      </c>
    </row>
    <row r="183" spans="1:2" x14ac:dyDescent="0.2">
      <c r="A183" s="917" t="s">
        <v>1397</v>
      </c>
      <c r="B183" s="592" t="s">
        <v>1398</v>
      </c>
    </row>
    <row r="184" spans="1:2" x14ac:dyDescent="0.2">
      <c r="A184" s="917" t="s">
        <v>1851</v>
      </c>
      <c r="B184" s="592" t="s">
        <v>1852</v>
      </c>
    </row>
    <row r="185" spans="1:2" x14ac:dyDescent="0.2">
      <c r="A185" s="917" t="s">
        <v>4033</v>
      </c>
      <c r="B185" s="592" t="s">
        <v>4034</v>
      </c>
    </row>
    <row r="186" spans="1:2" x14ac:dyDescent="0.2">
      <c r="A186" s="917" t="s">
        <v>1743</v>
      </c>
      <c r="B186" s="592" t="s">
        <v>1744</v>
      </c>
    </row>
    <row r="187" spans="1:2" x14ac:dyDescent="0.2">
      <c r="A187" s="917" t="s">
        <v>1644</v>
      </c>
      <c r="B187" s="592" t="s">
        <v>1645</v>
      </c>
    </row>
    <row r="188" spans="1:2" x14ac:dyDescent="0.2">
      <c r="A188" s="917" t="s">
        <v>1375</v>
      </c>
      <c r="B188" s="592" t="s">
        <v>1376</v>
      </c>
    </row>
    <row r="189" spans="1:2" x14ac:dyDescent="0.2">
      <c r="A189" s="917" t="s">
        <v>4044</v>
      </c>
      <c r="B189" s="592" t="s">
        <v>4045</v>
      </c>
    </row>
    <row r="190" spans="1:2" x14ac:dyDescent="0.2">
      <c r="A190" s="917" t="s">
        <v>1391</v>
      </c>
      <c r="B190" s="592" t="s">
        <v>1392</v>
      </c>
    </row>
    <row r="191" spans="1:2" x14ac:dyDescent="0.2">
      <c r="A191" s="917" t="s">
        <v>3415</v>
      </c>
      <c r="B191" s="592" t="s">
        <v>3416</v>
      </c>
    </row>
    <row r="192" spans="1:2" x14ac:dyDescent="0.2">
      <c r="A192" s="917" t="s">
        <v>1401</v>
      </c>
      <c r="B192" s="592" t="s">
        <v>1402</v>
      </c>
    </row>
    <row r="193" spans="1:2" x14ac:dyDescent="0.2">
      <c r="A193" s="917" t="s">
        <v>1393</v>
      </c>
      <c r="B193" s="592" t="s">
        <v>1394</v>
      </c>
    </row>
    <row r="194" spans="1:2" x14ac:dyDescent="0.2">
      <c r="A194" s="917" t="s">
        <v>4440</v>
      </c>
      <c r="B194" s="592" t="s">
        <v>4441</v>
      </c>
    </row>
    <row r="195" spans="1:2" x14ac:dyDescent="0.2">
      <c r="A195" s="917" t="s">
        <v>3204</v>
      </c>
      <c r="B195" s="592" t="s">
        <v>2123</v>
      </c>
    </row>
    <row r="196" spans="1:2" x14ac:dyDescent="0.2">
      <c r="A196" s="917" t="s">
        <v>3205</v>
      </c>
      <c r="B196" s="592" t="s">
        <v>3206</v>
      </c>
    </row>
    <row r="197" spans="1:2" x14ac:dyDescent="0.2">
      <c r="A197" s="917" t="s">
        <v>3199</v>
      </c>
      <c r="B197" s="592" t="s">
        <v>3207</v>
      </c>
    </row>
    <row r="198" spans="1:2" x14ac:dyDescent="0.2">
      <c r="A198" s="917" t="s">
        <v>1387</v>
      </c>
      <c r="B198" s="592" t="s">
        <v>1388</v>
      </c>
    </row>
    <row r="199" spans="1:2" x14ac:dyDescent="0.2">
      <c r="A199" s="917" t="s">
        <v>1406</v>
      </c>
      <c r="B199" s="592" t="s">
        <v>1407</v>
      </c>
    </row>
    <row r="200" spans="1:2" x14ac:dyDescent="0.2">
      <c r="A200" s="917" t="s">
        <v>0</v>
      </c>
      <c r="B200" s="592" t="s">
        <v>1</v>
      </c>
    </row>
    <row r="201" spans="1:2" x14ac:dyDescent="0.2">
      <c r="A201" s="917" t="s">
        <v>798</v>
      </c>
      <c r="B201" s="592" t="s">
        <v>799</v>
      </c>
    </row>
    <row r="202" spans="1:2" x14ac:dyDescent="0.2">
      <c r="A202" s="917" t="s">
        <v>835</v>
      </c>
      <c r="B202" s="592" t="s">
        <v>836</v>
      </c>
    </row>
    <row r="203" spans="1:2" x14ac:dyDescent="0.2">
      <c r="A203" s="917" t="s">
        <v>3261</v>
      </c>
      <c r="B203" s="592" t="s">
        <v>2149</v>
      </c>
    </row>
    <row r="204" spans="1:2" x14ac:dyDescent="0.2">
      <c r="A204" s="917" t="s">
        <v>1972</v>
      </c>
      <c r="B204" s="592" t="s">
        <v>1867</v>
      </c>
    </row>
    <row r="205" spans="1:2" x14ac:dyDescent="0.2">
      <c r="A205" s="917" t="s">
        <v>1973</v>
      </c>
      <c r="B205" s="592" t="s">
        <v>1868</v>
      </c>
    </row>
    <row r="206" spans="1:2" x14ac:dyDescent="0.2">
      <c r="A206" s="917" t="s">
        <v>15</v>
      </c>
      <c r="B206" s="592" t="s">
        <v>16</v>
      </c>
    </row>
    <row r="207" spans="1:2" x14ac:dyDescent="0.2">
      <c r="A207" s="917" t="s">
        <v>10</v>
      </c>
      <c r="B207" s="592" t="s">
        <v>11</v>
      </c>
    </row>
    <row r="208" spans="1:2" x14ac:dyDescent="0.2">
      <c r="A208" s="917" t="s">
        <v>13</v>
      </c>
      <c r="B208" s="592" t="s">
        <v>14</v>
      </c>
    </row>
    <row r="209" spans="1:2" x14ac:dyDescent="0.2">
      <c r="A209" s="917" t="s">
        <v>1614</v>
      </c>
      <c r="B209" s="592" t="s">
        <v>1615</v>
      </c>
    </row>
    <row r="210" spans="1:2" x14ac:dyDescent="0.2">
      <c r="A210" s="917" t="s">
        <v>851</v>
      </c>
      <c r="B210" s="592" t="s">
        <v>1225</v>
      </c>
    </row>
    <row r="211" spans="1:2" x14ac:dyDescent="0.2">
      <c r="A211" s="917" t="s">
        <v>850</v>
      </c>
      <c r="B211" s="592" t="s">
        <v>1224</v>
      </c>
    </row>
    <row r="212" spans="1:2" x14ac:dyDescent="0.2">
      <c r="A212" s="917" t="s">
        <v>412</v>
      </c>
      <c r="B212" s="592" t="s">
        <v>413</v>
      </c>
    </row>
    <row r="213" spans="1:2" x14ac:dyDescent="0.2">
      <c r="A213" s="917" t="s">
        <v>3792</v>
      </c>
      <c r="B213" s="592" t="s">
        <v>3793</v>
      </c>
    </row>
    <row r="214" spans="1:2" x14ac:dyDescent="0.2">
      <c r="A214" s="917" t="s">
        <v>3794</v>
      </c>
      <c r="B214" s="592" t="s">
        <v>3795</v>
      </c>
    </row>
    <row r="215" spans="1:2" x14ac:dyDescent="0.2">
      <c r="A215" s="917" t="s">
        <v>249</v>
      </c>
      <c r="B215" s="592" t="s">
        <v>250</v>
      </c>
    </row>
    <row r="216" spans="1:2" x14ac:dyDescent="0.2">
      <c r="A216" s="917" t="s">
        <v>245</v>
      </c>
      <c r="B216" s="592" t="s">
        <v>246</v>
      </c>
    </row>
    <row r="217" spans="1:2" x14ac:dyDescent="0.2">
      <c r="A217" s="917" t="s">
        <v>241</v>
      </c>
      <c r="B217" s="592" t="s">
        <v>242</v>
      </c>
    </row>
    <row r="218" spans="1:2" x14ac:dyDescent="0.2">
      <c r="A218" s="917" t="s">
        <v>2167</v>
      </c>
      <c r="B218" s="592" t="s">
        <v>2168</v>
      </c>
    </row>
    <row r="219" spans="1:2" x14ac:dyDescent="0.2">
      <c r="A219" s="917" t="s">
        <v>4053</v>
      </c>
      <c r="B219" s="592" t="s">
        <v>4054</v>
      </c>
    </row>
    <row r="220" spans="1:2" x14ac:dyDescent="0.2">
      <c r="A220" s="917" t="s">
        <v>668</v>
      </c>
      <c r="B220" s="592" t="s">
        <v>669</v>
      </c>
    </row>
    <row r="221" spans="1:2" x14ac:dyDescent="0.2">
      <c r="A221" s="917" t="s">
        <v>3291</v>
      </c>
      <c r="B221" s="592" t="s">
        <v>3292</v>
      </c>
    </row>
    <row r="222" spans="1:2" x14ac:dyDescent="0.2">
      <c r="A222" s="917" t="s">
        <v>27</v>
      </c>
      <c r="B222" s="592" t="s">
        <v>28</v>
      </c>
    </row>
    <row r="223" spans="1:2" x14ac:dyDescent="0.2">
      <c r="A223" s="917" t="s">
        <v>3362</v>
      </c>
      <c r="B223" s="592" t="s">
        <v>390</v>
      </c>
    </row>
    <row r="224" spans="1:2" x14ac:dyDescent="0.2">
      <c r="A224" s="917" t="s">
        <v>3363</v>
      </c>
      <c r="B224" s="592" t="s">
        <v>1335</v>
      </c>
    </row>
    <row r="225" spans="1:2" x14ac:dyDescent="0.2">
      <c r="A225" s="917" t="s">
        <v>1337</v>
      </c>
      <c r="B225" s="592" t="s">
        <v>1243</v>
      </c>
    </row>
    <row r="226" spans="1:2" x14ac:dyDescent="0.2">
      <c r="A226" s="917" t="s">
        <v>1946</v>
      </c>
      <c r="B226" s="592" t="s">
        <v>1947</v>
      </c>
    </row>
    <row r="227" spans="1:2" x14ac:dyDescent="0.2">
      <c r="A227" s="917" t="s">
        <v>1951</v>
      </c>
      <c r="B227" s="592" t="s">
        <v>1170</v>
      </c>
    </row>
    <row r="228" spans="1:2" x14ac:dyDescent="0.2">
      <c r="A228" s="917" t="s">
        <v>1981</v>
      </c>
      <c r="B228" s="592" t="s">
        <v>1953</v>
      </c>
    </row>
    <row r="229" spans="1:2" x14ac:dyDescent="0.2">
      <c r="A229" s="917" t="s">
        <v>428</v>
      </c>
      <c r="B229" s="592" t="s">
        <v>429</v>
      </c>
    </row>
    <row r="230" spans="1:2" x14ac:dyDescent="0.2">
      <c r="A230" s="917" t="s">
        <v>1526</v>
      </c>
      <c r="B230" s="592" t="s">
        <v>1888</v>
      </c>
    </row>
    <row r="231" spans="1:2" x14ac:dyDescent="0.2">
      <c r="A231" s="917" t="s">
        <v>516</v>
      </c>
      <c r="B231" s="592" t="s">
        <v>517</v>
      </c>
    </row>
    <row r="232" spans="1:2" x14ac:dyDescent="0.2">
      <c r="A232" s="917" t="s">
        <v>513</v>
      </c>
      <c r="B232" s="592" t="s">
        <v>514</v>
      </c>
    </row>
    <row r="233" spans="1:2" x14ac:dyDescent="0.2">
      <c r="A233" s="917" t="s">
        <v>1984</v>
      </c>
      <c r="B233" s="592" t="s">
        <v>1985</v>
      </c>
    </row>
    <row r="234" spans="1:2" x14ac:dyDescent="0.2">
      <c r="A234" s="917" t="s">
        <v>251</v>
      </c>
      <c r="B234" s="592" t="s">
        <v>252</v>
      </c>
    </row>
    <row r="235" spans="1:2" x14ac:dyDescent="0.2">
      <c r="A235" s="917" t="s">
        <v>247</v>
      </c>
      <c r="B235" s="592" t="s">
        <v>248</v>
      </c>
    </row>
    <row r="236" spans="1:2" x14ac:dyDescent="0.2">
      <c r="A236" s="917" t="s">
        <v>243</v>
      </c>
      <c r="B236" s="592" t="s">
        <v>244</v>
      </c>
    </row>
    <row r="237" spans="1:2" x14ac:dyDescent="0.2">
      <c r="A237" s="917" t="s">
        <v>2165</v>
      </c>
      <c r="B237" s="592" t="s">
        <v>2166</v>
      </c>
    </row>
    <row r="238" spans="1:2" x14ac:dyDescent="0.2">
      <c r="A238" s="917" t="s">
        <v>4035</v>
      </c>
      <c r="B238" s="592" t="s">
        <v>4036</v>
      </c>
    </row>
    <row r="239" spans="1:2" x14ac:dyDescent="0.2">
      <c r="A239" s="917" t="s">
        <v>4028</v>
      </c>
      <c r="B239" s="592" t="s">
        <v>4029</v>
      </c>
    </row>
    <row r="240" spans="1:2" x14ac:dyDescent="0.2">
      <c r="A240" s="917" t="s">
        <v>4028</v>
      </c>
      <c r="B240" s="592" t="s">
        <v>4032</v>
      </c>
    </row>
    <row r="241" spans="1:2" x14ac:dyDescent="0.2">
      <c r="A241" s="917" t="s">
        <v>4031</v>
      </c>
      <c r="B241" s="592" t="s">
        <v>4030</v>
      </c>
    </row>
    <row r="242" spans="1:2" x14ac:dyDescent="0.2">
      <c r="A242" s="917" t="s">
        <v>1607</v>
      </c>
      <c r="B242" s="592" t="s">
        <v>1608</v>
      </c>
    </row>
    <row r="243" spans="1:2" x14ac:dyDescent="0.2">
      <c r="A243" s="917" t="s">
        <v>3293</v>
      </c>
      <c r="B243" s="592" t="s">
        <v>3294</v>
      </c>
    </row>
    <row r="244" spans="1:2" x14ac:dyDescent="0.2">
      <c r="A244" s="917" t="s">
        <v>1171</v>
      </c>
      <c r="B244" s="592" t="s">
        <v>1172</v>
      </c>
    </row>
    <row r="245" spans="1:2" x14ac:dyDescent="0.2">
      <c r="A245" s="917" t="s">
        <v>732</v>
      </c>
      <c r="B245" s="592" t="s">
        <v>733</v>
      </c>
    </row>
    <row r="246" spans="1:2" x14ac:dyDescent="0.2">
      <c r="A246" s="917" t="s">
        <v>2575</v>
      </c>
      <c r="B246" s="592" t="s">
        <v>2576</v>
      </c>
    </row>
    <row r="247" spans="1:2" x14ac:dyDescent="0.2">
      <c r="A247" s="917" t="s">
        <v>213</v>
      </c>
      <c r="B247" s="592" t="s">
        <v>214</v>
      </c>
    </row>
    <row r="248" spans="1:2" x14ac:dyDescent="0.2">
      <c r="A248" s="917" t="s">
        <v>19</v>
      </c>
      <c r="B248" s="592" t="s">
        <v>1325</v>
      </c>
    </row>
    <row r="249" spans="1:2" x14ac:dyDescent="0.2">
      <c r="A249" s="917" t="s">
        <v>537</v>
      </c>
      <c r="B249" s="592" t="s">
        <v>538</v>
      </c>
    </row>
    <row r="250" spans="1:2" x14ac:dyDescent="0.2">
      <c r="A250" s="917" t="s">
        <v>1533</v>
      </c>
      <c r="B250" s="592" t="s">
        <v>1534</v>
      </c>
    </row>
    <row r="251" spans="1:2" x14ac:dyDescent="0.2">
      <c r="A251" s="917" t="s">
        <v>1537</v>
      </c>
      <c r="B251" s="592" t="s">
        <v>1538</v>
      </c>
    </row>
    <row r="252" spans="1:2" x14ac:dyDescent="0.2">
      <c r="A252" s="917" t="s">
        <v>1322</v>
      </c>
      <c r="B252" s="592" t="s">
        <v>1323</v>
      </c>
    </row>
    <row r="253" spans="1:2" x14ac:dyDescent="0.2">
      <c r="A253" s="917" t="s">
        <v>3256</v>
      </c>
      <c r="B253" s="592" t="s">
        <v>3257</v>
      </c>
    </row>
    <row r="254" spans="1:2" x14ac:dyDescent="0.2">
      <c r="A254" s="917" t="s">
        <v>1384</v>
      </c>
      <c r="B254" s="592" t="s">
        <v>1385</v>
      </c>
    </row>
    <row r="255" spans="1:2" x14ac:dyDescent="0.2">
      <c r="A255" s="917" t="s">
        <v>1382</v>
      </c>
      <c r="B255" s="592" t="s">
        <v>1383</v>
      </c>
    </row>
    <row r="256" spans="1:2" x14ac:dyDescent="0.2">
      <c r="A256" s="917" t="s">
        <v>3428</v>
      </c>
      <c r="B256" s="592" t="s">
        <v>3429</v>
      </c>
    </row>
    <row r="257" spans="1:2" x14ac:dyDescent="0.2">
      <c r="A257" s="917" t="s">
        <v>1378</v>
      </c>
      <c r="B257" s="592" t="s">
        <v>1379</v>
      </c>
    </row>
    <row r="258" spans="1:2" x14ac:dyDescent="0.2">
      <c r="A258" s="917" t="s">
        <v>1885</v>
      </c>
      <c r="B258" s="592" t="s">
        <v>1886</v>
      </c>
    </row>
    <row r="259" spans="1:2" x14ac:dyDescent="0.2">
      <c r="A259" s="917" t="s">
        <v>1883</v>
      </c>
      <c r="B259" s="592" t="s">
        <v>1884</v>
      </c>
    </row>
    <row r="260" spans="1:2" x14ac:dyDescent="0.2">
      <c r="A260" s="917" t="s">
        <v>1198</v>
      </c>
      <c r="B260" s="592" t="s">
        <v>3131</v>
      </c>
    </row>
    <row r="261" spans="1:2" x14ac:dyDescent="0.2">
      <c r="A261" s="917" t="s">
        <v>1600</v>
      </c>
      <c r="B261" s="592" t="s">
        <v>1601</v>
      </c>
    </row>
    <row r="262" spans="1:2" x14ac:dyDescent="0.2">
      <c r="A262" s="917" t="s">
        <v>3325</v>
      </c>
      <c r="B262" s="592" t="s">
        <v>3326</v>
      </c>
    </row>
    <row r="263" spans="1:2" x14ac:dyDescent="0.2">
      <c r="A263" s="917" t="s">
        <v>3472</v>
      </c>
      <c r="B263" s="592" t="s">
        <v>3473</v>
      </c>
    </row>
    <row r="264" spans="1:2" x14ac:dyDescent="0.2">
      <c r="A264" s="917" t="s">
        <v>1221</v>
      </c>
      <c r="B264" s="592" t="s">
        <v>1844</v>
      </c>
    </row>
    <row r="265" spans="1:2" x14ac:dyDescent="0.2">
      <c r="A265" s="917" t="s">
        <v>4196</v>
      </c>
      <c r="B265" s="592" t="s">
        <v>4197</v>
      </c>
    </row>
    <row r="266" spans="1:2" x14ac:dyDescent="0.2">
      <c r="A266" s="917" t="s">
        <v>3518</v>
      </c>
      <c r="B266" s="592" t="s">
        <v>3519</v>
      </c>
    </row>
    <row r="267" spans="1:2" x14ac:dyDescent="0.2">
      <c r="A267" s="917" t="s">
        <v>2420</v>
      </c>
      <c r="B267" s="592" t="s">
        <v>2422</v>
      </c>
    </row>
    <row r="268" spans="1:2" x14ac:dyDescent="0.2">
      <c r="A268" s="917" t="s">
        <v>742</v>
      </c>
      <c r="B268" s="592" t="s">
        <v>743</v>
      </c>
    </row>
    <row r="269" spans="1:2" x14ac:dyDescent="0.2">
      <c r="A269" s="917" t="s">
        <v>3699</v>
      </c>
      <c r="B269" s="592" t="s">
        <v>3700</v>
      </c>
    </row>
    <row r="270" spans="1:2" x14ac:dyDescent="0.2">
      <c r="A270" s="917" t="s">
        <v>3697</v>
      </c>
      <c r="B270" s="592" t="s">
        <v>3698</v>
      </c>
    </row>
    <row r="271" spans="1:2" x14ac:dyDescent="0.2">
      <c r="A271" s="917" t="s">
        <v>1774</v>
      </c>
      <c r="B271" s="592" t="s">
        <v>1488</v>
      </c>
    </row>
    <row r="272" spans="1:2" x14ac:dyDescent="0.2">
      <c r="A272" s="917" t="s">
        <v>3339</v>
      </c>
      <c r="B272" s="592" t="s">
        <v>3337</v>
      </c>
    </row>
    <row r="273" spans="1:2" x14ac:dyDescent="0.2">
      <c r="A273" s="917" t="s">
        <v>4415</v>
      </c>
      <c r="B273" s="592" t="s">
        <v>3192</v>
      </c>
    </row>
    <row r="274" spans="1:2" x14ac:dyDescent="0.2">
      <c r="A274" s="917" t="s">
        <v>3509</v>
      </c>
      <c r="B274" s="592" t="s">
        <v>3510</v>
      </c>
    </row>
    <row r="275" spans="1:2" x14ac:dyDescent="0.2">
      <c r="A275" s="917" t="s">
        <v>2438</v>
      </c>
      <c r="B275" s="592" t="s">
        <v>2439</v>
      </c>
    </row>
    <row r="276" spans="1:2" x14ac:dyDescent="0.2">
      <c r="A276" s="917" t="s">
        <v>2433</v>
      </c>
      <c r="B276" s="592" t="s">
        <v>2434</v>
      </c>
    </row>
    <row r="277" spans="1:2" x14ac:dyDescent="0.2">
      <c r="A277" s="917" t="s">
        <v>1623</v>
      </c>
      <c r="B277" s="592" t="s">
        <v>1624</v>
      </c>
    </row>
    <row r="278" spans="1:2" x14ac:dyDescent="0.2">
      <c r="A278" s="917" t="s">
        <v>2435</v>
      </c>
      <c r="B278" s="592" t="s">
        <v>2436</v>
      </c>
    </row>
    <row r="279" spans="1:2" x14ac:dyDescent="0.2">
      <c r="A279" s="917" t="s">
        <v>1626</v>
      </c>
      <c r="B279" s="592" t="s">
        <v>1627</v>
      </c>
    </row>
    <row r="280" spans="1:2" x14ac:dyDescent="0.2">
      <c r="A280" s="917" t="s">
        <v>1621</v>
      </c>
      <c r="B280" s="592" t="s">
        <v>1622</v>
      </c>
    </row>
    <row r="281" spans="1:2" x14ac:dyDescent="0.2">
      <c r="A281" s="917" t="s">
        <v>1968</v>
      </c>
      <c r="B281" s="592" t="s">
        <v>72</v>
      </c>
    </row>
    <row r="282" spans="1:2" x14ac:dyDescent="0.2">
      <c r="A282" s="917" t="s">
        <v>1967</v>
      </c>
      <c r="B282" s="592" t="s">
        <v>71</v>
      </c>
    </row>
    <row r="283" spans="1:2" x14ac:dyDescent="0.2">
      <c r="A283" s="917" t="s">
        <v>1970</v>
      </c>
      <c r="B283" s="592" t="s">
        <v>1288</v>
      </c>
    </row>
    <row r="284" spans="1:2" x14ac:dyDescent="0.2">
      <c r="A284" s="917" t="s">
        <v>1969</v>
      </c>
      <c r="B284" s="592" t="s">
        <v>1286</v>
      </c>
    </row>
    <row r="285" spans="1:2" x14ac:dyDescent="0.2">
      <c r="A285" s="917" t="s">
        <v>1758</v>
      </c>
      <c r="B285" s="592" t="s">
        <v>1759</v>
      </c>
    </row>
    <row r="286" spans="1:2" x14ac:dyDescent="0.2">
      <c r="A286" s="917" t="s">
        <v>3018</v>
      </c>
      <c r="B286" s="592" t="s">
        <v>1959</v>
      </c>
    </row>
    <row r="287" spans="1:2" x14ac:dyDescent="0.2">
      <c r="A287" s="917" t="s">
        <v>3017</v>
      </c>
      <c r="B287" s="592" t="s">
        <v>1958</v>
      </c>
    </row>
    <row r="288" spans="1:2" x14ac:dyDescent="0.2">
      <c r="A288" s="917" t="s">
        <v>3016</v>
      </c>
      <c r="B288" s="592" t="s">
        <v>1955</v>
      </c>
    </row>
    <row r="289" spans="1:2" x14ac:dyDescent="0.2">
      <c r="A289" s="917" t="s">
        <v>3015</v>
      </c>
      <c r="B289" s="592" t="s">
        <v>1954</v>
      </c>
    </row>
    <row r="290" spans="1:2" x14ac:dyDescent="0.2">
      <c r="A290" s="917" t="s">
        <v>42</v>
      </c>
      <c r="B290" s="592" t="s">
        <v>2623</v>
      </c>
    </row>
    <row r="291" spans="1:2" x14ac:dyDescent="0.2">
      <c r="A291" s="917" t="s">
        <v>1875</v>
      </c>
      <c r="B291" s="592" t="s">
        <v>1876</v>
      </c>
    </row>
    <row r="292" spans="1:2" x14ac:dyDescent="0.2">
      <c r="A292" s="917" t="s">
        <v>156</v>
      </c>
      <c r="B292" s="592" t="s">
        <v>157</v>
      </c>
    </row>
    <row r="293" spans="1:2" x14ac:dyDescent="0.2">
      <c r="A293" s="917" t="s">
        <v>3123</v>
      </c>
      <c r="B293" s="592" t="s">
        <v>3208</v>
      </c>
    </row>
    <row r="294" spans="1:2" x14ac:dyDescent="0.2">
      <c r="A294" s="917" t="s">
        <v>1200</v>
      </c>
      <c r="B294" s="592" t="s">
        <v>1201</v>
      </c>
    </row>
    <row r="295" spans="1:2" x14ac:dyDescent="0.2">
      <c r="A295" s="917" t="s">
        <v>1200</v>
      </c>
      <c r="B295" s="592" t="s">
        <v>1698</v>
      </c>
    </row>
    <row r="296" spans="1:2" x14ac:dyDescent="0.2">
      <c r="A296" s="917" t="s">
        <v>2424</v>
      </c>
      <c r="B296" s="592" t="s">
        <v>2425</v>
      </c>
    </row>
    <row r="297" spans="1:2" x14ac:dyDescent="0.2">
      <c r="A297" s="917" t="s">
        <v>3818</v>
      </c>
      <c r="B297" s="592" t="s">
        <v>3820</v>
      </c>
    </row>
    <row r="298" spans="1:2" x14ac:dyDescent="0.2">
      <c r="A298" s="917" t="s">
        <v>3819</v>
      </c>
      <c r="B298" s="592" t="s">
        <v>2423</v>
      </c>
    </row>
    <row r="299" spans="1:2" x14ac:dyDescent="0.2">
      <c r="A299" s="917" t="s">
        <v>1775</v>
      </c>
      <c r="B299" s="592" t="s">
        <v>1490</v>
      </c>
    </row>
    <row r="300" spans="1:2" x14ac:dyDescent="0.2">
      <c r="A300" s="917" t="s">
        <v>3715</v>
      </c>
      <c r="B300" s="592" t="s">
        <v>3716</v>
      </c>
    </row>
    <row r="301" spans="1:2" x14ac:dyDescent="0.2">
      <c r="A301" s="917" t="s">
        <v>1262</v>
      </c>
      <c r="B301" s="592" t="s">
        <v>1263</v>
      </c>
    </row>
    <row r="302" spans="1:2" x14ac:dyDescent="0.2">
      <c r="A302" s="917" t="s">
        <v>262</v>
      </c>
      <c r="B302" s="592" t="s">
        <v>263</v>
      </c>
    </row>
    <row r="303" spans="1:2" x14ac:dyDescent="0.2">
      <c r="A303" s="917" t="s">
        <v>108</v>
      </c>
      <c r="B303" s="592" t="s">
        <v>109</v>
      </c>
    </row>
    <row r="304" spans="1:2" x14ac:dyDescent="0.2">
      <c r="A304" s="917" t="s">
        <v>258</v>
      </c>
      <c r="B304" s="592" t="s">
        <v>3231</v>
      </c>
    </row>
    <row r="305" spans="1:2" x14ac:dyDescent="0.2">
      <c r="A305" s="917" t="s">
        <v>690</v>
      </c>
      <c r="B305" s="592" t="s">
        <v>679</v>
      </c>
    </row>
    <row r="306" spans="1:2" x14ac:dyDescent="0.2">
      <c r="A306" s="917" t="s">
        <v>665</v>
      </c>
      <c r="B306" s="592" t="s">
        <v>666</v>
      </c>
    </row>
    <row r="307" spans="1:2" x14ac:dyDescent="0.2">
      <c r="A307" s="917" t="s">
        <v>3482</v>
      </c>
      <c r="B307" s="592" t="s">
        <v>3483</v>
      </c>
    </row>
    <row r="308" spans="1:2" x14ac:dyDescent="0.2">
      <c r="A308" s="917" t="s">
        <v>3125</v>
      </c>
      <c r="B308" s="592" t="s">
        <v>2364</v>
      </c>
    </row>
    <row r="309" spans="1:2" x14ac:dyDescent="0.2">
      <c r="A309" s="917" t="s">
        <v>4382</v>
      </c>
      <c r="B309" s="592" t="s">
        <v>4383</v>
      </c>
    </row>
    <row r="310" spans="1:2" x14ac:dyDescent="0.2">
      <c r="A310" s="917" t="s">
        <v>232</v>
      </c>
      <c r="B310" s="592" t="s">
        <v>233</v>
      </c>
    </row>
    <row r="311" spans="1:2" x14ac:dyDescent="0.2">
      <c r="A311" s="917" t="s">
        <v>235</v>
      </c>
      <c r="B311" s="592" t="s">
        <v>236</v>
      </c>
    </row>
    <row r="312" spans="1:2" x14ac:dyDescent="0.2">
      <c r="A312" s="917" t="s">
        <v>2879</v>
      </c>
      <c r="B312" s="592" t="s">
        <v>2880</v>
      </c>
    </row>
    <row r="313" spans="1:2" x14ac:dyDescent="0.2">
      <c r="A313" s="917" t="s">
        <v>736</v>
      </c>
      <c r="B313" s="592" t="s">
        <v>735</v>
      </c>
    </row>
    <row r="314" spans="1:2" x14ac:dyDescent="0.2">
      <c r="A314" s="917" t="s">
        <v>739</v>
      </c>
      <c r="B314" s="592" t="s">
        <v>2887</v>
      </c>
    </row>
    <row r="315" spans="1:2" x14ac:dyDescent="0.2">
      <c r="A315" s="917" t="s">
        <v>3707</v>
      </c>
      <c r="B315" s="592" t="s">
        <v>3708</v>
      </c>
    </row>
    <row r="316" spans="1:2" x14ac:dyDescent="0.2">
      <c r="A316" s="917" t="s">
        <v>1475</v>
      </c>
      <c r="B316" s="592" t="s">
        <v>1476</v>
      </c>
    </row>
    <row r="317" spans="1:2" x14ac:dyDescent="0.2">
      <c r="A317" s="917" t="s">
        <v>3485</v>
      </c>
      <c r="B317" s="592" t="s">
        <v>3486</v>
      </c>
    </row>
    <row r="318" spans="1:2" x14ac:dyDescent="0.2">
      <c r="A318" s="917" t="s">
        <v>4474</v>
      </c>
      <c r="B318" s="592" t="s">
        <v>1194</v>
      </c>
    </row>
    <row r="319" spans="1:2" x14ac:dyDescent="0.2">
      <c r="A319" s="917" t="s">
        <v>4443</v>
      </c>
      <c r="B319" s="592" t="s">
        <v>4444</v>
      </c>
    </row>
    <row r="320" spans="1:2" x14ac:dyDescent="0.2">
      <c r="A320" s="917" t="s">
        <v>2347</v>
      </c>
      <c r="B320" s="592" t="s">
        <v>2348</v>
      </c>
    </row>
    <row r="321" spans="1:2" x14ac:dyDescent="0.2">
      <c r="A321" s="917" t="s">
        <v>37</v>
      </c>
      <c r="B321" s="592" t="s">
        <v>38</v>
      </c>
    </row>
    <row r="322" spans="1:2" x14ac:dyDescent="0.2">
      <c r="A322" s="917" t="s">
        <v>17</v>
      </c>
      <c r="B322" s="592" t="s">
        <v>18</v>
      </c>
    </row>
    <row r="323" spans="1:2" x14ac:dyDescent="0.2">
      <c r="A323" s="917" t="s">
        <v>848</v>
      </c>
      <c r="B323" s="592" t="s">
        <v>427</v>
      </c>
    </row>
    <row r="324" spans="1:2" x14ac:dyDescent="0.2">
      <c r="A324" s="917" t="s">
        <v>4462</v>
      </c>
      <c r="B324" s="592" t="s">
        <v>4461</v>
      </c>
    </row>
    <row r="325" spans="1:2" x14ac:dyDescent="0.2">
      <c r="A325" s="917" t="s">
        <v>316</v>
      </c>
      <c r="B325" s="592" t="s">
        <v>315</v>
      </c>
    </row>
    <row r="326" spans="1:2" x14ac:dyDescent="0.2">
      <c r="A326" s="917" t="s">
        <v>312</v>
      </c>
      <c r="B326" s="592" t="s">
        <v>313</v>
      </c>
    </row>
    <row r="327" spans="1:2" x14ac:dyDescent="0.2">
      <c r="A327" s="917" t="s">
        <v>222</v>
      </c>
      <c r="B327" s="592" t="s">
        <v>223</v>
      </c>
    </row>
    <row r="328" spans="1:2" x14ac:dyDescent="0.2">
      <c r="A328" s="917" t="s">
        <v>2466</v>
      </c>
      <c r="B328" s="592" t="s">
        <v>2467</v>
      </c>
    </row>
    <row r="329" spans="1:2" x14ac:dyDescent="0.2">
      <c r="A329" s="917" t="s">
        <v>532</v>
      </c>
      <c r="B329" s="592" t="s">
        <v>533</v>
      </c>
    </row>
    <row r="330" spans="1:2" x14ac:dyDescent="0.2">
      <c r="A330" s="917" t="s">
        <v>2464</v>
      </c>
      <c r="B330" s="592" t="s">
        <v>2465</v>
      </c>
    </row>
    <row r="331" spans="1:2" x14ac:dyDescent="0.2">
      <c r="A331" s="917" t="s">
        <v>2412</v>
      </c>
      <c r="B331" s="592" t="s">
        <v>2413</v>
      </c>
    </row>
    <row r="332" spans="1:2" x14ac:dyDescent="0.2">
      <c r="A332" s="917" t="s">
        <v>1540</v>
      </c>
      <c r="B332" s="592" t="s">
        <v>1541</v>
      </c>
    </row>
    <row r="333" spans="1:2" x14ac:dyDescent="0.2">
      <c r="A333" s="917" t="s">
        <v>1306</v>
      </c>
      <c r="B333" s="592" t="s">
        <v>1307</v>
      </c>
    </row>
    <row r="334" spans="1:2" x14ac:dyDescent="0.2">
      <c r="A334" s="917" t="s">
        <v>4449</v>
      </c>
      <c r="B334" s="592" t="s">
        <v>4450</v>
      </c>
    </row>
    <row r="335" spans="1:2" x14ac:dyDescent="0.2">
      <c r="A335" s="917" t="s">
        <v>2307</v>
      </c>
      <c r="B335" s="592" t="s">
        <v>2308</v>
      </c>
    </row>
    <row r="336" spans="1:2" x14ac:dyDescent="0.2">
      <c r="A336" s="917" t="s">
        <v>2135</v>
      </c>
      <c r="B336" s="592" t="s">
        <v>2136</v>
      </c>
    </row>
    <row r="337" spans="1:2" x14ac:dyDescent="0.2">
      <c r="A337" s="917" t="s">
        <v>2132</v>
      </c>
      <c r="B337" s="592" t="s">
        <v>2133</v>
      </c>
    </row>
    <row r="338" spans="1:2" x14ac:dyDescent="0.2">
      <c r="A338" s="917" t="s">
        <v>1249</v>
      </c>
      <c r="B338" s="592" t="s">
        <v>1250</v>
      </c>
    </row>
    <row r="339" spans="1:2" x14ac:dyDescent="0.2">
      <c r="A339" s="917" t="s">
        <v>801</v>
      </c>
      <c r="B339" s="592" t="s">
        <v>802</v>
      </c>
    </row>
    <row r="340" spans="1:2" x14ac:dyDescent="0.2">
      <c r="A340" s="917" t="s">
        <v>4455</v>
      </c>
      <c r="B340" s="592" t="s">
        <v>3336</v>
      </c>
    </row>
    <row r="341" spans="1:2" x14ac:dyDescent="0.2">
      <c r="A341" s="917" t="s">
        <v>3338</v>
      </c>
      <c r="B341" s="592" t="s">
        <v>3335</v>
      </c>
    </row>
    <row r="342" spans="1:2" x14ac:dyDescent="0.2">
      <c r="A342" s="917" t="s">
        <v>216</v>
      </c>
      <c r="B342" s="592" t="s">
        <v>217</v>
      </c>
    </row>
    <row r="343" spans="1:2" x14ac:dyDescent="0.2">
      <c r="A343" s="917" t="s">
        <v>94</v>
      </c>
      <c r="B343" s="592" t="s">
        <v>95</v>
      </c>
    </row>
    <row r="344" spans="1:2" x14ac:dyDescent="0.2">
      <c r="A344" s="917" t="s">
        <v>1525</v>
      </c>
      <c r="B344" s="592" t="s">
        <v>1887</v>
      </c>
    </row>
    <row r="345" spans="1:2" x14ac:dyDescent="0.2">
      <c r="A345" s="917" t="s">
        <v>1596</v>
      </c>
      <c r="B345" s="592" t="s">
        <v>1597</v>
      </c>
    </row>
    <row r="346" spans="1:2" x14ac:dyDescent="0.2">
      <c r="A346" s="917" t="s">
        <v>445</v>
      </c>
      <c r="B346" s="592" t="s">
        <v>1599</v>
      </c>
    </row>
    <row r="347" spans="1:2" x14ac:dyDescent="0.2">
      <c r="A347" s="917" t="s">
        <v>253</v>
      </c>
      <c r="B347" s="592" t="s">
        <v>254</v>
      </c>
    </row>
    <row r="348" spans="1:2" x14ac:dyDescent="0.2">
      <c r="A348" s="917" t="s">
        <v>255</v>
      </c>
      <c r="B348" s="592" t="s">
        <v>256</v>
      </c>
    </row>
    <row r="349" spans="1:2" x14ac:dyDescent="0.2">
      <c r="A349" s="917" t="s">
        <v>443</v>
      </c>
      <c r="B349" s="592" t="s">
        <v>441</v>
      </c>
    </row>
    <row r="350" spans="1:2" x14ac:dyDescent="0.2">
      <c r="A350" s="917" t="s">
        <v>444</v>
      </c>
      <c r="B350" s="592" t="s">
        <v>442</v>
      </c>
    </row>
    <row r="351" spans="1:2" x14ac:dyDescent="0.2">
      <c r="A351" s="917" t="s">
        <v>294</v>
      </c>
      <c r="B351" s="592" t="s">
        <v>295</v>
      </c>
    </row>
    <row r="352" spans="1:2" x14ac:dyDescent="0.2">
      <c r="A352" s="917" t="s">
        <v>1737</v>
      </c>
      <c r="B352" s="592" t="s">
        <v>1738</v>
      </c>
    </row>
    <row r="353" spans="1:2" x14ac:dyDescent="0.2">
      <c r="A353" s="917" t="s">
        <v>3330</v>
      </c>
      <c r="B353" s="592" t="s">
        <v>3331</v>
      </c>
    </row>
    <row r="354" spans="1:2" x14ac:dyDescent="0.2">
      <c r="A354" s="917" t="s">
        <v>2536</v>
      </c>
      <c r="B354" s="592" t="s">
        <v>2148</v>
      </c>
    </row>
    <row r="355" spans="1:2" x14ac:dyDescent="0.2">
      <c r="A355" s="917" t="s">
        <v>1733</v>
      </c>
      <c r="B355" s="592" t="s">
        <v>1734</v>
      </c>
    </row>
    <row r="356" spans="1:2" x14ac:dyDescent="0.2">
      <c r="A356" s="917" t="s">
        <v>1439</v>
      </c>
      <c r="B356" s="592" t="s">
        <v>1440</v>
      </c>
    </row>
    <row r="357" spans="1:2" x14ac:dyDescent="0.2">
      <c r="A357" s="917" t="s">
        <v>1441</v>
      </c>
      <c r="B357" s="592" t="s">
        <v>1732</v>
      </c>
    </row>
    <row r="358" spans="1:2" x14ac:dyDescent="0.2">
      <c r="A358" s="917" t="s">
        <v>711</v>
      </c>
      <c r="B358" s="592" t="s">
        <v>701</v>
      </c>
    </row>
    <row r="359" spans="1:2" x14ac:dyDescent="0.2">
      <c r="A359" s="917" t="s">
        <v>714</v>
      </c>
      <c r="B359" s="592" t="s">
        <v>715</v>
      </c>
    </row>
    <row r="360" spans="1:2" x14ac:dyDescent="0.2">
      <c r="A360" s="917" t="s">
        <v>662</v>
      </c>
      <c r="B360" s="592" t="s">
        <v>663</v>
      </c>
    </row>
    <row r="361" spans="1:2" x14ac:dyDescent="0.2">
      <c r="A361" s="917" t="s">
        <v>777</v>
      </c>
      <c r="B361" s="592" t="s">
        <v>1559</v>
      </c>
    </row>
    <row r="362" spans="1:2" x14ac:dyDescent="0.2">
      <c r="A362" s="917" t="s">
        <v>40</v>
      </c>
      <c r="B362" s="592" t="s">
        <v>2193</v>
      </c>
    </row>
    <row r="363" spans="1:2" x14ac:dyDescent="0.2">
      <c r="A363" s="917" t="s">
        <v>229</v>
      </c>
      <c r="B363" s="592" t="s">
        <v>230</v>
      </c>
    </row>
    <row r="364" spans="1:2" x14ac:dyDescent="0.2">
      <c r="A364" s="917" t="s">
        <v>2191</v>
      </c>
      <c r="B364" s="592" t="s">
        <v>1688</v>
      </c>
    </row>
    <row r="365" spans="1:2" x14ac:dyDescent="0.2">
      <c r="A365" s="917" t="s">
        <v>3245</v>
      </c>
      <c r="B365" s="592" t="s">
        <v>3246</v>
      </c>
    </row>
    <row r="366" spans="1:2" x14ac:dyDescent="0.2">
      <c r="A366" s="917" t="s">
        <v>3468</v>
      </c>
      <c r="B366" s="592" t="s">
        <v>3469</v>
      </c>
    </row>
    <row r="367" spans="1:2" x14ac:dyDescent="0.2">
      <c r="A367" s="917" t="s">
        <v>203</v>
      </c>
      <c r="B367" s="592" t="s">
        <v>202</v>
      </c>
    </row>
    <row r="368" spans="1:2" x14ac:dyDescent="0.2">
      <c r="A368" s="917" t="s">
        <v>1974</v>
      </c>
      <c r="B368" s="592" t="s">
        <v>1865</v>
      </c>
    </row>
    <row r="369" spans="1:2" x14ac:dyDescent="0.2">
      <c r="A369" s="917" t="s">
        <v>1309</v>
      </c>
      <c r="B369" s="592" t="s">
        <v>1310</v>
      </c>
    </row>
    <row r="370" spans="1:2" x14ac:dyDescent="0.2">
      <c r="A370" s="917" t="s">
        <v>1776</v>
      </c>
      <c r="B370" s="592" t="s">
        <v>1491</v>
      </c>
    </row>
    <row r="371" spans="1:2" x14ac:dyDescent="0.2">
      <c r="A371" s="919" t="s">
        <v>4475</v>
      </c>
      <c r="B371" s="592" t="s">
        <v>4476</v>
      </c>
    </row>
    <row r="372" spans="1:2" x14ac:dyDescent="0.2">
      <c r="A372" s="917" t="s">
        <v>1780</v>
      </c>
      <c r="B372" s="592" t="s">
        <v>1781</v>
      </c>
    </row>
    <row r="373" spans="1:2" x14ac:dyDescent="0.2">
      <c r="A373" s="917" t="s">
        <v>1726</v>
      </c>
      <c r="B373" s="592" t="s">
        <v>1727</v>
      </c>
    </row>
    <row r="374" spans="1:2" x14ac:dyDescent="0.2">
      <c r="A374" s="917" t="s">
        <v>1782</v>
      </c>
      <c r="B374" s="592" t="s">
        <v>1783</v>
      </c>
    </row>
    <row r="375" spans="1:2" x14ac:dyDescent="0.2">
      <c r="A375" s="917" t="s">
        <v>1778</v>
      </c>
      <c r="B375" s="592" t="s">
        <v>1779</v>
      </c>
    </row>
    <row r="376" spans="1:2" x14ac:dyDescent="0.2">
      <c r="A376" s="917" t="s">
        <v>543</v>
      </c>
      <c r="B376" s="592" t="s">
        <v>2162</v>
      </c>
    </row>
    <row r="377" spans="1:2" x14ac:dyDescent="0.2">
      <c r="A377" s="917" t="s">
        <v>3174</v>
      </c>
      <c r="B377" s="592" t="s">
        <v>595</v>
      </c>
    </row>
    <row r="378" spans="1:2" x14ac:dyDescent="0.2">
      <c r="A378" s="917" t="s">
        <v>4046</v>
      </c>
      <c r="B378" s="592" t="s">
        <v>4047</v>
      </c>
    </row>
    <row r="379" spans="1:2" x14ac:dyDescent="0.2">
      <c r="A379" s="917" t="s">
        <v>4048</v>
      </c>
      <c r="B379" s="592" t="s">
        <v>4049</v>
      </c>
    </row>
    <row r="380" spans="1:2" x14ac:dyDescent="0.2">
      <c r="A380" s="917" t="s">
        <v>2325</v>
      </c>
      <c r="B380" s="592" t="s">
        <v>2326</v>
      </c>
    </row>
    <row r="381" spans="1:2" x14ac:dyDescent="0.2">
      <c r="A381" s="917" t="s">
        <v>2320</v>
      </c>
      <c r="B381" s="592" t="s">
        <v>2321</v>
      </c>
    </row>
    <row r="382" spans="1:2" x14ac:dyDescent="0.2">
      <c r="A382" s="917" t="s">
        <v>2323</v>
      </c>
      <c r="B382" s="592" t="s">
        <v>2324</v>
      </c>
    </row>
    <row r="485" spans="1:2" x14ac:dyDescent="0.2">
      <c r="A485" s="919"/>
      <c r="B485" s="919"/>
    </row>
  </sheetData>
  <sortState xmlns:xlrd2="http://schemas.microsoft.com/office/spreadsheetml/2017/richdata2" ref="A5:B382">
    <sortCondition ref="A382"/>
  </sortState>
  <hyperlinks>
    <hyperlink ref="B5" location="space_pumps_cust" display="space_pumps_cust" xr:uid="{671A776A-7C67-451A-A522-577F65D23903}"/>
    <hyperlink ref="B6" location="space_pumps_pre" display="space_pumps_pre" xr:uid="{3CB4E9AA-EDCE-42EB-8BA9-612AA5173CAD}"/>
    <hyperlink ref="B7" location="CH3NOOH_dens" display="CH3NOOH_dens" xr:uid="{862CE6E0-4EDF-4A1A-9FA2-92AB3D34BE93}"/>
    <hyperlink ref="B8" location="CH3NOOH_strength" display="CH3NOOH_strength" xr:uid="{DF861AB5-5F18-4BD6-ABB5-A5E9F15936E5}"/>
    <hyperlink ref="B9" location="redund_freq" display="redund_freq" xr:uid="{CE864971-C474-473F-9AC0-EECB5A4FCDDB}"/>
    <hyperlink ref="B10" location="redund_freq_fluid" display="redund_freq_fluid" xr:uid="{65C736AE-E594-4058-B121-61DE8ABCA028}"/>
    <hyperlink ref="B11" location="coag_res" display="coag_res" xr:uid="{E3DE9FAF-A139-412E-B31E-D09BA90ECB76}"/>
    <hyperlink ref="B12" location="polymer_res" display="polymer_res" xr:uid="{0C2B3213-FF1B-43AC-88A6-9B810223A00E}"/>
    <hyperlink ref="B13" location="add_blow_head" display="add_blow_head" xr:uid="{A6C45E2D-CE77-4D43-8A36-BC351F3A271E}"/>
    <hyperlink ref="B14" location="add_2nd_building" display="add_2nd_building" xr:uid="{BDBFAD6D-9AE5-4D6F-B9BF-CF8405B7F0BB}"/>
    <hyperlink ref="B15" location="sec_cont_freeboard" display="sec_cont_freeboard" xr:uid="{31A7F328-6FEA-450B-9487-4B7E75D43412}"/>
    <hyperlink ref="B16" location="add_ports" display="add_ports" xr:uid="{A18ED804-2703-43DE-AE97-B5DEA9628CAB}"/>
    <hyperlink ref="B17" location="add_turb" display="add_turb" xr:uid="{59BCF5D0-3623-4D9C-9A55-6646CA42E8B8}"/>
    <hyperlink ref="B18" location="Clerical_percent" display="Clerical_percent" xr:uid="{92B20C0E-E006-43EA-AD7B-52970865E721}"/>
    <hyperlink ref="B19" location="rate_aeration" display="rate_aeration" xr:uid="{992AFEE6-CA5E-4BE6-B6ED-8042FCAD3E6C}"/>
    <hyperlink ref="B20" location="hrt_aeration" display="hrt_aeration" xr:uid="{071D3E80-EF1A-4625-93D2-92D5B1EB49B9}"/>
    <hyperlink ref="B21" location="EER" display="EER" xr:uid="{118AD6D0-31F8-4C9E-9C16-591CF28A60D5}"/>
    <hyperlink ref="B22" location="air_scour_time" display="air_scour_time" xr:uid="{76EB3594-53DE-48CB-8347-0D65AAD6432D}"/>
    <hyperlink ref="B23" location="air_scour_vol" display="air_scour_vol" xr:uid="{8138ADB5-9F12-41E3-AEF6-33B02CF95BCD}"/>
    <hyperlink ref="B24" location="include_NEPA" display="include_NEPA" xr:uid="{B551C27B-376F-4256-B4C2-38B666F00153}"/>
    <hyperlink ref="B25" location="NH4CL_dens" display="NH4CL_dens" xr:uid="{E172679E-1C62-478D-8FA5-FEF0AB6FCC9F}"/>
    <hyperlink ref="B26" location="NH4Cl_dose_I" display="NH4Cl_dose_I" xr:uid="{A7393D17-914A-4778-90EE-884E80D920CA}"/>
    <hyperlink ref="B27" location="Materials_pct" display="Materials_pct" xr:uid="{572DB86D-626C-40A2-B414-0EE61B5990D7}"/>
    <hyperlink ref="B28" location="cool_DD" display="cool_DD" xr:uid="{2B1AE604-B8D0-443A-BB98-53A80AC4013F}"/>
    <hyperlink ref="B29" location="heat_DD" display="heat_DD" xr:uid="{65292486-B686-46A7-B132-38D9DD822FF4}"/>
    <hyperlink ref="B30" location="anthracite_density" display="anthracite_density" xr:uid="{C4B24CD5-63BD-4FD9-B2C2-F6B5F5450C23}"/>
    <hyperlink ref="B31" location="POTW_base_fee" display="POTW_base_fee" xr:uid="{67C4A869-1D44-4A6F-8007-099BF2EB8D93}"/>
    <hyperlink ref="B32" location="POTW_TSS_fee" display="POTW_TSS_fee" xr:uid="{AAB124FC-8985-4A7C-86E3-C3F3694D4341}"/>
    <hyperlink ref="B33" location="POTW_volume_fee" display="POTW_volume_fee" xr:uid="{5AA2DD7E-E063-4798-ABB2-794CB5EDADF7}"/>
    <hyperlink ref="B34" location="pan_evap" display="pan_evap" xr:uid="{7A0A3F2E-37BF-498B-88AE-1468358AE9AD}"/>
    <hyperlink ref="B35" location="precip" display="precip" xr:uid="{FB0E4535-6D1C-4697-AD40-E1C97B296726}"/>
    <hyperlink ref="B36" location="average_flow_I" display="average_flow_I" xr:uid="{0FEB283F-0792-483D-8F5F-653B0DDAE910}"/>
    <hyperlink ref="B37" location="back_pipe_mult" display="back_pipe_mult" xr:uid="{A9BBABC5-D050-46FA-A0BD-71FB8B9EB081}"/>
    <hyperlink ref="B38" location="back_pump_head" display="back_pump_head" xr:uid="{8E9BBC10-BA5F-40AE-81B6-694FE7BA7F81}"/>
    <hyperlink ref="B39" location="deep_bore_need" display="deep_bore_need" xr:uid="{DCDFF3E1-1DC9-401D-9093-AE49F770435D}"/>
    <hyperlink ref="B40" location="basin_freeboard" display="basin_freeboard" xr:uid="{D0D2581C-6C41-47E3-9665-D9EF9C635A3E}"/>
    <hyperlink ref="B41" location="filt_freeboard" display="filt_freeboard" xr:uid="{E5834526-40FB-406D-B447-DAAD51493954}"/>
    <hyperlink ref="B42" location="bed_depth_filt_small" display="bed_depth_filt_small" xr:uid="{3A577FBC-5DFB-4AD7-98D5-79E1467DC980}"/>
    <hyperlink ref="B43" location="bed_depth_filt_large" display="bed_depth_filt_large" xr:uid="{2EFA9B2B-2988-4134-A674-3274D2210E69}"/>
    <hyperlink ref="B44" location="bed_depth_filt" display="bed_depth_filt" xr:uid="{132A40C3-84F4-44E2-BC46-DFB06801D87A}"/>
    <hyperlink ref="B45" location="bed_depth" display="bed_depth" xr:uid="{401059DF-C338-4EA6-B0B0-7AD8AEFBFBF3}"/>
    <hyperlink ref="B46" location="bed_expansion" display="bed_expansion" xr:uid="{DA54B77D-FD87-498E-B1D4-E854029E8F59}"/>
    <hyperlink ref="B47" location="filt_bed_expansion" display="filt_bed_expansion" xr:uid="{6EE76465-C797-4C3B-AF17-D7EE08889D0A}"/>
    <hyperlink ref="B48" location="bedding_depth" display="bedding_depth" xr:uid="{52D43F76-7024-4E87-9E33-09AEA44192A8}"/>
    <hyperlink ref="B49" location="bedding_pct" display="bedding_pct" xr:uid="{C53E9BEC-2B82-4C72-9A3F-A6C8EEC8D8F8}"/>
    <hyperlink ref="B50" location="biomass_I" display="biomass_I" xr:uid="{A39CDD33-752B-4539-8A31-6F32DA905922}"/>
    <hyperlink ref="B51" location="biomass_air_scour" display="biomass_air_scour" xr:uid="{81F48AA3-6377-4BBB-A8D7-334689D65135}"/>
    <hyperlink ref="B52" location="backwash_time" display="backwash_time" xr:uid="{925213F5-4B99-4129-B0A3-870B93199944}"/>
    <hyperlink ref="B53" location="h2oflush_backwash_rate" display="h2oflush_backwash_rate" xr:uid="{BAEBA8B8-541D-4C2C-9AD5-247791B1D532}"/>
    <hyperlink ref="B54" location="blower_effcy" display="blower_effcy" xr:uid="{D834EA6F-33E2-47D5-B7CB-1A313D9F3FF5}"/>
    <hyperlink ref="B55" location="booster_pump_efficiency" display="booster_pump_efficiency" xr:uid="{D9CB1F84-C3BD-4C17-9E87-E8DBEED97ADF}"/>
    <hyperlink ref="B56" location="bore_depth_p" display="bore_depth_p" xr:uid="{FFA66521-9B92-4A5D-94FB-FF3D6696A54F}"/>
    <hyperlink ref="B57" location="bore_depth_max" display="bore_depth_max" xr:uid="{186C535C-2342-454C-83C6-3368493D1706}"/>
    <hyperlink ref="B58" location="bore_depth_min" display="bore_depth_min" xr:uid="{7B2D941D-F9C2-4C53-ACF4-D6561B5F711C}"/>
    <hyperlink ref="B59" location="hole_per_sf" display="hole_per_sf" xr:uid="{C38D92F0-C32F-4B23-A857-11F2B67F356F}"/>
    <hyperlink ref="B60" location="hole_per_job" display="hole_per_job" xr:uid="{B27E8163-DED2-45A5-ADFC-BA0708D558EC}"/>
    <hyperlink ref="B61" location="br_ins_pct" display="br_ins_pct" xr:uid="{0E6DA9B3-2862-4AA2-B9C6-08F4DF1E0F78}"/>
    <hyperlink ref="B62" location="bp_pipe_mult" display="bp_pipe_mult" xr:uid="{DC719176-50F8-4240-8009-61BE18A392A6}"/>
    <hyperlink ref="B63" location="chem_pipe_mult" display="chem_pipe_mult" xr:uid="{070CCAFF-914B-4D67-B46C-0D8387DDA85A}"/>
    <hyperlink ref="B64" location="sec_cont_coating_cvg" display="sec_cont_coating_cvg" xr:uid="{DC42F5D2-EB07-427E-B37C-55037B882155}"/>
    <hyperlink ref="B65" location="cmix_hp_per" display="cmix_hp_per" xr:uid="{85AC4310-AABF-452C-A1DD-8F6DE0B0B072}"/>
    <hyperlink ref="B66" location="city_index" display="city_index" xr:uid="{79DAF88F-365B-4381-8B14-D05DB5DD05B5}"/>
    <hyperlink ref="B67" location="htank_clean_pct" display="htank_clean_pct" xr:uid="{BDBC609C-4338-46DB-A7FD-66323FC805DB}"/>
    <hyperlink ref="B68" location="ceiling_clearance" display="ceiling_clearance" xr:uid="{7A4E3488-6E91-48F0-BDBD-C86EDB383BC8}"/>
    <hyperlink ref="B69" location="coag_dose_filt" display="coag_dose_filt" xr:uid="{03A0DD60-646E-40B1-B962-FD05ABDA03EF}"/>
    <hyperlink ref="B70" location="mix_hp_per" display="mix_hp_per" xr:uid="{6DDFB277-DC24-43AA-8855-26E08205C456}"/>
    <hyperlink ref="B71" location="coag_mix_time" display="coag_mix_time" xr:uid="{A2BEE16E-107F-4499-9BB0-E9DF98F53D5C}"/>
    <hyperlink ref="B72" location="coag_pct_filt" display="coag_pct_filt" xr:uid="{ECCC2AED-08D2-47EF-9421-49EBC651FB74}"/>
    <hyperlink ref="B73" location="coag_density_filt" display="coag_density_filt" xr:uid="{B6E33E34-A1A3-483B-A2D1-95158C958AE5}"/>
    <hyperlink ref="B74" location="Coeff_Kp" display="Coeff_Kp" xr:uid="{64A1398A-B0BF-4AE6-9F27-0EB17BC7E282}"/>
    <hyperlink ref="B75" location="workstation_ratio" display="workstation_ratio" xr:uid="{3B9002AB-21B3-4572-8458-5CD75962C6E7}"/>
    <hyperlink ref="B76" location="pad_thick" display="pad_thick" xr:uid="{F65BB8AB-DE4B-4A13-8AF3-5DF8F8C3361F}"/>
    <hyperlink ref="B77" location="pad_thick_small" display="pad_thick_small" xr:uid="{D2B19224-CAAB-47EA-9FEB-025058BAFDED}"/>
    <hyperlink ref="B78" location="conc_thick" display="conc_thick" xr:uid="{C95C3D58-0577-4DEE-91B0-DF0EB7C333D5}"/>
    <hyperlink ref="B79" location="cooling_table" display="cooling_table" xr:uid="{4B56ABA3-B90E-4F2D-9CDB-2CCB3EC67FF8}"/>
    <hyperlink ref="B80" location="cooling_table_shed" display="cooling_table_shed" xr:uid="{623C3504-9264-4CC8-B502-DCCE665E3E34}"/>
    <hyperlink ref="B81" location="cool_viload" display="cool_viload" xr:uid="{1525D433-C410-43D5-B073-B48ADCCD6974}"/>
    <hyperlink ref="B82" location="curve" display="curve" xr:uid="{C11B022A-422F-4687-8CAE-10C86F466D95}"/>
    <hyperlink ref="B83" location="booster_pump_maintenance" display="booster_pump_maintenance" xr:uid="{CCD176C9-9694-44B6-9F89-B5DD7C0F1C3C}"/>
    <hyperlink ref="B84" location="chem_storage" display="chem_storage" xr:uid="{373E9D0E-00BD-40C6-86C8-F42EABF0E3DC}"/>
    <hyperlink ref="B85" location="H2O2_days" display="H2O2_days" xr:uid="{D1132AFB-F39F-4BFF-B081-7830B37F7724}"/>
    <hyperlink ref="B86" location="cstore_days" display="cstore_days" xr:uid="{68EAE890-6B42-4BB3-95FD-D216B0DE8438}"/>
    <hyperlink ref="B87" location="winter_days" display="winter_days" xr:uid="{F6C6F60E-58E4-4D0B-A7B1-1BA2989EE79D}"/>
    <hyperlink ref="B88" location="hbasins_default" display="hbasins_default" xr:uid="{FFE874D8-D7E1-4F9F-A856-ADE90DF5D6BF}"/>
    <hyperlink ref="B89" location="thick_basins_default" display="thick_basins_default" xr:uid="{BE2D0618-9371-4EDD-8CEF-AD61DD87968D}"/>
    <hyperlink ref="B90" location="design_flow_I" display="design_flow_I" xr:uid="{AC853775-AB71-42F5-8735-A0BECD7553AA}"/>
    <hyperlink ref="B91" location="std_safety_factor" display="std_safety_factor" xr:uid="{1EB5288B-1370-454F-A53F-41FEF2AA8520}"/>
    <hyperlink ref="B92" location="comm_diam" display="comm_diam" xr:uid="{ADF65CFC-3C77-477E-8E74-2738634C4D2B}"/>
    <hyperlink ref="B93" location="H2O2_dilute_conc" display="H2O2_dilute_conc" xr:uid="{50A2FB09-745C-4B18-A9E1-F212ABAD7C4A}"/>
    <hyperlink ref="B94" location="solids_method" display="solids_method" xr:uid="{E7A2583F-5DEE-4B54-97FC-BCA574F7BCC6}"/>
    <hyperlink ref="B95" location="add_res_pipe_length" display="add_res_pipe_length" xr:uid="{348ACBE6-16A0-4A4B-9E9E-48B9A32FE6C7}"/>
    <hyperlink ref="B96" location="S_back_pump" display="S_back_pump" xr:uid="{44F919CD-A7A0-4C7B-B1A8-7A876421E6B0}"/>
    <hyperlink ref="B97" location="S_booster_pump" display="S_booster_pump" xr:uid="{C3F7BC56-FD69-4F3E-ACD1-E6A531C3D40F}"/>
    <hyperlink ref="B98" location="S_cm_pump" display="S_cm_pump" xr:uid="{D436BFF2-1444-4194-BD5F-533802CD3923}"/>
    <hyperlink ref="B99" location="S_eductor" display="S_eductor" xr:uid="{7368DE20-0940-4740-87AF-1E6524C6E4C9}"/>
    <hyperlink ref="B100" location="S_mixer" display="S_mixer" xr:uid="{A216066F-B7C4-4740-AD25-D49D1CB09F6B}"/>
    <hyperlink ref="B101" location="S_recycle_pump" display="S_recycle_pump" xr:uid="{61FEB7E6-D024-46F9-BE28-0D2441AA1483}"/>
    <hyperlink ref="B102" location="S_res_pump" display="S_res_pump" xr:uid="{26888AF1-1B6F-4013-94FB-31D4823C81CB}"/>
    <hyperlink ref="B103" location="ebct_filt" display="ebct_filt" xr:uid="{0E90507D-E98A-4E31-92D4-14D3513B1D57}"/>
    <hyperlink ref="B104" location="resist_eff" display="resist_eff" xr:uid="{831C609C-7B65-4084-A595-D14979420C9C}"/>
    <hyperlink ref="B105" location="elect_pct" display="elect_pct" xr:uid="{837D40E2-27B3-491D-AE2B-3EE02B0981E1}"/>
    <hyperlink ref="B106" location="e_donor_dose_I" display="e_donor_dose_I" xr:uid="{74803903-5338-4B71-B8C9-E2D7A9038C97}"/>
    <hyperlink ref="B107" location="e_donor_type_I" display="e_donor_type_I" xr:uid="{4C978F36-A9E1-48CE-A627-F7BD774EA799}"/>
    <hyperlink ref="B108" location="eng_pct_large" display="eng_pct_large" xr:uid="{C7E3B5B3-4599-45CD-A0EB-8CD81579F4C4}"/>
    <hyperlink ref="B109" location="eng_pct_medium" display="eng_pct_medium" xr:uid="{235FC88C-D433-482A-8D44-B8AFDA843D35}"/>
    <hyperlink ref="B110" location="eng_pct_small" display="eng_pct_small" xr:uid="{006F6F2A-0FB4-4E6B-AAAB-88E09B3BB577}"/>
    <hyperlink ref="B111" location="ethanol_dens" display="ethanol_dens" xr:uid="{90DCB9B1-DC8C-46BA-9BF6-4E66C6C4AD6E}"/>
    <hyperlink ref="B112" location="plc_ethernet " display="plc_ethernet " xr:uid="{215762FE-340B-4DD4-9E47-5165D4121B9E}"/>
    <hyperlink ref="B113" location="dike_xsection" display="dike_xsection" xr:uid="{C634ADA4-EA75-42AD-B935-A77796C32785}"/>
    <hyperlink ref="B114" location="ep_freeboard" display="ep_freeboard" xr:uid="{04B754FE-A28A-4CD5-86C3-150455407800}"/>
    <hyperlink ref="B115" location="ep_safety_factor" display="ep_safety_factor" xr:uid="{214704DF-D19A-4F86-8554-7036C55FC9F2}"/>
    <hyperlink ref="B116" location="ep_solids_density" display="ep_solids_density" xr:uid="{15E37B72-2BCF-42E9-89A5-4B9246A72DA8}"/>
    <hyperlink ref="B117" location="dredging_freq" display="dredging_freq" xr:uid="{F1D671A0-692F-4BE1-82FE-C656C0AE7110}"/>
    <hyperlink ref="B118" location="evap_ratio" display="evap_ratio" xr:uid="{9B5FCA8E-6FD1-4BBF-9B5F-97CFD893AF1D}"/>
    <hyperlink ref="B119" location="coag_dose" display="coag_dose" xr:uid="{3459FC48-5411-4254-87EC-4FC3A67E0089}"/>
    <hyperlink ref="B120" location="coag_spf" display="coag_spf" xr:uid="{90582703-1982-4024-BA04-43F5A2053CE9}"/>
    <hyperlink ref="B121" location="coag_pct" display="coag_pct" xr:uid="{19536173-29CD-4B27-AC3C-F2072E3B5C86}"/>
    <hyperlink ref="B122" location="coag_density" display="coag_density" xr:uid="{43FECB29-E390-42BC-BFDB-DF201ACBBA08}"/>
    <hyperlink ref="B123" location="filter_backwash_time" display="filter_backwash_time" xr:uid="{DBC44687-6619-4277-BC1D-385E1A1331C3}"/>
    <hyperlink ref="B124" location="load_max_filt" display="load_max_filt" xr:uid="{31743C81-F564-42CD-A1D9-764588B12884}"/>
    <hyperlink ref="B125" location="load_min_filt" display="load_min_filt" xr:uid="{5BB64BE8-499A-4321-9CA6-483BE54BC1E8}"/>
    <hyperlink ref="B126" location="filter_h2oflush_backwash_rate" display="filter_h2oflush_backwash_rate" xr:uid="{A3942353-FC80-4111-9BE6-21D3F6125090}"/>
    <hyperlink ref="B127" location="finance_pct" display="finance_pct" xr:uid="{121C63A6-3799-44B0-94C1-F8A8B0F9CEE7}"/>
    <hyperlink ref="B128" location="finance_pct_small" display="finance_pct_small" xr:uid="{976C6FD7-E51B-4ED7-A482-F67232E9262B}"/>
    <hyperlink ref="B129" location="fire_buffer" display="fire_buffer" xr:uid="{533DBC4B-A80C-4C5C-A161-428F1FA02A40}"/>
    <hyperlink ref="B130" location="tot_fm_back" display="tot_fm_back" xr:uid="{7B2C065D-4491-46B7-92AF-CFDC598781CC}"/>
    <hyperlink ref="B131" location="tot_fm_in" display="tot_fm_in" xr:uid="{98C3C913-E2C0-4171-BCA0-E9B81A6125A9}"/>
    <hyperlink ref="B132" location="fm_proc" display="fm_proc" xr:uid="{C02B89D1-6D8E-4E61-8915-21432174C980}"/>
    <hyperlink ref="B133" location="tot_fm_res" display="tot_fm_res" xr:uid="{D4F018A2-1910-4CBF-9A78-CB4EEA09A957}"/>
    <hyperlink ref="B134" location="uloe_chem_maint" display="uloe_chem_maint" xr:uid="{61EF4908-7A70-483A-81F3-9D885E0427B2}"/>
    <hyperlink ref="B135" location="uloe_inst_maint" display="uloe_inst_maint" xr:uid="{120EBF51-E94E-4E51-BFF4-BDD620E81CF2}"/>
    <hyperlink ref="B136" location="uloe_pump_maint" display="uloe_pump_maint" xr:uid="{727220F0-DB8C-4EB0-BA72-BF0DF09F29D8}"/>
    <hyperlink ref="B137" location="uloe_valve_maint" display="uloe_valve_maint" xr:uid="{FD94988D-E341-4212-BE20-C5E29834EC44}"/>
    <hyperlink ref="B138" location="anthracite_fraction" display="anthracite_fraction" xr:uid="{766BE5D5-996D-466E-8652-4EAE37FEA639}"/>
    <hyperlink ref="B139" location="GAC_fraction" display="GAC_fraction" xr:uid="{60169A50-49C3-41DF-9EF2-3F9AFBA15501}"/>
    <hyperlink ref="B140" location="garnet_fraction" display="garnet_fraction" xr:uid="{879EBA6E-7900-4CF0-B4C6-7E790B11B27F}"/>
    <hyperlink ref="B141" location="sand_fraction" display="sand_fraction" xr:uid="{DA9BAA27-4E2C-46E5-8216-9B0AA8C54B02}"/>
    <hyperlink ref="B142" location="free_board" display="free_board" xr:uid="{50C9A1A1-7697-44F8-8F97-9E580DD2C7CA}"/>
    <hyperlink ref="B143" location="freeboard_fluidized_small" display="freeboard_fluidized_small" xr:uid="{573AF5CA-1D86-492E-9735-00D419A8E033}"/>
    <hyperlink ref="B144" location="freeboard_fluidized" display="freeboard_fluidized" xr:uid="{9E0A7E5E-117D-430D-B95B-9AAAFB84E762}"/>
    <hyperlink ref="B145" location="frost" display="frost" xr:uid="{A1AFD509-FB70-4B80-A7F8-32CA2BA22857}"/>
    <hyperlink ref="B146" location="GAC_density" display="GAC_density" xr:uid="{5995DF33-6C8E-4F29-BADE-D61566F30F39}"/>
    <hyperlink ref="B147" location="garnet_density" display="garnet_density" xr:uid="{2CA23038-6A75-4629-9D85-8335AAD7CAAA}"/>
    <hyperlink ref="B148" location="head_tank" display="head_tank" xr:uid="{7DB8D4E7-DCE9-4CC4-B2F2-0F63EAD22E5B}"/>
    <hyperlink ref="B149" location="hp_EER" display="hp_EER" xr:uid="{F91347DE-87D5-4502-80B9-02CB883EA2D0}"/>
    <hyperlink ref="B150" location="COP" display="COP" xr:uid="{39F140A6-9CF4-4C0A-B9D6-F9BD05895AF7}"/>
    <hyperlink ref="B151" location="diesel_heat_content" display="diesel_heat_content" xr:uid="{86D8106A-CEA9-4FAD-900C-AF0E4EAA019D}"/>
    <hyperlink ref="B152" location="heating_table" display="heating_table" xr:uid="{AD4D7D1D-F413-4148-8933-7BAF0CEC5596}"/>
    <hyperlink ref="B153" location="heating_table_shed" display="heating_table_shed" xr:uid="{ED0A5C33-B205-4F49-A22D-7A1AD2E729CD}"/>
    <hyperlink ref="B154" location="heat_viload" display="heat_viload" xr:uid="{69118BB2-71CE-42DE-B2AB-60F85978A896}"/>
    <hyperlink ref="B155" location="comm_height_length" display="comm_height_length" xr:uid="{8D3D2402-22EA-4935-9D9B-5106B5248BAB}"/>
    <hyperlink ref="B156" location="alarm_back" display="alarm_back" xr:uid="{FF2B1DBF-764E-4F30-A206-93C2E91C517F}"/>
    <hyperlink ref="B157" location="alarm_chem" display="alarm_chem" xr:uid="{7234D9F3-EF1E-4CF6-90A3-C518ED627DDB}"/>
    <hyperlink ref="B158" location="alarm_res" display="alarm_res" xr:uid="{B253DC9C-5630-4A1D-83BB-3250DACB08E7}"/>
    <hyperlink ref="B159" location="holding_ratio" display="holding_ratio" xr:uid="{1C333F95-8F24-4960-B08C-A5A39430DC58}"/>
    <hyperlink ref="B160" location="holding_freeboard" display="holding_freeboard" xr:uid="{54494793-989B-4ED4-84B2-B6725F6D322E}"/>
    <hyperlink ref="B161" location="res_cap_factor" display="res_cap_factor" xr:uid="{3E938158-3440-4E01-ADB9-BB962600DDF4}"/>
    <hyperlink ref="B162" location="hmix_hp_per" display="hmix_hp_per" xr:uid="{2DE4A115-1ED2-47C0-9517-07F8DB94B4C4}"/>
    <hyperlink ref="B163" location="ht_solids_density" display="ht_solids_density" xr:uid="{E16D884A-FC96-4B67-AAE1-F3323B02616E}"/>
    <hyperlink ref="B164" location="res_transfer_method" display="res_transfer_method" xr:uid="{57F3EA94-7E02-4553-88FA-A51E8C092615}"/>
    <hyperlink ref="B165" location="coag_TSSrem" display="coag_TSSrem" xr:uid="{1228F214-C14F-4838-920E-659F83372513}"/>
    <hyperlink ref="B166" location="htank_TSSrem" display="htank_TSSrem" xr:uid="{30445C72-AA2F-408C-85F6-6276508EC1AF}"/>
    <hyperlink ref="B167" location="uloe_throwaway" display="uloe_throwaway" xr:uid="{6E565E3F-C5B3-4812-A7AE-A226C7837456}"/>
    <hyperlink ref="B168" location="ebct_I" display="ebct_I" xr:uid="{BC7086C7-A7EF-444D-9C0C-4D4F70D4DE93}"/>
    <hyperlink ref="B169" location="H2O2_dose" display="H2O2_dose" xr:uid="{BB3F4066-56B1-4207-A48F-B9B0C4F03999}"/>
    <hyperlink ref="B170" location="port_table" display="port_table" xr:uid="{BCE0AF5E-D2F9-444D-AE22-2CB1AA3D4E28}"/>
    <hyperlink ref="B171" location="day_tank_needed" display="day_tank_needed" xr:uid="{364D0715-551B-4B94-8CBC-F45ECC3142B6}"/>
    <hyperlink ref="B172" location="include_arch_small" display="include_arch_small" xr:uid="{6A0C48B3-AA19-4FE2-92FA-C5234B91646A}"/>
    <hyperlink ref="B173" location="include_arch" display="include_arch" xr:uid="{3B042DD1-0126-4075-8F0C-36BF75253011}"/>
    <hyperlink ref="B174" location="include_pad" display="include_pad" xr:uid="{47AA931C-62F6-4696-8B8A-9C9C8E8757EE}"/>
    <hyperlink ref="B175" location="include_cm_pre" display="include_cm_pre" xr:uid="{9CAF5D93-93A3-498A-BDEF-A663CC87AB3C}"/>
    <hyperlink ref="B176" location="include_cm" display="include_cm" xr:uid="{B6D61AD2-911C-43DD-88D8-AD0449F62AA1}"/>
    <hyperlink ref="B177" location="include_conting_high" display="include_conting_high" xr:uid="{1DAB5586-88F0-4022-9F91-30B79B2E8F5B}"/>
    <hyperlink ref="B178" location="include_conting_low" display="include_conting_low" xr:uid="{ABD84D03-C039-445A-AA53-B69265E1F356}"/>
    <hyperlink ref="B179" location="include_conting_medium" display="include_conting_medium" xr:uid="{C7E57D22-008A-43E3-9990-7A5C4AAE7F81}"/>
    <hyperlink ref="B180" location="need_cool" display="need_cool" xr:uid="{AFE03BCE-6A0C-43AD-98E6-8C33C70579BD}"/>
    <hyperlink ref="B181" location="include_geo_high" display="include_geo_high" xr:uid="{596E68E5-208C-494F-A6FC-673561FA1AED}"/>
    <hyperlink ref="B182" location="include_geo_low" display="include_geo_low" xr:uid="{7C8053F7-574B-4EB8-A7D1-F94C28B0B491}"/>
    <hyperlink ref="B183" location="include_geo_medium" display="include_geo_medium" xr:uid="{A4D950C1-11AA-4EA8-8CE7-607DFE75A0DA}"/>
    <hyperlink ref="B184" location="need_heat" display="need_heat" xr:uid="{99713AE6-D2B6-4027-982E-41CF335E92F7}"/>
    <hyperlink ref="B185" location="include_cmix" display="include_cmix" xr:uid="{D28F100F-C618-4AD2-A2F5-AAAA98EEDAA5}"/>
    <hyperlink ref="B186" location="include_bond" display="include_bond" xr:uid="{6756364B-65C6-4EB5-BD98-AD50089DEC2E}"/>
    <hyperlink ref="B187" location="include_permits" display="include_permits" xr:uid="{362E8804-2891-464F-AAA8-6A96AD2EE872}"/>
    <hyperlink ref="B188" location="include_pilot" display="include_pilot" xr:uid="{5F3914E9-250A-4104-90E6-384B343163A2}"/>
    <hyperlink ref="B189" location="include_sec_cont" display="include_sec_cont" xr:uid="{F0E6A445-99D5-4B43-BB98-690F62245E88}"/>
    <hyperlink ref="B190" location="include_sitework" display="include_sitework" xr:uid="{C1F53DE1-2A1C-4C22-866D-8B2740994925}"/>
    <hyperlink ref="B191" location="include_standby_small" display="include_standby_small" xr:uid="{A277C498-FF18-43CC-83D5-70F5F09A4DD8}"/>
    <hyperlink ref="B192" location="include_standby" display="include_standby" xr:uid="{751CFD10-838B-4545-B7A1-0B9B1B711CFD}"/>
    <hyperlink ref="B193" location="include_yardpipe" display="include_yardpipe" xr:uid="{12EFE604-214F-480D-9FAD-745D955A2233}"/>
    <hyperlink ref="B194" location="in_out_pipe_mult" display="in_out_pipe_mult" xr:uid="{EC3617DC-DB37-469D-8358-E2382CAA4DE6}"/>
    <hyperlink ref="B195" location="O2_in" display="O2_in" xr:uid="{5635E2DA-A462-427C-B406-998B9D17B037}"/>
    <hyperlink ref="B196" location="NO3_in" display="NO3_in" xr:uid="{C28959CC-5BF0-496A-BC9F-B241F6BF8494}"/>
    <hyperlink ref="B197" location="ClO4_in" display="ClO4_in" xr:uid="{C8515457-945E-4208-9B90-FF06DBBFAA01}"/>
    <hyperlink ref="B198" location="inst_pct" display="inst_pct" xr:uid="{BB7A4800-5829-49AA-A7A0-F154A7D31F9B}"/>
    <hyperlink ref="B199" location="i_c_pct" display="i_c_pct" xr:uid="{31CE58BF-D771-4A31-A755-88658AD6C8FC}"/>
    <hyperlink ref="B200" location="Weekly_labor" display="Weekly_labor" xr:uid="{1281EE71-4D8C-4B07-836E-C584595E1ADD}"/>
    <hyperlink ref="B201" location="legal_pct" display="legal_pct" xr:uid="{36095112-9467-4707-9355-E561D0D73D5E}"/>
    <hyperlink ref="B202" location="level_switch" display="level_switch" xr:uid="{33DFB995-185C-4446-9868-56E1B7F7D8EF}"/>
    <hyperlink ref="B203" location="level_switch_small" display="level_switch_small" xr:uid="{3AB01EBF-004E-42DB-B307-F07F2E8E46EF}"/>
    <hyperlink ref="B204" location="level_switch_g" display="level_switch_g" xr:uid="{70712955-95F6-4A0A-88E2-B32F2B38A92C}"/>
    <hyperlink ref="B205" location="level_switch_small_g" display="level_switch_small_g" xr:uid="{4AEEC9A9-09B6-464B-9D64-A85D8373E2B5}"/>
    <hyperlink ref="B206" location="lighting_power_high" display="lighting_power_high" xr:uid="{F959789C-A6D2-430E-84C9-7804C28AA902}"/>
    <hyperlink ref="B207" location="lighting_power_low" display="lighting_power_low" xr:uid="{AD97E656-3C65-455C-BE53-FCC365CAEFA0}"/>
    <hyperlink ref="B208" location="lighting_power_mid" display="lighting_power_mid" xr:uid="{385B178C-AB37-4838-96E8-CC82E05F166E}"/>
    <hyperlink ref="B209" location="hole_per_day" display="hole_per_day" xr:uid="{05C9E256-4F54-485B-A623-8F07107D7864}"/>
    <hyperlink ref="B210" location="load_max" display="load_max" xr:uid="{0DC0E934-FC96-478A-845B-3DAB27906D00}"/>
    <hyperlink ref="B211" location="load_min" display="load_min" xr:uid="{F43CADD2-4E13-437D-B41B-7B847A3A0556}"/>
    <hyperlink ref="B212" location="Manager_percent" display="Manager_percent" xr:uid="{9FDB2166-D4AD-4347-A647-C5310DC0E476}"/>
    <hyperlink ref="B213" location="max_space_vessels_cust" display="max_space_vessels_cust" xr:uid="{28EF18DF-50AC-4284-8F3C-7C98C44EE04F}"/>
    <hyperlink ref="B214" location="max_space_vessels_pre" display="max_space_vessels_pre" xr:uid="{0423CA79-3193-481D-91CB-436EC7A8D951}"/>
    <hyperlink ref="B215" location="max_length_g" display="max_length_g" xr:uid="{86FA9F18-1CDF-4679-8F19-B07A584239EB}"/>
    <hyperlink ref="B216" location="max_width" display="max_width" xr:uid="{7AB1E42C-0A85-41A6-A53D-47DCD63FAF99}"/>
    <hyperlink ref="B217" location="max_depth" display="max_depth" xr:uid="{A01973E9-EF17-4467-8908-60B25DFDA9D2}"/>
    <hyperlink ref="B218" location="max_bed_depth" display="max_bed_depth" xr:uid="{2161C463-454C-4266-B529-3CB7B8393AC4}"/>
    <hyperlink ref="B219" location="sec_cont_max_thick" display="sec_cont_max_thick" xr:uid="{8CB12774-C841-458C-9982-B4773C8D8294}"/>
    <hyperlink ref="B220" location="max_thick_depth" display="max_thick_depth" xr:uid="{BCA918BD-FF5C-45A6-B97A-A9C40977ED7D}"/>
    <hyperlink ref="B221" location="max_ep_cell_area" display="max_ep_cell_area" xr:uid="{E42DA221-5D3E-4162-B897-877B518CF6CD}"/>
    <hyperlink ref="B222" location="max_haz_ship" display="max_haz_ship" xr:uid="{133FF565-7CA1-494B-A347-79A21E2F6150}"/>
    <hyperlink ref="B223" location="max_diam_override" display="max_diam_override" xr:uid="{9F57B356-B802-42E2-95C4-5054115FDE25}"/>
    <hyperlink ref="B224" location="max_height" display="max_height" xr:uid="{5ABAFF5F-147B-416F-9667-86F890D1A466}"/>
    <hyperlink ref="B225" location="max_length" display="max_length" xr:uid="{39AE4A8F-A952-4F02-B62F-69A5B6AF2C08}"/>
    <hyperlink ref="B226" location="fluid_media_loss_rate" display="fluid_media_loss_rate" xr:uid="{FB9CA464-EF32-4809-80A5-5DD5C3D07BFF}"/>
    <hyperlink ref="B227" location="media_loss_rate" display="media_loss_rate" xr:uid="{3CF65389-F7BF-4EB4-82F4-2854D3007BFF}"/>
    <hyperlink ref="B228" location="filter_media_loss_rate" display="filter_media_loss_rate" xr:uid="{5E2D35DD-7F98-4B78-A3D8-AD42CD558F07}"/>
    <hyperlink ref="B229" location="bed_expansion_fluidized" display="bed_expansion_fluidized" xr:uid="{BEB9BABE-6484-4FE9-AEFA-5607E9F88B34}"/>
    <hyperlink ref="B230" location="diesel_eff" display="diesel_eff" xr:uid="{236E12FC-C6C0-4D80-99D6-6DF66482AF31}"/>
    <hyperlink ref="B231" location="haz_miles" display="haz_miles" xr:uid="{871C835A-1889-4AFE-9055-D635489910E8}"/>
    <hyperlink ref="B232" location="non_haz_miles" display="non_haz_miles" xr:uid="{232DEA47-E1DB-4E3F-B1E1-B4E501A9D736}"/>
    <hyperlink ref="B233" location="min_avg_flow" display="min_avg_flow" xr:uid="{150FAE08-CD62-41A5-AB32-8452C5B281C6}"/>
    <hyperlink ref="B234" location="min_length_g" display="min_length_g" xr:uid="{836D78B2-7873-4F8A-8898-09373ED0D804}"/>
    <hyperlink ref="B235" location="min_width" display="min_width" xr:uid="{D8103B92-FE35-48E4-9693-CF562CBFE949}"/>
    <hyperlink ref="B236" location="min_depth" display="min_depth" xr:uid="{2CDAB367-EAD7-4490-96FC-6E4E62A5B1A0}"/>
    <hyperlink ref="B237" location="min_bed_depth" display="min_bed_depth" xr:uid="{EFB29505-2DEF-4F24-8B99-0F28BAC97777}"/>
    <hyperlink ref="B238" location="min_chem_flow" display="min_chem_flow" xr:uid="{B4FEC467-C258-4A2E-893B-FC7EE1621730}"/>
    <hyperlink ref="B239" location="min_cmix_hp" display="min_cmix_hp" xr:uid="{9AB4E23F-5ADA-4982-A3C7-91945202401F}"/>
    <hyperlink ref="B240" location="min_hmix_hp" display="min_hmix_hp" xr:uid="{6CF06B8E-0A49-4ADC-BFBC-46F9560D1041}"/>
    <hyperlink ref="B241" location="min_mix_hp" display="min_mix_hp" xr:uid="{526F61CD-A581-4139-9102-D07059717DB1}"/>
    <hyperlink ref="B242" location="min_holes" display="min_holes" xr:uid="{77133F09-068D-4468-86A7-D4A0867648B4}"/>
    <hyperlink ref="B243" location="min_ep_cells" display="min_ep_cells" xr:uid="{37E9D23E-F864-4597-A69C-BFCB617491EC}"/>
    <hyperlink ref="B244" location="min_res_pipe_size" display="min_res_pipe_size" xr:uid="{96AB340F-FC9B-4657-A714-2FE522CC9945}"/>
    <hyperlink ref="B245" location="res_coag_settle_time" display="res_coag_settle_time" xr:uid="{8B96EBA4-4E7A-42F3-B44A-A64DA2981A38}"/>
    <hyperlink ref="B246" location="min_standby" display="min_standby" xr:uid="{F3AFAC5C-2DE3-4F42-B796-83BEFD8190E2}"/>
    <hyperlink ref="B247" location="min_trench_depth" display="min_trench_depth" xr:uid="{2E221F6B-F5FD-4914-B71F-DFEFD824CF3C}"/>
    <hyperlink ref="B248" location="uloe_fp" display="uloe_fp" xr:uid="{548FE4A4-A8B3-4B55-87EE-6C6512B721F0}"/>
    <hyperlink ref="B249" location="uloe_autoback" display="uloe_autoback" xr:uid="{FBA15051-8DA3-4FCA-BA28-A3A29CBE867E}"/>
    <hyperlink ref="B250" location="uloe_inst" display="uloe_inst" xr:uid="{20439833-F929-4A9A-8A31-5F25EE51045B}"/>
    <hyperlink ref="B251" location="uloe_pump" display="uloe_pump" xr:uid="{A2A72311-B939-4006-9DF0-1A6CE9DD7D9B}"/>
    <hyperlink ref="B252" location="uloe_valve" display="uloe_valve" xr:uid="{0A1C70EA-66A1-4652-89D6-C277E5999B87}"/>
    <hyperlink ref="B253" location="misc_pct" display="misc_pct" xr:uid="{230B8E88-DEE1-43C7-9D6E-D246DB8B49A3}"/>
    <hyperlink ref="B254" location="mob_pct_large" display="mob_pct_large" xr:uid="{EC4047E1-C73B-4617-BF6F-20C14E9848AA}"/>
    <hyperlink ref="B255" location="mob_pct_medium" display="mob_pct_medium" xr:uid="{246E5D40-0D53-4BFA-835E-E84C2E84FE5E}"/>
    <hyperlink ref="B256" location="mob_pct_pre" display="mob_pct_pre" xr:uid="{28AA8597-98CC-4E9D-A447-4BF6423DB8FE}"/>
    <hyperlink ref="B257" location="mob_pct_small" display="mob_pct_small" xr:uid="{8392326B-1B12-4FC2-8E79-748AB19C1A0B}"/>
    <hyperlink ref="B258" location="gas_eff" display="gas_eff" xr:uid="{7AEBC4DD-90DA-43E4-8481-13DF6061337B}"/>
    <hyperlink ref="B259" location="gas_non_eff" display="gas_non_eff" xr:uid="{D328ECB5-7E80-4378-9333-A641359BA7FD}"/>
    <hyperlink ref="B260" location="non_fire_buffer" display="non_fire_buffer" xr:uid="{42BB7C36-40F1-4411-A202-0A0278F57DD8}"/>
    <hyperlink ref="B261" location="back_chv_no_back" display="back_chv_no_back" xr:uid="{D6CE3E2E-09D8-4F08-B4A6-E28216A349E2}"/>
    <hyperlink ref="B262" location="back_chv_pump" display="back_chv_pump" xr:uid="{C818A0DD-493F-4B69-B2A8-9DC505B00671}"/>
    <hyperlink ref="B263" location="tot_bp_chv" display="tot_bp_chv" xr:uid="{3E1BD120-9E32-4C4D-9C30-BE312779A0A8}"/>
    <hyperlink ref="B264" location="chem_chv_pump" display="chem_chv_pump" xr:uid="{48347E23-0781-4601-A76C-291EB77006E5}"/>
    <hyperlink ref="B265" location="coag_chv_pump" display="coag_chv_pump" xr:uid="{B372CBD6-FCBE-4F6D-9730-FD6D38F8A6CD}"/>
    <hyperlink ref="B266" location="tot_in_chv" display="tot_in_chv" xr:uid="{7A7DB6EC-2EE5-445A-8234-6B8DDB64DF22}"/>
    <hyperlink ref="B267" location="tot_nutrient_chv" display="tot_nutrient_chv" xr:uid="{CC7A9DDA-71C7-4B38-A81C-775D4EC1D72C}"/>
    <hyperlink ref="B268" location="polymer_chv_pump" display="polymer_chv_pump" xr:uid="{ABAEFC20-6F5C-48E2-A3F4-EE0CC368A6E0}"/>
    <hyperlink ref="B269" location="res_chv_no_pump" display="res_chv_no_pump" xr:uid="{05E22D0A-9BF6-4B4F-9B9E-7DA8B770436D}"/>
    <hyperlink ref="B270" location="res_chv_pump" display="res_chv_pump" xr:uid="{A8D54783-8D6A-4733-A0C4-FEEE2B910F84}"/>
    <hyperlink ref="B271" location="plc_cpu" display="plc_cpu" xr:uid="{F2D615DF-BF77-4EB2-ACE9-171B5F758F57}"/>
    <hyperlink ref="B272" location="elec_encl" display="elec_encl" xr:uid="{17A74791-3B37-4A84-BE99-818E5AC30D0A}"/>
    <hyperlink ref="B273" location="tot_man_valves" display="tot_man_valves" xr:uid="{8C5842D4-8724-4BBA-B8A9-E95B8042AB0D}"/>
    <hyperlink ref="B274" location="proc_man_vessel" display="proc_man_vessel" xr:uid="{16BCDAAB-9046-4D6C-AA6C-F4A5E9DF0AE1}"/>
    <hyperlink ref="B275" location="fan_days_build2_large" display="fan_days_build2_large" xr:uid="{730AD69D-114B-49F7-A5EF-F3B25CBC184A}"/>
    <hyperlink ref="B276" location="fan_days_build2_medium" display="fan_days_build2_medium" xr:uid="{B20BE668-6195-406D-BE13-D03613A75258}"/>
    <hyperlink ref="B277" location="fan_days_build2_small" display="fan_days_build2_small" xr:uid="{D2DCE45A-ACBA-4735-A1B6-29B49836254B}"/>
    <hyperlink ref="B278" location="fan_days_build1_large" display="fan_days_build1_large" xr:uid="{DBF19171-4F7B-4203-AB1B-9CABFE2332FC}"/>
    <hyperlink ref="B279" location="fan_days_build1_medium" display="fan_days_build1_medium" xr:uid="{752A7188-CCA8-47D7-A96B-2F2AC1C97B8F}"/>
    <hyperlink ref="B280" location="fan_days_build1_small" display="fan_days_build1_small" xr:uid="{D03F0826-87FD-4C17-A5ED-B197C7268054}"/>
    <hyperlink ref="B281" location="NRD_basins_large" display="NRD_basins_large" xr:uid="{167AF28F-E16B-4308-8C3E-501AC122CA3D}"/>
    <hyperlink ref="B282" location="NRD_basins_medium" display="NRD_basins_medium" xr:uid="{AE882B17-2570-4C2D-B7DE-9CECF34627DF}"/>
    <hyperlink ref="B283" location="NRD_small" display="NRD_small" xr:uid="{00A12DA2-DF45-4F0C-90AE-C47DDA02B2DA}"/>
    <hyperlink ref="B284" location="NRD_small_1" display="NRD_small_1" xr:uid="{930D128C-F65F-4F25-999E-F39D83733B1C}"/>
    <hyperlink ref="B285" location="NRD_cm_pump" display="NRD_cm_pump" xr:uid="{8C714C50-12A6-4F2F-94F3-8471E7070A79}"/>
    <hyperlink ref="B286" location="filt_NRD_basins_large" display="filt_NRD_basins_large" xr:uid="{0F72841B-28BB-46D6-8EF7-A96CE841C476}"/>
    <hyperlink ref="B287" location="filt_NRD_basins_medium" display="filt_NRD_basins_medium" xr:uid="{312A0C3B-2C55-43DC-A4BA-17E836BD0D38}"/>
    <hyperlink ref="B288" location="filt_NRD_small" display="filt_NRD_small" xr:uid="{E0724165-1535-481E-BC6C-F694F0FCA8FC}"/>
    <hyperlink ref="B289" location="filt_NRD_small_1" display="filt_NRD_small_1" xr:uid="{2FA0CFB9-DE02-4418-9793-E5027E000A54}"/>
    <hyperlink ref="B290" location="shifts_day" display="shifts_day" xr:uid="{B5C736AC-8590-40FC-9423-BF2DBA03D9AC}"/>
    <hyperlink ref="B291" location="risers" display="risers" xr:uid="{FF12A29F-9AAC-4333-81E2-42A6CCA00258}"/>
    <hyperlink ref="B292" location="n_mixers" display="n_mixers" xr:uid="{3E23C933-8971-4D08-925A-56549A888C42}"/>
    <hyperlink ref="B293" location="nutrient_option_I" display="nutrient_option_I" xr:uid="{8EC3F36F-7070-4F79-9F29-B4A861B55F6D}"/>
    <hyperlink ref="B294" location="space_office" display="space_office" xr:uid="{B26BE2FE-B00B-474A-893C-6AE86E62CAA2}"/>
    <hyperlink ref="B295" location="space_office_small" display="space_office_small" xr:uid="{CDE8C510-1E7F-442F-ACED-D60A0B9B277E}"/>
    <hyperlink ref="B296" location="DO_analyzer" display="DO_analyzer" xr:uid="{E1BCE5C7-810B-4839-8464-51FA49CA539B}"/>
    <hyperlink ref="B297" location="N_analyzer" display="N_analyzer" xr:uid="{4D62B84D-8C2C-44B9-B0E7-DA088DDC20BF}"/>
    <hyperlink ref="B298" location="ClO4_analyzer" display="ClO4_analyzer" xr:uid="{BE79CC55-716A-4BDC-86E5-62DEB6EDBC80}"/>
    <hyperlink ref="B299" location="plc_interface" display="plc_interface" xr:uid="{953E8292-F7B0-4EDD-9FF3-AD23AD8B115A}"/>
    <hyperlink ref="B300" location="ORP_sensor" display="ORP_sensor" xr:uid="{2876330E-0BEA-45D0-9FF7-5DD0195739AF}"/>
    <hyperlink ref="B301" location="ep_overexcavate" display="ep_overexcavate" xr:uid="{14100799-202B-4E26-899C-C0294EBFC10C}"/>
    <hyperlink ref="B302" location="overexcavate" display="overexcavate" xr:uid="{2B8D6F9F-7F06-4B49-9D2E-EE4BDECEE4BE}"/>
    <hyperlink ref="B303" location="H2O2_grade" display="H2O2_grade" xr:uid="{E85EA9DE-02CD-4B80-8F47-11E21B97E69B}"/>
    <hyperlink ref="B304" location="bp_pct" display="bp_pct" xr:uid="{F6A017A4-3ED2-474D-8B95-2A282B6E4B78}"/>
    <hyperlink ref="B305" location="belt_press_removal" display="belt_press_removal" xr:uid="{96984A9D-A7DD-40EE-BAC2-E45FFFA467A8}"/>
    <hyperlink ref="B306" location="thick_removal" display="thick_removal" xr:uid="{F43CCDED-9A78-4716-B984-C3D0F428730D}"/>
    <hyperlink ref="B307" location="pH_controls" display="pH_controls" xr:uid="{4BD3F8A0-FF71-40D1-A1C5-DC984944FE75}"/>
    <hyperlink ref="B308" location="H3PO4_dose_I" display="H3PO4_dose_I" xr:uid="{FEBE35A8-E847-453E-BF9F-1B145A375EE2}"/>
    <hyperlink ref="B309" location="H3PO4_pct" display="H3PO4_pct" xr:uid="{5874A916-2631-446D-AFA5-C16BA3075042}"/>
    <hyperlink ref="B310" location="yard_in" display="yard_in" xr:uid="{D3343E77-24EF-44BB-AC28-FA2B06A55645}"/>
    <hyperlink ref="B311" location="yard_out" display="yard_out" xr:uid="{1CE9E8D6-6D35-471F-BCF8-D6941AE50B40}"/>
    <hyperlink ref="B312" location="polymer_dose" display="polymer_dose" xr:uid="{71DFF7F3-BDE4-4EB1-ABB5-0E854449968F}"/>
    <hyperlink ref="B313" location="polymer_spf" display="polymer_spf" xr:uid="{D2535486-85B4-4A8E-8149-C13F47AD19E0}"/>
    <hyperlink ref="B314" location="polymer_density" display="polymer_density" xr:uid="{7033B57A-8FD6-499A-9F5E-3AC05ACE7F04}"/>
    <hyperlink ref="B315" location="POTW_rate_type" display="POTW_rate_type" xr:uid="{03EC36FF-C8C5-40A4-8A6C-855CC5365957}"/>
    <hyperlink ref="B316" location="POTW_TSS_limit" display="POTW_TSS_limit" xr:uid="{A4807902-21CE-4B7D-97E0-03B0AA218FFA}"/>
    <hyperlink ref="B317" location="Fan_pressure_drop" display="Fan_pressure_drop" xr:uid="{6CA68533-8D11-4778-B7F0-115456B2118E}"/>
    <hyperlink ref="B318" location="printer_ratio" display="printer_ratio" xr:uid="{1587A9BE-815A-454C-9DA7-CC4F71466CF0}"/>
    <hyperlink ref="B319" location="proc_pipe_mult" display="proc_pipe_mult" xr:uid="{9A724D6C-746C-451B-827C-EB9751CE6FD3}"/>
    <hyperlink ref="B320" location="booster_pump_head" display="booster_pump_head" xr:uid="{4EADEF0A-D767-48CA-806D-2005CF28CAB2}"/>
    <hyperlink ref="B321" location="length_diam_ratio" display="length_diam_ratio" xr:uid="{111D5FE6-08AF-4E0A-A525-6CF3503193FE}"/>
    <hyperlink ref="B322" location="uloe_inst_auto" display="uloe_inst_auto" xr:uid="{B50A3516-D5DB-439A-A33C-0689DFAE4865}"/>
    <hyperlink ref="B323" location="recycle_fluid" display="recycle_fluid" xr:uid="{A4C4B3F7-20B4-42F3-9C38-6E46D114E937}"/>
    <hyperlink ref="B324" location="recycle_pipe_mult" display="recycle_pipe_mult" xr:uid="{904701B9-892E-4049-B6E5-D2AB6939789F}"/>
    <hyperlink ref="B325" location="recycle_pump_efficiency" display="recycle_pump_efficiency" xr:uid="{F4E803CB-C59C-4D9F-94A4-46F041978650}"/>
    <hyperlink ref="B326" location="recycle_pump_head" display="recycle_pump_head" xr:uid="{1C65B283-FE16-4366-85D6-C6672489BE86}"/>
    <hyperlink ref="B327" location="Reduction" display="Reduction" xr:uid="{D551D68A-9001-4620-957E-2084D1265465}"/>
    <hyperlink ref="B328" location="NRD_back_pumps" display="NRD_back_pumps" xr:uid="{235688D9-1849-4673-A710-D78D5382F1CC}"/>
    <hyperlink ref="B329" location="NRD_blowers" display="NRD_blowers" xr:uid="{0F07188A-5C3A-4248-8E38-DCFAE6A6D1B0}"/>
    <hyperlink ref="B330" location="NRD_pumps" display="NRD_pumps" xr:uid="{A97C3F71-41DA-46E1-9A15-45BF26EF119F}"/>
    <hyperlink ref="B331" location="NRD_recycle_pumps" display="NRD_recycle_pumps" xr:uid="{67800AE9-94A7-4355-913C-21097A305CEB}"/>
    <hyperlink ref="B332" location="NRD_res_pump" display="NRD_res_pump" xr:uid="{BCACDC64-EE3C-4473-A9BA-6CA877E21014}"/>
    <hyperlink ref="B333" location="solids_storage_height" display="solids_storage_height" xr:uid="{DBD677A9-5C09-47B0-9EFD-96A59E4865F1}"/>
    <hyperlink ref="B334" location="res_pipe_mult" display="res_pipe_mult" xr:uid="{17E372B5-819E-4326-A7EE-CDAE30D0F3AE}"/>
    <hyperlink ref="B335" location="res_pump_psi" display="res_pump_psi" xr:uid="{B5F13D0C-22CC-4F84-B381-73812E1B340D}"/>
    <hyperlink ref="B336" location="R_ceiling" display="R_ceiling" xr:uid="{60AAD2D4-FDEF-4488-B302-2790EB9B5A6B}"/>
    <hyperlink ref="B337" location="R_wall" display="R_wall" xr:uid="{6488855F-94EA-4FAA-A543-D24229492C4E}"/>
    <hyperlink ref="B338" location="pump_safety_factor" display="pump_safety_factor" xr:uid="{413E7523-83EA-45DA-8CF8-17F4F9C28FA0}"/>
    <hyperlink ref="B339" location="tax_pct" display="tax_pct" xr:uid="{CA0081FC-9A9D-452F-9B70-1B507BDEB6B4}"/>
    <hyperlink ref="B340" location="ports_bp" display="ports_bp" xr:uid="{CAFF59B5-76AB-4ABF-8FDB-299F5C842F25}"/>
    <hyperlink ref="B341" location="ports_tank" display="ports_tank" xr:uid="{A9ED7B3F-9DC5-47BF-BE1F-D1E92816C803}"/>
    <hyperlink ref="B342" location="soil_dens" display="soil_dens" xr:uid="{8F128B26-EDAB-490C-90E5-733A08A8476B}"/>
    <hyperlink ref="B343" location="H2O2_sg" display="H2O2_sg" xr:uid="{064A4545-081C-42C8-8669-9558AEB6ED7D}"/>
    <hyperlink ref="B344" location="diesel_non_eff" display="diesel_non_eff" xr:uid="{6C213714-112E-4974-95C1-009F193E5047}"/>
    <hyperlink ref="B345" location="target_bed_depth_under" display="target_bed_depth_under" xr:uid="{6643C5E2-4586-44A5-A852-26D4824188E3}"/>
    <hyperlink ref="B346" location="target_bed_depth_over" display="target_bed_depth_over" xr:uid="{2BE9CC7A-76AB-401D-B729-B3E143051BED}"/>
    <hyperlink ref="B347" location="target_bed_depth_under_g" display="target_bed_depth_under_g" xr:uid="{446396D6-C45C-4737-85EF-5B76AB627B75}"/>
    <hyperlink ref="B348" location="target_bed_depth_over_g" display="target_bed_depth_over_g" xr:uid="{978C692B-F800-4005-96A5-57C472FE1A20}"/>
    <hyperlink ref="B349" location="target_bed_depth_under_fluid" display="target_bed_depth_under_fluid" xr:uid="{EC08CFDE-25D5-4E4D-8917-A8472FA38DA9}"/>
    <hyperlink ref="B350" location="target_bed_depth_over_fluid" display="target_bed_depth_over_fluid" xr:uid="{24862BE6-B049-4DE7-9D15-5330D5AB30DF}"/>
    <hyperlink ref="B351" location="complexity" display="complexity" xr:uid="{F02EE8EA-0AC4-4737-B6A3-F0997CB6A041}"/>
    <hyperlink ref="B352" location="bore_need" display="bore_need" xr:uid="{D03016EB-4002-4A9E-8075-21DE5D4222F7}"/>
    <hyperlink ref="B353" location="temp_meters" display="temp_meters" xr:uid="{5D74DE96-C88D-492F-A6D4-B281F5C7CC4F}"/>
    <hyperlink ref="B354" location="temp_meters_small" display="temp_meters_small" xr:uid="{6A6F67AC-1AFF-4EC7-99F5-EB4CAC2A622C}"/>
    <hyperlink ref="B355" location="pit_depth" display="pit_depth" xr:uid="{9E96597E-6475-4FAE-AE10-BA394E171CD5}"/>
    <hyperlink ref="B356" location="pit_length" display="pit_length" xr:uid="{1E5EB6D0-401E-4A8B-A8CF-93785F83809F}"/>
    <hyperlink ref="B357" location="pit_width" display="pit_width" xr:uid="{0F4B4CBC-F675-4F1F-9357-714CD299D610}"/>
    <hyperlink ref="B358" location="thickening_ratio" display="thickening_ratio" xr:uid="{F650C12D-B64D-404F-A342-53E0FF501080}"/>
    <hyperlink ref="B359" location="thickening_freeboard" display="thickening_freeboard" xr:uid="{31BA3B5D-43A2-47DF-A827-6394EF035547}"/>
    <hyperlink ref="B360" location="thick_time" display="thick_time" xr:uid="{E3CEF151-B24D-45E1-8C65-29A51A867379}"/>
    <hyperlink ref="B361" location="transfer_time" display="transfer_time" xr:uid="{2BCE1A30-90C9-4C72-B1C6-E9535D5D3C03}"/>
    <hyperlink ref="B362" location="Top_bottom_Vessel_space" display="Top_bottom_Vessel_space" xr:uid="{2CFC89C5-C78A-4786-B3DC-CDCB8874117A}"/>
    <hyperlink ref="B363" location="trench_angle" display="trench_angle" xr:uid="{E8C7DF7E-C890-4590-A6DD-3AFB3FE8DB77}"/>
    <hyperlink ref="B364" location="influent_TSS" display="influent_TSS" xr:uid="{52D49337-9AEA-4883-B128-D66C5155B94C}"/>
    <hyperlink ref="B365" location="effluent_TSS" display="effluent_TSS" xr:uid="{B0A65144-C50B-489D-AAB9-F83C049FE95E}"/>
    <hyperlink ref="B366" location="turb_tank" display="turb_tank" xr:uid="{8BCFF8EA-03C0-497D-8BA2-BC89B25C4C99}"/>
    <hyperlink ref="B367" location="turb_tank_filt" display="turb_tank_filt" xr:uid="{68C25F67-A93D-4A78-9EED-DA988CA76499}"/>
    <hyperlink ref="B368" location="turb_tank_g" display="turb_tank_g" xr:uid="{347035C1-50A1-4E2B-8C2C-77CD99A44182}"/>
    <hyperlink ref="B369" location="horiz_underdrain" display="horiz_underdrain" xr:uid="{E4F6F99C-BB7A-4BFF-B776-C0E8A50CEB51}"/>
    <hyperlink ref="B370" location="ups" display="ups" xr:uid="{180217B8-2991-47D8-8E7C-733FFAC152C5}"/>
    <hyperlink ref="B371" location="valve_table" display="valve_table" xr:uid="{A350D722-2C23-48C2-93EA-81BEA934DF8B}"/>
    <hyperlink ref="B372" location="Air_changes_chem_storage" display="Air_changes_chem_storage" xr:uid="{0A73D98B-3CF3-4C8C-AA3B-2A462239DEBD}"/>
    <hyperlink ref="B373" location="Air_changes_contactor" display="Air_changes_contactor" xr:uid="{965CFCDD-31C8-448A-A9E6-0F447181FB0C}"/>
    <hyperlink ref="B374" location="Air_changes_office" display="Air_changes_office" xr:uid="{1F30D422-FC8E-4333-AE7A-2590E042EEBE}"/>
    <hyperlink ref="B375" location="Air_changes_pump" display="Air_changes_pump" xr:uid="{85E9A032-C586-4418-A7C1-BCE85254551D}"/>
    <hyperlink ref="B376" location="tank_geom_I" display="tank_geom_I" xr:uid="{71974B3F-C160-4F7D-B07E-5B2B26564894}"/>
    <hyperlink ref="B377" location="Vessel_thickness" display="Vessel_thickness" xr:uid="{D9A8E185-854E-41E4-B82D-ABEAB1B4235E}"/>
    <hyperlink ref="B378" location="sec_cont_pct_of_largest" display="sec_cont_pct_of_largest" xr:uid="{496EEF8E-E427-4C6B-8786-14517E686028}"/>
    <hyperlink ref="B379" location="sec_cont_pct_of_total" display="sec_cont_pct_of_total" xr:uid="{12989BB5-F185-428E-96F2-2DC4ADBE4C0D}"/>
    <hyperlink ref="B380" location="vol_tol_horiz" display="vol_tol_horiz" xr:uid="{E4B27798-259C-4F68-85E4-0055AA0D553C}"/>
    <hyperlink ref="B381" location="vol_tol_vert_small" display="vol_tol_vert_small" xr:uid="{9C9202D0-8BBD-4DB2-BA3E-D93C15DF2970}"/>
    <hyperlink ref="B382" location="vol_tol_vert_med" display="vol_tol_vert_med" xr:uid="{3C4FBC40-61F0-4436-85DD-88ECEE656672}"/>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J168"/>
  <sheetViews>
    <sheetView zoomScaleNormal="100" workbookViewId="0">
      <selection activeCell="E10" sqref="E10"/>
    </sheetView>
  </sheetViews>
  <sheetFormatPr defaultRowHeight="12.75" x14ac:dyDescent="0.2"/>
  <cols>
    <col min="1" max="1" width="2.85546875" style="90" customWidth="1"/>
    <col min="2" max="2" width="7.140625" hidden="1" customWidth="1"/>
    <col min="3" max="3" width="15.7109375" hidden="1" customWidth="1"/>
    <col min="4" max="4" width="12.7109375" hidden="1" customWidth="1"/>
    <col min="5" max="5" width="54.28515625" customWidth="1"/>
    <col min="6" max="6" width="22.28515625" hidden="1" customWidth="1"/>
    <col min="7" max="7" width="39.140625" customWidth="1"/>
    <col min="8" max="8" width="31.140625" customWidth="1"/>
    <col min="9" max="9" width="80.42578125" style="90" customWidth="1"/>
    <col min="10" max="10" width="18.42578125" style="90" customWidth="1"/>
    <col min="11" max="11" width="16.7109375" style="90" customWidth="1"/>
    <col min="12" max="12" width="16.28515625" style="90" customWidth="1"/>
    <col min="13" max="32" width="9.140625" style="90" customWidth="1"/>
  </cols>
  <sheetData>
    <row r="1" spans="1:9" ht="15.75" x14ac:dyDescent="0.25">
      <c r="A1" s="308" t="s">
        <v>3845</v>
      </c>
      <c r="E1" s="89"/>
      <c r="F1" s="90"/>
      <c r="G1" s="90"/>
      <c r="H1" s="90"/>
    </row>
    <row r="2" spans="1:9" ht="15.75" x14ac:dyDescent="0.25">
      <c r="A2" s="308"/>
      <c r="E2" s="377" t="s">
        <v>1907</v>
      </c>
      <c r="F2" s="90"/>
      <c r="G2" s="90"/>
      <c r="H2" s="90"/>
    </row>
    <row r="3" spans="1:9" ht="15.75" x14ac:dyDescent="0.25">
      <c r="A3" s="308"/>
      <c r="E3" s="697" t="s">
        <v>3811</v>
      </c>
      <c r="F3" s="90"/>
      <c r="G3" s="90"/>
      <c r="H3" s="828" t="str">
        <f>IF(contam&lt;&gt;3,"","For other contaminants, the buttons shown in Step 3 will enter flows only, and clear all other inputs. Advanced users can change this behavior by entering inputs on the Standard Inputs sheet")</f>
        <v/>
      </c>
    </row>
    <row r="4" spans="1:9" ht="15.75" x14ac:dyDescent="0.25">
      <c r="A4" s="308"/>
      <c r="E4" s="89"/>
      <c r="F4" s="90"/>
      <c r="G4" s="90"/>
      <c r="H4" s="90"/>
    </row>
    <row r="5" spans="1:9" ht="15.75" x14ac:dyDescent="0.25">
      <c r="A5" s="308"/>
      <c r="E5" s="377" t="s">
        <v>2615</v>
      </c>
      <c r="F5" s="90"/>
      <c r="G5" s="90"/>
      <c r="H5" s="90"/>
    </row>
    <row r="6" spans="1:9" x14ac:dyDescent="0.2">
      <c r="E6" s="344" t="s">
        <v>2966</v>
      </c>
      <c r="F6" s="90"/>
      <c r="G6" s="90"/>
      <c r="H6" s="90"/>
    </row>
    <row r="7" spans="1:9" x14ac:dyDescent="0.2">
      <c r="E7" s="90"/>
      <c r="F7" s="90"/>
      <c r="G7" s="90"/>
      <c r="H7" s="90"/>
    </row>
    <row r="8" spans="1:9" ht="25.5" customHeight="1" x14ac:dyDescent="0.2">
      <c r="E8" s="826" t="s">
        <v>3807</v>
      </c>
      <c r="F8" s="90"/>
      <c r="G8" s="92"/>
      <c r="H8" s="639" t="str">
        <f>IF(OR('Standard Inputs'!BE9,'Standard Inputs'!BE17,'Standard Inputs'!BE25,'Standard Inputs'!BE33,'Standard Inputs'!BE41,'Standard Inputs'!BE49,'Standard Inputs'!BE57,'Standard Inputs'!BE65,'Standard Inputs'!BE73),"&lt;- Using this design",IF(OR('Standard Inputs'!BF9,'Standard Inputs'!BF17,'Standard Inputs'!BF25,'Standard Inputs'!BF33,'Standard Inputs'!BF41,'Standard Inputs'!BF49,'Standard Inputs'!BF57,'Standard Inputs'!BF65,'Standard Inputs'!BF73),"&lt;- You modified this design",""))</f>
        <v/>
      </c>
      <c r="I8" s="827" t="s">
        <v>4039</v>
      </c>
    </row>
    <row r="9" spans="1:9" ht="25.5" customHeight="1" x14ac:dyDescent="0.2">
      <c r="E9" s="825" t="s">
        <v>4038</v>
      </c>
      <c r="F9" s="90"/>
      <c r="G9" s="93"/>
      <c r="H9" s="640" t="str">
        <f>IF(OR('Standard Inputs'!BE10,'Standard Inputs'!BE18,'Standard Inputs'!BE26,'Standard Inputs'!BE34,'Standard Inputs'!BE42,'Standard Inputs'!BE50,'Standard Inputs'!BE58,'Standard Inputs'!BE66,'Standard Inputs'!BE74),"&lt;- Using this design",IF(OR('Standard Inputs'!BF10,'Standard Inputs'!BF18,'Standard Inputs'!BF26,'Standard Inputs'!BF34,'Standard Inputs'!BF42,'Standard Inputs'!BF50,'Standard Inputs'!BF58,'Standard Inputs'!BF66,'Standard Inputs'!BF74),"&lt;- You modified this design",""))</f>
        <v>&lt;- Using this design</v>
      </c>
    </row>
    <row r="10" spans="1:9" ht="25.5" customHeight="1" x14ac:dyDescent="0.2">
      <c r="E10" s="95"/>
      <c r="F10" s="90"/>
      <c r="G10" s="93"/>
      <c r="H10" s="640" t="str">
        <f>IF(OR('Standard Inputs'!BE11,'Standard Inputs'!BE19,'Standard Inputs'!BE27,'Standard Inputs'!BE35,'Standard Inputs'!BE43,'Standard Inputs'!BE51,'Standard Inputs'!BE59,'Standard Inputs'!BE67,'Standard Inputs'!BE75),"&lt;- Using this design",IF(OR('Standard Inputs'!BF11,'Standard Inputs'!BF19,'Standard Inputs'!BF27,'Standard Inputs'!BF35,'Standard Inputs'!BF43,'Standard Inputs'!BF51,'Standard Inputs'!BF59,'Standard Inputs'!BF67,'Standard Inputs'!BF75),"&lt;- You modified this design",""))</f>
        <v/>
      </c>
    </row>
    <row r="11" spans="1:9" ht="25.5" customHeight="1" x14ac:dyDescent="0.2">
      <c r="E11" s="94"/>
      <c r="F11" s="90"/>
      <c r="G11" s="93"/>
      <c r="H11" s="640" t="str">
        <f>IF(OR('Standard Inputs'!BE12,'Standard Inputs'!BE20,'Standard Inputs'!BE28,'Standard Inputs'!BE36,'Standard Inputs'!BE44,'Standard Inputs'!BE52,'Standard Inputs'!BE60,'Standard Inputs'!BE68,'Standard Inputs'!BE76),"&lt;- Using this design",IF(OR('Standard Inputs'!BF12,'Standard Inputs'!BF20,'Standard Inputs'!BF28,'Standard Inputs'!BF36,'Standard Inputs'!BF44,'Standard Inputs'!BF52,'Standard Inputs'!BF60,'Standard Inputs'!BF68,'Standard Inputs'!BF76),"&lt;- You modified this design",""))</f>
        <v/>
      </c>
    </row>
    <row r="12" spans="1:9" ht="25.5" customHeight="1" x14ac:dyDescent="0.2">
      <c r="E12" s="94"/>
      <c r="F12" s="90"/>
      <c r="G12" s="93"/>
      <c r="H12" s="640" t="str">
        <f>IF(OR('Standard Inputs'!BE13,'Standard Inputs'!BE21,'Standard Inputs'!BE29,'Standard Inputs'!BE37,'Standard Inputs'!BE45,'Standard Inputs'!BE53,'Standard Inputs'!BE61,'Standard Inputs'!BE69,'Standard Inputs'!BE77),"&lt;- Using this design",IF(OR('Standard Inputs'!BF13,'Standard Inputs'!BF21,'Standard Inputs'!BF29,'Standard Inputs'!BF37,'Standard Inputs'!BF45,'Standard Inputs'!BF53,'Standard Inputs'!BF61,'Standard Inputs'!BF69,'Standard Inputs'!BF77),"&lt;- You modified this design",""))</f>
        <v/>
      </c>
      <c r="I12" s="593"/>
    </row>
    <row r="13" spans="1:9" ht="25.5" customHeight="1" x14ac:dyDescent="0.2">
      <c r="F13" s="90"/>
      <c r="G13" s="93"/>
      <c r="H13" s="640" t="str">
        <f>IF(OR('Standard Inputs'!BE14,'Standard Inputs'!BE22,'Standard Inputs'!BE30,'Standard Inputs'!BE38,'Standard Inputs'!BE46,'Standard Inputs'!BE54,'Standard Inputs'!BE62,'Standard Inputs'!BE70,'Standard Inputs'!BE78),"&lt;- Using this design",IF(OR('Standard Inputs'!BF14,'Standard Inputs'!BF22,'Standard Inputs'!BF30,'Standard Inputs'!BF38,'Standard Inputs'!BF46,'Standard Inputs'!BF54,'Standard Inputs'!BF62,'Standard Inputs'!BF70,'Standard Inputs'!BF78),"&lt;- You modified this design",""))</f>
        <v/>
      </c>
    </row>
    <row r="14" spans="1:9" ht="25.5" customHeight="1" x14ac:dyDescent="0.2">
      <c r="E14" s="90"/>
      <c r="F14" s="90"/>
      <c r="G14" s="93"/>
      <c r="H14" s="640" t="str">
        <f>IF(OR('Standard Inputs'!BE15,'Standard Inputs'!BE23,'Standard Inputs'!BE31,'Standard Inputs'!BE39,'Standard Inputs'!BE47,'Standard Inputs'!BE55,'Standard Inputs'!BE63,'Standard Inputs'!BE71,'Standard Inputs'!BE79),"&lt;- Using this design",IF(OR('Standard Inputs'!BF15,'Standard Inputs'!BF23,'Standard Inputs'!BF31,'Standard Inputs'!BF39,'Standard Inputs'!BF47,'Standard Inputs'!BF55,'Standard Inputs'!BF63,'Standard Inputs'!BF71,'Standard Inputs'!BF79),"&lt;- You modified this design",""))</f>
        <v/>
      </c>
    </row>
    <row r="15" spans="1:9" ht="25.5" customHeight="1" x14ac:dyDescent="0.2">
      <c r="E15" s="90"/>
      <c r="F15" s="90"/>
      <c r="G15" s="93"/>
      <c r="H15" s="640" t="str">
        <f>IF(OR('Standard Inputs'!BE16,'Standard Inputs'!BE24,'Standard Inputs'!BE32,'Standard Inputs'!BE40,'Standard Inputs'!BE48,'Standard Inputs'!BE56,'Standard Inputs'!BE64,'Standard Inputs'!BE72,'Standard Inputs'!BE80),"&lt;- Using this design",IF(OR('Standard Inputs'!BF16,'Standard Inputs'!BF24,'Standard Inputs'!BF32,'Standard Inputs'!BF40,'Standard Inputs'!BF48,'Standard Inputs'!BF56,'Standard Inputs'!BF64,'Standard Inputs'!BF72,'Standard Inputs'!BF80),"&lt;- You modified this design",""))</f>
        <v/>
      </c>
    </row>
    <row r="16" spans="1:9" ht="25.5" customHeight="1" x14ac:dyDescent="0.2">
      <c r="E16" s="90"/>
      <c r="F16" s="90"/>
      <c r="G16" s="96"/>
      <c r="H16" s="641" t="str">
        <f>IF(COUNTIF(H8:H15,"")=8,"Using a manual design","")</f>
        <v/>
      </c>
      <c r="I16" s="361" t="str">
        <f>IF(COUNTIF(H8:H15,"")=8,"Fill in all gold cells below, then consider using AutoSize button","")</f>
        <v/>
      </c>
    </row>
    <row r="17" spans="2:13" x14ac:dyDescent="0.2">
      <c r="E17" s="90"/>
      <c r="F17" s="90"/>
      <c r="G17" s="90"/>
      <c r="H17" s="90"/>
    </row>
    <row r="18" spans="2:13" ht="12.75" customHeight="1" x14ac:dyDescent="0.2">
      <c r="E18" s="91"/>
      <c r="F18" s="90"/>
      <c r="G18" s="995" t="str">
        <f>IF(input_complete,IF('Standard Inputs'!BE83,"Input Complete -- Results Ready","Input Complete--Press 'Generate Results'"),"Input Incomplete--Check for Error Messages Below")</f>
        <v>Input Complete -- Results Ready</v>
      </c>
      <c r="H18" s="996"/>
      <c r="I18" s="1001" t="str">
        <f>IF(C19,"","Fill in all gold cells below. If errors persist, consider using AutoSize button.")</f>
        <v/>
      </c>
    </row>
    <row r="19" spans="2:13" x14ac:dyDescent="0.2">
      <c r="C19" t="b">
        <f>AND(C35:C142)</f>
        <v>1</v>
      </c>
      <c r="E19" s="97" t="s">
        <v>1663</v>
      </c>
      <c r="F19" s="90"/>
      <c r="G19" s="997"/>
      <c r="H19" s="998"/>
      <c r="I19" s="1001"/>
    </row>
    <row r="20" spans="2:13" ht="25.5" x14ac:dyDescent="0.2">
      <c r="E20" s="98" t="s">
        <v>1664</v>
      </c>
      <c r="F20" s="90"/>
      <c r="G20" s="999"/>
      <c r="H20" s="1000"/>
      <c r="I20" s="1001"/>
    </row>
    <row r="21" spans="2:13" x14ac:dyDescent="0.2">
      <c r="B21" s="90"/>
      <c r="C21" s="90"/>
      <c r="D21" s="90"/>
      <c r="E21" s="90"/>
      <c r="F21" s="90"/>
      <c r="G21" s="90"/>
      <c r="H21" s="90"/>
    </row>
    <row r="22" spans="2:13" x14ac:dyDescent="0.2">
      <c r="B22" s="90"/>
      <c r="C22" s="90"/>
      <c r="D22" s="90"/>
      <c r="E22" s="101" t="s">
        <v>3808</v>
      </c>
      <c r="F22" s="90"/>
      <c r="G22" s="90"/>
      <c r="H22" s="90"/>
      <c r="I22" s="662" t="str">
        <f>"Resulting Costs (in year "&amp;TEXT(current_year_cl,0)&amp;" dollars, see OUTPUT sheet for details)"</f>
        <v>Resulting Costs (in year 2021 dollars, see OUTPUT sheet for details)</v>
      </c>
    </row>
    <row r="23" spans="2:13" x14ac:dyDescent="0.2">
      <c r="B23" s="90"/>
      <c r="C23" s="90"/>
      <c r="D23" s="90"/>
      <c r="E23" s="341" t="str">
        <f>IF(G18="input complete -- results ready","Results are ready (no need to click button)","Click here to generate results --&gt;")</f>
        <v>Results are ready (no need to click button)</v>
      </c>
      <c r="F23" s="90"/>
      <c r="G23" s="90"/>
      <c r="H23" s="90"/>
      <c r="I23" s="700" t="str">
        <f>"Direct Capital Cost: " &amp; IF(input_status&lt;&gt;"input complete -- results ready",input_status,IF(Missing_Cost,"Missing cost!",IF(cost_buildup_error,"Cost buildup error!",IF(ISERROR(direct_cost),"Calculation error!",TEXT(direct_cost,"$0,0")))))</f>
        <v>Direct Capital Cost: $3,71,714</v>
      </c>
    </row>
    <row r="24" spans="2:13" x14ac:dyDescent="0.2">
      <c r="B24" s="90"/>
      <c r="C24" s="90"/>
      <c r="D24" s="90"/>
      <c r="E24" s="90"/>
      <c r="F24" s="90"/>
      <c r="G24" s="90"/>
      <c r="H24" s="90"/>
      <c r="I24" s="700" t="str">
        <f>"Total Capital Cost: " &amp; IF(input_status&lt;&gt;"input complete -- results ready",input_status,IF(Missing_Cost,"Missing cost!",IF(cost_buildup_error,"Cost buildup error!",IF(ISERROR(system_cost),"Calculation error!",TEXT(system_cost,"$0,0")))))</f>
        <v>Total Capital Cost: $6,79,193</v>
      </c>
    </row>
    <row r="25" spans="2:13" x14ac:dyDescent="0.2">
      <c r="B25" s="90"/>
      <c r="C25" s="90"/>
      <c r="D25" s="90"/>
      <c r="E25" s="90"/>
      <c r="F25" s="90"/>
      <c r="G25" s="90"/>
      <c r="H25" s="90"/>
      <c r="I25" s="837" t="str">
        <f>"Annualized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$68,511 per year (over 17.5 years at 7%)</v>
      </c>
    </row>
    <row r="26" spans="2:13" x14ac:dyDescent="0.2">
      <c r="B26" s="90"/>
      <c r="C26" s="90"/>
      <c r="D26" s="90"/>
      <c r="E26" s="99"/>
      <c r="F26" s="90"/>
      <c r="G26" s="90"/>
      <c r="H26" s="90"/>
      <c r="I26" s="700" t="str">
        <f>"Annual O&amp;M Cost: "&amp;IF(input_status&lt;&gt;"input complete -- results ready",input_status,IF(ISERROR(om_cost),"Calculation error!",TEXT(om_cost,"$0,0")&amp;" per year"))</f>
        <v>Annual O&amp;M Cost: $37,648 per year</v>
      </c>
    </row>
    <row r="27" spans="2:13" x14ac:dyDescent="0.2">
      <c r="E27" s="102" t="s">
        <v>1665</v>
      </c>
      <c r="F27" s="90"/>
      <c r="G27" s="154"/>
      <c r="H27" s="90"/>
      <c r="I27" s="701" t="str">
        <f>"Total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$1,06,159 per year (65% capital, 35% O&amp;M)</v>
      </c>
    </row>
    <row r="28" spans="2:13" x14ac:dyDescent="0.2">
      <c r="E28" s="100" t="s">
        <v>1666</v>
      </c>
      <c r="F28" s="90"/>
      <c r="G28" s="90"/>
      <c r="H28" s="90"/>
      <c r="I28" s="759" t="str">
        <f>IF(input_status="Input Incomplete -- check for error messages below","",IF(Missing_Cost,"A price is not available for at least one required component. See Use? column on OUTPUT sheet.",IF(cost_buildup_error,"There is an Excel error in the price for at least one component. Please see the Use? column on OUTPUT sheet.","")))</f>
        <v/>
      </c>
      <c r="L28" s="150"/>
      <c r="M28" s="151"/>
    </row>
    <row r="29" spans="2:13" x14ac:dyDescent="0.2">
      <c r="B29" s="109" t="s">
        <v>1673</v>
      </c>
      <c r="C29" s="109" t="s">
        <v>1674</v>
      </c>
      <c r="D29" s="109" t="s">
        <v>1417</v>
      </c>
      <c r="E29" s="100"/>
      <c r="G29" s="275"/>
      <c r="H29" s="106" t="s">
        <v>1672</v>
      </c>
      <c r="I29" s="155"/>
      <c r="L29" s="150"/>
      <c r="M29" s="151"/>
    </row>
    <row r="30" spans="2:13" x14ac:dyDescent="0.2">
      <c r="E30" s="114" t="s">
        <v>1667</v>
      </c>
      <c r="F30" s="112" t="s">
        <v>598</v>
      </c>
      <c r="G30" s="328">
        <v>0.124</v>
      </c>
      <c r="H30" s="471" t="s">
        <v>597</v>
      </c>
      <c r="I30" s="155"/>
    </row>
    <row r="31" spans="2:13" x14ac:dyDescent="0.2">
      <c r="E31" s="115" t="s">
        <v>1668</v>
      </c>
      <c r="F31" s="3" t="s">
        <v>602</v>
      </c>
      <c r="G31" s="329">
        <v>3.5000000000000003E-2</v>
      </c>
      <c r="H31" s="471" t="s">
        <v>597</v>
      </c>
      <c r="I31" s="155"/>
    </row>
    <row r="32" spans="2:13" x14ac:dyDescent="0.2">
      <c r="E32" s="103"/>
      <c r="F32" s="3"/>
      <c r="G32" s="99"/>
      <c r="H32" s="330"/>
      <c r="I32" s="155"/>
    </row>
    <row r="33" spans="2:12" x14ac:dyDescent="0.2">
      <c r="E33" s="104" t="s">
        <v>1670</v>
      </c>
      <c r="F33" s="3"/>
      <c r="G33" s="107">
        <f>IF(ISERROR(design_flow),"",IF(df_units="gpm",design_flow_rate, design_flow))</f>
        <v>0.124</v>
      </c>
      <c r="H33" s="108" t="str">
        <f>df_units</f>
        <v>MGD</v>
      </c>
      <c r="I33" s="155"/>
    </row>
    <row r="34" spans="2:12" x14ac:dyDescent="0.2">
      <c r="E34" s="104" t="s">
        <v>1671</v>
      </c>
      <c r="F34" s="3"/>
      <c r="G34" s="107">
        <f>IF(ISERROR(design_flow),"",IF(df_units="gpm",bp_flow_rate, bp_flow_rate*60*24/10^6))</f>
        <v>0</v>
      </c>
      <c r="H34" s="108" t="str">
        <f>df_units</f>
        <v>MGD</v>
      </c>
      <c r="I34" s="111" t="str">
        <f>"Current bypass percentage is "&amp;TEXT(bp_pct,"0%")&amp;".  Go to Critical Design Assumptions to change this value."</f>
        <v>Current bypass percentage is 0%.  Go to Critical Design Assumptions to change this value.</v>
      </c>
    </row>
    <row r="35" spans="2:12" x14ac:dyDescent="0.2">
      <c r="C35" t="b">
        <f>IF(OR(df_units="",af_units=""),FALSE,IF(OR(average_flow&gt;design_flow,average_flow&lt;design_flow*min_avg_flow),FALSE,IF(OR(design_flow_I=0,average_flow_I=0),FALSE,TRUE)))</f>
        <v>1</v>
      </c>
      <c r="D35" t="str">
        <f>IF(OR(df_units="",af_units=""),"Choose units for design and average flow",IF(average_flow&gt;design_flow,"The average flow should not be greater than the design flow",IF(average_flow&lt;design_flow*min_avg_flow,"The average flow must be at least " &amp; min_avg_flow &amp; " times design flow",IF(OR(design_flow_I=0,average_flow_I=0),"Input incomplete","OK"))))</f>
        <v>OK</v>
      </c>
      <c r="E35" s="105"/>
      <c r="F35" s="113"/>
      <c r="G35" s="193"/>
      <c r="H35" s="110" t="str">
        <f>IF(C35,"System size inputs OK",D35)</f>
        <v>System size inputs OK</v>
      </c>
      <c r="I35" s="309" t="s">
        <v>3366</v>
      </c>
    </row>
    <row r="36" spans="2:12" x14ac:dyDescent="0.2">
      <c r="E36" s="90"/>
      <c r="F36" s="100"/>
      <c r="G36" s="99"/>
      <c r="H36" s="333"/>
      <c r="I36" s="155"/>
    </row>
    <row r="37" spans="2:12" x14ac:dyDescent="0.2">
      <c r="C37" t="b">
        <f>IF(e_donor_type_I="",FALSE,TRUE)</f>
        <v>1</v>
      </c>
      <c r="E37" s="426" t="s">
        <v>3115</v>
      </c>
      <c r="F37" s="334" t="s">
        <v>1797</v>
      </c>
      <c r="G37" s="502" t="s">
        <v>3203</v>
      </c>
      <c r="H37" s="503" t="s">
        <v>1416</v>
      </c>
      <c r="I37" s="144"/>
    </row>
    <row r="38" spans="2:12" ht="13.15" customHeight="1" x14ac:dyDescent="0.2">
      <c r="C38" t="b">
        <f>IF(e_donor_dose_I="",FALSE,TRUE)</f>
        <v>1</v>
      </c>
      <c r="E38" s="364" t="s">
        <v>3116</v>
      </c>
      <c r="F38" s="367" t="s">
        <v>3201</v>
      </c>
      <c r="G38" s="365">
        <v>10</v>
      </c>
      <c r="H38" s="368" t="s">
        <v>2447</v>
      </c>
      <c r="I38" s="1005" t="s">
        <v>3827</v>
      </c>
    </row>
    <row r="39" spans="2:12" x14ac:dyDescent="0.2">
      <c r="C39" t="b">
        <f>IF(biomass_I="",FALSE,TRUE)</f>
        <v>1</v>
      </c>
      <c r="E39" s="166" t="s">
        <v>3117</v>
      </c>
      <c r="F39" s="367" t="s">
        <v>2417</v>
      </c>
      <c r="G39" s="365">
        <v>8</v>
      </c>
      <c r="H39" s="368" t="s">
        <v>2447</v>
      </c>
      <c r="I39" s="1005"/>
    </row>
    <row r="40" spans="2:12" x14ac:dyDescent="0.2">
      <c r="B40" t="b">
        <f>OR(contam=1, contam=3)</f>
        <v>1</v>
      </c>
      <c r="E40" s="115" t="s">
        <v>3199</v>
      </c>
      <c r="F40" s="321" t="s">
        <v>3207</v>
      </c>
      <c r="G40" s="338"/>
      <c r="H40" s="322" t="s">
        <v>2447</v>
      </c>
      <c r="I40" s="1005"/>
    </row>
    <row r="41" spans="2:12" x14ac:dyDescent="0.2">
      <c r="E41" s="115" t="s">
        <v>3204</v>
      </c>
      <c r="F41" s="321" t="s">
        <v>2123</v>
      </c>
      <c r="G41" s="338"/>
      <c r="H41" s="322" t="s">
        <v>2447</v>
      </c>
      <c r="I41" s="1005"/>
    </row>
    <row r="42" spans="2:12" x14ac:dyDescent="0.2">
      <c r="E42" s="115" t="s">
        <v>3205</v>
      </c>
      <c r="F42" s="321" t="s">
        <v>3206</v>
      </c>
      <c r="G42" s="338"/>
      <c r="H42" s="322" t="s">
        <v>4181</v>
      </c>
      <c r="I42" s="1005"/>
    </row>
    <row r="43" spans="2:12" x14ac:dyDescent="0.2">
      <c r="E43" s="103" t="s">
        <v>1669</v>
      </c>
      <c r="F43" s="3"/>
      <c r="G43" s="521"/>
      <c r="H43" s="330"/>
      <c r="I43" s="1005"/>
    </row>
    <row r="44" spans="2:12" ht="18" customHeight="1" x14ac:dyDescent="0.2">
      <c r="E44" s="118" t="str">
        <f>IF(dose_calc,"Theoretical calculated electron donor dose","Enter influent chemical concentrations to see sample electron donor dose calculation")</f>
        <v>Enter influent chemical concentrations to see sample electron donor dose calculation</v>
      </c>
      <c r="F44" s="519"/>
      <c r="G44" s="121" t="str">
        <f>IF(dose_calc,IF(e_donor_type=1,acetic_dose_sample,ethanol_dose_sample),"")</f>
        <v/>
      </c>
      <c r="H44" s="520" t="str">
        <f>IF(dose_calc, "mg/l","")</f>
        <v/>
      </c>
      <c r="I44" s="1006" t="s">
        <v>4189</v>
      </c>
    </row>
    <row r="45" spans="2:12" ht="18" customHeight="1" x14ac:dyDescent="0.2">
      <c r="E45" s="118" t="str">
        <f>IF(dose_calc,"Theoretical calculated biomass generation rate","Enter influent chemical concentrations to see sample biomass generation calculation")</f>
        <v>Enter influent chemical concentrations to see sample biomass generation calculation</v>
      </c>
      <c r="F45" s="519"/>
      <c r="G45" s="121" t="str">
        <f>IF(dose_calc,biomass_sample,"")</f>
        <v/>
      </c>
      <c r="H45" s="520" t="str">
        <f>IF(dose_calc, "mg/l","")</f>
        <v/>
      </c>
      <c r="I45" s="1006"/>
    </row>
    <row r="46" spans="2:12" x14ac:dyDescent="0.2">
      <c r="C46" t="b">
        <f>IF(NOT(AND(C37:C39)),FALSE,TRUE)</f>
        <v>1</v>
      </c>
      <c r="D46" t="str">
        <f>IF(NOT(C46),"Electron Donor Inputs Incomplete","OK")</f>
        <v>OK</v>
      </c>
      <c r="E46" s="424"/>
      <c r="F46" s="133"/>
      <c r="G46" s="425"/>
      <c r="H46" s="135" t="str">
        <f>IF(C46,"Electron Donor inputs OK",D46)</f>
        <v>Electron Donor inputs OK</v>
      </c>
      <c r="I46" s="144"/>
      <c r="J46" s="500"/>
      <c r="K46" s="500"/>
      <c r="L46" s="501"/>
    </row>
    <row r="47" spans="2:12" x14ac:dyDescent="0.2">
      <c r="E47" s="90"/>
      <c r="F47" s="100"/>
      <c r="G47" s="99"/>
      <c r="H47" s="333"/>
      <c r="I47" s="155"/>
    </row>
    <row r="48" spans="2:12" ht="12.75" customHeight="1" x14ac:dyDescent="0.2">
      <c r="C48" t="b">
        <f>IF(nutrient_option_I="",FALSE,TRUE)</f>
        <v>1</v>
      </c>
      <c r="E48" s="522" t="s">
        <v>3123</v>
      </c>
      <c r="F48" s="334" t="s">
        <v>3208</v>
      </c>
      <c r="G48" s="502" t="s">
        <v>2404</v>
      </c>
      <c r="H48" s="503" t="s">
        <v>1416</v>
      </c>
      <c r="I48" s="1009" t="s">
        <v>3817</v>
      </c>
    </row>
    <row r="49" spans="2:33" x14ac:dyDescent="0.2">
      <c r="B49" t="b">
        <f>OR(nutrient_option=2,nutrient_option=4)</f>
        <v>0</v>
      </c>
      <c r="C49" s="90" t="b">
        <f>IF(B49,NOT(NH4Cl_dose_I=""),TRUE)</f>
        <v>1</v>
      </c>
      <c r="E49" s="364" t="s">
        <v>3124</v>
      </c>
      <c r="F49" s="3" t="s">
        <v>2363</v>
      </c>
      <c r="G49" s="365"/>
      <c r="H49" s="368" t="s">
        <v>2447</v>
      </c>
      <c r="I49" s="1009"/>
    </row>
    <row r="50" spans="2:33" x14ac:dyDescent="0.2">
      <c r="B50" t="b">
        <f>OR(nutrient_option=3,nutrient_option=4)</f>
        <v>1</v>
      </c>
      <c r="C50" s="90" t="b">
        <f>IF(B50,NOT(H3PO4_dose_I=""),TRUE)</f>
        <v>1</v>
      </c>
      <c r="E50" s="364" t="s">
        <v>3125</v>
      </c>
      <c r="F50" s="3" t="s">
        <v>2364</v>
      </c>
      <c r="G50" s="365">
        <v>1</v>
      </c>
      <c r="H50" s="368" t="s">
        <v>4182</v>
      </c>
      <c r="I50" s="1009"/>
    </row>
    <row r="51" spans="2:33" x14ac:dyDescent="0.2">
      <c r="C51" t="b">
        <f>IF(NOT(AND(C48:C50)),FALSE,TRUE)</f>
        <v>1</v>
      </c>
      <c r="D51" t="str">
        <f>IF(NOT(C51),"Nutrient Options Incomplete, Check dosing","OK")</f>
        <v>OK</v>
      </c>
      <c r="E51" s="514"/>
      <c r="F51" s="524"/>
      <c r="G51" s="525"/>
      <c r="H51" s="523" t="str">
        <f>IF(C51,"Nutrient inputs OK",D51)</f>
        <v>Nutrient inputs OK</v>
      </c>
      <c r="I51" s="1009"/>
      <c r="J51" s="500"/>
      <c r="K51" s="500"/>
      <c r="L51" s="501"/>
    </row>
    <row r="52" spans="2:33" x14ac:dyDescent="0.2">
      <c r="E52" s="90"/>
      <c r="F52" s="100"/>
      <c r="G52" s="99"/>
      <c r="H52" s="333"/>
      <c r="I52" s="155"/>
    </row>
    <row r="53" spans="2:33" x14ac:dyDescent="0.2">
      <c r="C53" t="b">
        <f>IF(ebct_I="",FALSE,TRUE)</f>
        <v>1</v>
      </c>
      <c r="D53" t="str">
        <f>IF(ebct_I="","EBCT Inputs Incomplete","OK")</f>
        <v>OK</v>
      </c>
      <c r="E53" s="426" t="str">
        <f>IF(design_type=3,"Hydraulic residence time (HRT)","Theoretical total empty bed contact time (EBCT)")</f>
        <v>Theoretical total empty bed contact time (EBCT)</v>
      </c>
      <c r="F53" s="334" t="s">
        <v>1418</v>
      </c>
      <c r="G53" s="417">
        <v>12</v>
      </c>
      <c r="H53" s="427" t="s">
        <v>604</v>
      </c>
      <c r="I53" s="144" t="str">
        <f>IF(contam=1,"Guidance: Typically in the range of 10-12 minutes for perchlorate treatment",IF(contam=2,"Guidance: Typically in the range of 7-10 minutes for nitrate treatment",""))</f>
        <v>Guidance: Typically in the range of 10-12 minutes for perchlorate treatment</v>
      </c>
      <c r="J53" s="504"/>
      <c r="K53" s="504"/>
      <c r="L53" s="504"/>
    </row>
    <row r="54" spans="2:33" x14ac:dyDescent="0.2">
      <c r="E54" s="424"/>
      <c r="F54" s="133"/>
      <c r="G54" s="425"/>
      <c r="H54" s="135" t="str">
        <f>IF(C53,IF(design_type=3,"HRT inputs OK","EBCT inputs OK"),D53)</f>
        <v>EBCT inputs OK</v>
      </c>
      <c r="I54" s="144"/>
      <c r="J54" s="500"/>
      <c r="K54" s="500"/>
      <c r="L54" s="501"/>
    </row>
    <row r="55" spans="2:33" ht="9.75" customHeight="1" x14ac:dyDescent="0.2">
      <c r="E55" s="90"/>
      <c r="F55" s="133"/>
      <c r="G55" s="517"/>
      <c r="H55" s="333"/>
      <c r="I55" s="155"/>
      <c r="J55" s="500"/>
      <c r="K55" s="500"/>
      <c r="L55" s="501"/>
    </row>
    <row r="56" spans="2:33" x14ac:dyDescent="0.2">
      <c r="B56" t="b">
        <f>IF(OR(design_type=1,design_type=3),TRUE,FALSE)</f>
        <v>1</v>
      </c>
      <c r="E56" s="396" t="s">
        <v>2964</v>
      </c>
      <c r="F56" s="397"/>
      <c r="G56" s="466"/>
      <c r="H56" s="398"/>
      <c r="I56" s="344"/>
      <c r="J56" s="500"/>
      <c r="K56" s="500"/>
      <c r="L56" s="501"/>
      <c r="M56" s="344"/>
      <c r="N56" s="344"/>
      <c r="AG56" s="90"/>
    </row>
    <row r="57" spans="2:33" x14ac:dyDescent="0.2">
      <c r="B57" s="694" t="s">
        <v>1340</v>
      </c>
      <c r="C57" s="694" t="s">
        <v>4387</v>
      </c>
      <c r="E57" s="362" t="s">
        <v>1853</v>
      </c>
      <c r="F57" s="100"/>
      <c r="G57" s="155"/>
      <c r="H57" s="317"/>
      <c r="I57" s="400"/>
      <c r="J57" s="500"/>
      <c r="K57" s="500"/>
      <c r="L57" s="501"/>
    </row>
    <row r="58" spans="2:33" x14ac:dyDescent="0.2">
      <c r="E58" s="335" t="str">
        <f>IF(design_type=1,"Bed depth","Static bed depth")</f>
        <v>Bed depth</v>
      </c>
      <c r="F58" s="321" t="s">
        <v>607</v>
      </c>
      <c r="G58" s="526">
        <v>3.7</v>
      </c>
      <c r="H58" s="399" t="s">
        <v>605</v>
      </c>
      <c r="I58" s="400" t="s">
        <v>333</v>
      </c>
      <c r="J58" s="500"/>
      <c r="K58" s="500"/>
      <c r="L58" s="501"/>
    </row>
    <row r="59" spans="2:33" x14ac:dyDescent="0.2">
      <c r="B59" t="b">
        <f>IF(design_type=3, FALSE,TRUE)</f>
        <v>1</v>
      </c>
      <c r="E59" s="335" t="s">
        <v>543</v>
      </c>
      <c r="F59" s="321" t="s">
        <v>2162</v>
      </c>
      <c r="G59" s="365" t="s">
        <v>2163</v>
      </c>
      <c r="H59" s="399" t="s">
        <v>1416</v>
      </c>
      <c r="I59" s="400"/>
      <c r="J59" s="500"/>
      <c r="K59" s="500"/>
      <c r="L59" s="501"/>
    </row>
    <row r="60" spans="2:33" x14ac:dyDescent="0.2">
      <c r="E60" s="335" t="str">
        <f>IF(tank_geom=1,"Height (straight)",IF(tank_geom=2,"Length (straight)",""))</f>
        <v>Height (straight)</v>
      </c>
      <c r="F60" s="321" t="s">
        <v>3360</v>
      </c>
      <c r="G60" s="526">
        <v>7</v>
      </c>
      <c r="H60" s="399" t="str">
        <f>IF(tank_geom&lt;&gt;"","feet","")</f>
        <v>feet</v>
      </c>
      <c r="I60" s="400"/>
      <c r="J60" s="500"/>
      <c r="K60" s="500"/>
      <c r="L60" s="501"/>
    </row>
    <row r="61" spans="2:33" x14ac:dyDescent="0.2">
      <c r="E61" s="335" t="s">
        <v>2460</v>
      </c>
      <c r="F61" s="321" t="s">
        <v>3361</v>
      </c>
      <c r="G61" s="526">
        <v>4</v>
      </c>
      <c r="H61" s="399" t="str">
        <f>IF(tank_geom&lt;&gt;"","feet","")</f>
        <v>feet</v>
      </c>
      <c r="I61" s="400" t="s">
        <v>334</v>
      </c>
      <c r="J61" s="500"/>
      <c r="K61" s="500"/>
      <c r="L61" s="501"/>
    </row>
    <row r="62" spans="2:33" x14ac:dyDescent="0.2">
      <c r="E62" s="117" t="s">
        <v>2160</v>
      </c>
      <c r="F62" s="3"/>
      <c r="G62" s="131"/>
      <c r="H62" s="78"/>
      <c r="I62" s="111"/>
      <c r="J62" s="500"/>
      <c r="K62" s="500"/>
      <c r="L62" s="501"/>
    </row>
    <row r="63" spans="2:33" x14ac:dyDescent="0.2">
      <c r="E63" s="118" t="s">
        <v>1327</v>
      </c>
      <c r="F63" s="100"/>
      <c r="G63" s="463">
        <f>IF(NOT(B56),"",IF(ISERROR(op_num_tanks),"",op_num_tanks))</f>
        <v>3</v>
      </c>
      <c r="H63" s="469" t="s">
        <v>2161</v>
      </c>
      <c r="I63" s="111"/>
      <c r="J63" s="500"/>
      <c r="K63" s="500"/>
      <c r="L63" s="501"/>
    </row>
    <row r="64" spans="2:33" x14ac:dyDescent="0.2">
      <c r="E64" s="118" t="s">
        <v>1328</v>
      </c>
      <c r="F64" s="100"/>
      <c r="G64" s="122">
        <f>IF(NOT(B56),"",IF(ISERROR(final_num_tanks),"",final_num_tanks))</f>
        <v>3</v>
      </c>
      <c r="H64" s="469" t="s">
        <v>2161</v>
      </c>
      <c r="I64" s="344"/>
    </row>
    <row r="65" spans="2:9" x14ac:dyDescent="0.2">
      <c r="E65" s="118" t="s">
        <v>3258</v>
      </c>
      <c r="F65" s="100"/>
      <c r="G65" s="468">
        <f>IF(NOT(B56),"",IF(ISERROR(comm_load_rate),"",comm_load_rate))</f>
        <v>2.2841681647447944</v>
      </c>
      <c r="H65" s="469" t="s">
        <v>3260</v>
      </c>
      <c r="I65" s="344"/>
    </row>
    <row r="66" spans="2:9" x14ac:dyDescent="0.2">
      <c r="C66" t="b">
        <f>IF(NOT(B56),TRUE,IF(OR(bed_depth="",tank_geom_I="",comm_height_length="",comm_diam=""),FALSE,IF(bed_depth&gt;2*comm_diam,FALSE,IF(bed_depth&lt;min_bed_depth,FALSE,TRUE))))</f>
        <v>1</v>
      </c>
      <c r="D66" t="str">
        <f>IF(NOT(B56),"OK",IF(OR(bed_depth="",comm_height_length="",comm_diam="",tank_geom_I=""),"Input incomplete",IF(bed_depth&gt;2*comm_diam,"Warning: bed depth should be less than twice the vessel diameter",IF(bed_depth&lt;min_bed_depth,"Warning: bed depth too shallow","OK"))))</f>
        <v>OK</v>
      </c>
      <c r="E66" s="120"/>
      <c r="F66" s="100"/>
      <c r="G66" s="99"/>
      <c r="H66" s="134" t="str">
        <f>IF(NOT(B56),"",IF(C66,"Bed Depth OK",D66))</f>
        <v>Bed Depth OK</v>
      </c>
      <c r="I66" s="345" t="s">
        <v>3367</v>
      </c>
    </row>
    <row r="67" spans="2:9" x14ac:dyDescent="0.2">
      <c r="C67" t="b">
        <f>IF(NOT(B56),TRUE,IF(H66="Input incomplete",FALSE,IF(tank_geom=1,IF(IF(AND(comm_diam&gt;=min_diam,comm_diam&lt;=max_diam_std_size),(OR(comm_height_length&gt;=max_comm_height,comm_height_length&gt;max_height)),comm_height_length&gt;max_height),FALSE,IF(IF(AND(comm_diam&gt;=min_diam,comm_diam&lt;=max_diam_std_size),(AND(comm_height_length&gt;=min_comm_height,comm_height_length&gt;=height)),comm_height_length&gt;=height),TRUE,FALSE)),IF(tank_geom=2,IF(comm_height_length&gt;max_length,FALSE,TRUE),FALSE))))</f>
        <v>1</v>
      </c>
      <c r="D67" t="str">
        <f>IF(NOT(B56),"OK",IF(H66="Input incomplete","",IF(tank_geom=1,IF(IF(AND(comm_diam&gt;=min_diam,comm_diam&lt;=max_diam_std_size),(OR(comm_height_length&gt;=max_comm_height,comm_height_length&gt;max_height)),comm_height_length&gt;max_height),"Warning: vessel too high",IF(IF(AND(comm_diam&gt;=min_diam,comm_diam&lt;=max_diam_std_size),(AND(comm_height_length&gt;=min_comm_height,comm_height_length&gt;=height)),comm_height_length&gt;=height),"OK","Warning: vessel not high enough")),IF(tank_geom=2,IF(comm_height_length&gt;max_length,"Warning: vessel too long","OK"),"Invalid tank geometry input"))))</f>
        <v>OK</v>
      </c>
      <c r="E67" s="120"/>
      <c r="F67" s="100"/>
      <c r="G67" s="99"/>
      <c r="H67" s="134" t="str">
        <f>IF(NOT(B56),"",IF(C67,"Height OK",D67))</f>
        <v>Height OK</v>
      </c>
      <c r="I67" s="345" t="s">
        <v>3368</v>
      </c>
    </row>
    <row r="68" spans="2:9" x14ac:dyDescent="0.2">
      <c r="C68" t="b">
        <f>IF(NOT(B56),TRUE,IF(H66="Input Incomplete",FALSE,IF(tank_geom=1,IF(comm_diam&gt;max_diam,FALSE,IF(comm_diam&lt;diameter,FALSE,TRUE)),IF(tank_geom=2,IF(comm_diam&gt;max_diam,FALSE,IF(comm_diam&gt;max_height,FALSE,IF(comm_SA&lt;SA,FALSE,IF(comm_diam&lt;height,FALSE,TRUE)))),FALSE))))</f>
        <v>1</v>
      </c>
      <c r="D68" t="str">
        <f>IF(NOT(B56),"OK",IF(H66="Input incomplete","",IF(tank_geom=1,IF(comm_diam&gt;max_diam,"Warning: vessel diameter too great",IF(comm_diam&lt;diameter,"Warning: vessel diameter too small","OK")),IF(tank_geom=2,IF(comm_diam&gt;max_diam,"Warning: vessel diameter too great",IF(comm_diam&gt;max_height,"Warning: vessel diameter too great",IF(comm_SA&lt;SA,"Warning: vessel surface area too small",IF(comm_diam&lt;height,"Warning: vessel diameter too small","OK")))),""))))</f>
        <v>OK</v>
      </c>
      <c r="E68" s="120"/>
      <c r="F68" s="100"/>
      <c r="G68" s="99"/>
      <c r="H68" s="134" t="str">
        <f>IF(NOT(B56),"",IF(C68,"Diameter OK",D68))</f>
        <v>Diameter OK</v>
      </c>
      <c r="I68" s="346"/>
    </row>
    <row r="69" spans="2:9" x14ac:dyDescent="0.2">
      <c r="C69" t="b">
        <f>IF(NOT(B56),TRUE,IF(H66="Input incomplete",FALSE,IF(input_vol_vess&lt;media_volume_expanded,FALSE,TRUE)))</f>
        <v>1</v>
      </c>
      <c r="D69" t="str">
        <f>IF(NOT(B56),"OK",IF(H66="Input incomplete","",IF(input_vol_vess&lt;media_volume_expanded,"Warning: vessel too small for this bed depth","OK")))</f>
        <v>OK</v>
      </c>
      <c r="E69" s="120"/>
      <c r="F69" s="100"/>
      <c r="G69" s="99"/>
      <c r="H69" s="134" t="str">
        <f>IF(NOT(B56),"",IF(C69,"Volume OK",D69))</f>
        <v>Volume OK</v>
      </c>
      <c r="I69" s="346"/>
    </row>
    <row r="70" spans="2:9" x14ac:dyDescent="0.2">
      <c r="C70" t="b">
        <f>IF(NOT(B56),TRUE,IF(H66="Input incomplete",FALSE,IF(input_vol_vess&lt;media_volume_expanded,CHOOSE(tank_geom,FALSE,FALSE),TRUE)))</f>
        <v>1</v>
      </c>
      <c r="D70" t="str">
        <f>IF(NOT(B56),"OK",IF(H66="Input incomplete","",IF(input_vol_vess&lt;media_volume_expanded,CHOOSE(tank_geom,"Hint: reduce bed depth or increase diameter or height","Hint: reduce bed depth or increase diameter"),"OK")))</f>
        <v>OK</v>
      </c>
      <c r="E70" s="120"/>
      <c r="F70" s="100"/>
      <c r="G70" s="99"/>
      <c r="H70" s="515" t="str">
        <f>IF(NOT(B56),"",IF(C70,"",D70))</f>
        <v/>
      </c>
      <c r="I70" s="346"/>
    </row>
    <row r="71" spans="2:9" x14ac:dyDescent="0.2">
      <c r="C71" t="b">
        <f>IF(NOT(B56),TRUE,IF(H66="Input incomplete",FALSE,IF(ISERROR(final_num_tanks),FALSE,IF(tank_geom=1,IF(comm_load_rate&gt;load_max,FALSE,IF(comm_load_rate&lt;load_min,FALSE,TRUE)),IF(comm_load_rate&gt;load_max,FALSE,IF(comm_load_rate&lt;load_min,FALSE,TRUE))))))</f>
        <v>1</v>
      </c>
      <c r="D71" t="str">
        <f>IF(NOT(B56),"OK",IF(H66="Input incomplete","",IF(ISERROR(final_num_tanks),"",IF(tank_geom=1,IF(comm_load_rate&gt;load_max,"Warning: design exceeds maximum loading",IF(comm_load_rate&lt;load_min,"Warning: design below minimum loading","OK")),IF(comm_load_rate&gt;load_max,"Warning: design exceeds maximum loading",IF(comm_load_rate&lt;load_min,"Warning: design below minimum loading","OK"))))))</f>
        <v>OK</v>
      </c>
      <c r="E71" s="120"/>
      <c r="F71" s="100"/>
      <c r="G71" s="99"/>
      <c r="H71" s="134" t="str">
        <f>IF(NOT(B56),"",IF(C71,"Contact Time OK",D71))</f>
        <v>Contact Time OK</v>
      </c>
      <c r="I71" s="345" t="s">
        <v>3369</v>
      </c>
    </row>
    <row r="72" spans="2:9" x14ac:dyDescent="0.2">
      <c r="E72" s="132"/>
      <c r="F72" s="133"/>
      <c r="G72" s="661"/>
      <c r="H72" s="135" t="str">
        <f>IF(OR(NOT(B56),ISERROR(final_num_tanks)),"",IF(tank_geom=1,IF(comm_load_rate&gt;load_max,"Hint: increase vessel diameter or decrease bed depth",IF(comm_load_rate&lt;load_min,"Hint: reduce vessel diameter or increase bed depth","")),IF(comm_load_rate&gt;load_max,"Hint: increase vessel length and diameter or decrease bed depth",IF(comm_load_rate&lt;load_min,"Hint: reduce vessel length and diameter or increase bed depth",""))))</f>
        <v/>
      </c>
      <c r="I72" s="122"/>
    </row>
    <row r="73" spans="2:9" x14ac:dyDescent="0.2">
      <c r="E73" s="337"/>
      <c r="F73" s="100"/>
      <c r="G73" s="89"/>
      <c r="H73" s="333"/>
      <c r="I73" s="122"/>
    </row>
    <row r="74" spans="2:9" x14ac:dyDescent="0.2">
      <c r="B74" t="b">
        <f>IF(design_type=2,TRUE,FALSE)</f>
        <v>0</v>
      </c>
      <c r="E74" s="378" t="s">
        <v>2965</v>
      </c>
      <c r="F74" s="331"/>
      <c r="G74" s="927"/>
      <c r="H74" s="332"/>
      <c r="I74" s="122"/>
    </row>
    <row r="75" spans="2:9" x14ac:dyDescent="0.2">
      <c r="B75" s="694"/>
      <c r="C75" s="694" t="s">
        <v>4387</v>
      </c>
      <c r="E75" s="1002" t="s">
        <v>2617</v>
      </c>
      <c r="F75" s="1003"/>
      <c r="G75" s="1003"/>
      <c r="H75" s="1004"/>
      <c r="I75" s="122"/>
    </row>
    <row r="76" spans="2:9" x14ac:dyDescent="0.2">
      <c r="C76" t="b">
        <f>IF(NOT(B74),TRUE,NOT(basin_width=""))</f>
        <v>1</v>
      </c>
      <c r="E76" s="336" t="s">
        <v>3121</v>
      </c>
      <c r="F76" s="321" t="s">
        <v>2619</v>
      </c>
      <c r="G76" s="379"/>
      <c r="H76" s="380" t="s">
        <v>605</v>
      </c>
      <c r="I76" s="386" t="s">
        <v>542</v>
      </c>
    </row>
    <row r="77" spans="2:9" x14ac:dyDescent="0.2">
      <c r="C77" t="b">
        <f>IF(NOT(B74),TRUE,NOT(basin_length=""))</f>
        <v>1</v>
      </c>
      <c r="E77" s="335" t="s">
        <v>3122</v>
      </c>
      <c r="F77" s="321" t="s">
        <v>2621</v>
      </c>
      <c r="G77" s="379"/>
      <c r="H77" s="380" t="s">
        <v>605</v>
      </c>
      <c r="I77" s="155"/>
    </row>
    <row r="78" spans="2:9" x14ac:dyDescent="0.2">
      <c r="C78" t="b">
        <f>IF(NOT(B74),TRUE,NOT(basin_op_depth=""))</f>
        <v>1</v>
      </c>
      <c r="E78" s="335" t="s">
        <v>603</v>
      </c>
      <c r="F78" s="321" t="s">
        <v>2622</v>
      </c>
      <c r="G78" s="381"/>
      <c r="H78" s="380" t="s">
        <v>605</v>
      </c>
      <c r="I78" s="386" t="s">
        <v>541</v>
      </c>
    </row>
    <row r="79" spans="2:9" x14ac:dyDescent="0.2">
      <c r="E79" s="117" t="s">
        <v>2160</v>
      </c>
      <c r="F79" s="100"/>
      <c r="G79" s="89"/>
      <c r="H79" s="465"/>
      <c r="I79" s="386"/>
    </row>
    <row r="80" spans="2:9" x14ac:dyDescent="0.2">
      <c r="E80" s="119" t="s">
        <v>332</v>
      </c>
      <c r="F80" s="100"/>
      <c r="G80" s="389" t="str">
        <f>IF(OR(NOT(B74),ISERROR(total_num_basins)),"",total_num_basins)</f>
        <v/>
      </c>
      <c r="H80" s="467" t="s">
        <v>3259</v>
      </c>
      <c r="I80" s="386"/>
    </row>
    <row r="81" spans="2:14" x14ac:dyDescent="0.2">
      <c r="E81" s="119" t="s">
        <v>3258</v>
      </c>
      <c r="F81" s="100"/>
      <c r="G81" s="466" t="str">
        <f>IF(OR(NOT(B74),ISERROR(surface_loading_rate_g)),"",surface_loading_rate_g)</f>
        <v/>
      </c>
      <c r="H81" s="467" t="s">
        <v>3260</v>
      </c>
      <c r="I81" s="386"/>
    </row>
    <row r="82" spans="2:14" x14ac:dyDescent="0.2">
      <c r="C82" t="b">
        <f>IF(NOT(B74),TRUE,IF(NOT(AND(C76,C77,C78)),FALSE,IF(basin_op_depth&gt;max_depth,FALSE,IF(basin_op_depth&lt;min_depth,FALSE,TRUE))))</f>
        <v>1</v>
      </c>
      <c r="D82" t="str">
        <f>IF(NOT(B74),"OK",IF(NOT(AND(C76,C77,C78)),"Input incomplete",IF(basin_op_depth&gt;max_depth,"Warning: basin too deep",IF(basin_op_depth&lt;min_depth,"Warning: basin too shallow","OK"))))</f>
        <v>OK</v>
      </c>
      <c r="E82" s="93"/>
      <c r="F82" s="90"/>
      <c r="G82" s="90"/>
      <c r="H82" s="388" t="str">
        <f>IF(NOT(B74),"",IF(C82,"Bed Depth OK",D82))</f>
        <v/>
      </c>
      <c r="I82" s="387" t="s">
        <v>3367</v>
      </c>
    </row>
    <row r="83" spans="2:14" x14ac:dyDescent="0.2">
      <c r="C83" t="b">
        <f>IF(NOT(B74),TRUE,IF(basin_width&gt;max_width,FALSE,IF(basin_width&lt;min_width,FALSE,TRUE)))</f>
        <v>1</v>
      </c>
      <c r="D83" t="str">
        <f>IF(NOT(B74),"OK",IF(NOT(AND(C76,C77,C78)),"",IF(basin_width&gt;max_width,"Warning: basin too wide",IF(basin_width&lt;min_width,"Warning: basin too narrow","OK"))))</f>
        <v>OK</v>
      </c>
      <c r="E83" s="93"/>
      <c r="F83" s="90"/>
      <c r="G83" s="90"/>
      <c r="H83" s="388" t="str">
        <f>IF(NOT(B74),"",IF(C83,"Width OK",D83))</f>
        <v/>
      </c>
      <c r="I83" s="387" t="s">
        <v>3689</v>
      </c>
    </row>
    <row r="84" spans="2:14" x14ac:dyDescent="0.2">
      <c r="C84" t="b">
        <f>IF(NOT(B74),TRUE,IF(basin_length&gt;max_length_g,FALSE,IF(basin_length&lt;min_length_g,FALSE,TRUE)))</f>
        <v>1</v>
      </c>
      <c r="D84" t="str">
        <f>IF(NOT(B74),"OK",IF(ISERROR(total_num_basins),"",IF(H82="input incomplete","",IF(basin_length&gt;max_length_g,"Warning: basin too long",IF(OR(basin_length&lt;min_length_g,basin_length&lt;(min_basin_vol/op_num_basins/basin_op_depth/basin_width)),"Warning: basin too short","OK")))))</f>
        <v>OK</v>
      </c>
      <c r="E84" s="117"/>
      <c r="F84" s="100"/>
      <c r="G84" s="89"/>
      <c r="H84" s="388" t="str">
        <f>IF(NOT(B74),"",IF(C84,"Length OK",D84))</f>
        <v/>
      </c>
      <c r="I84" s="387" t="s">
        <v>3690</v>
      </c>
    </row>
    <row r="85" spans="2:14" x14ac:dyDescent="0.2">
      <c r="C85" t="b">
        <f>IF(NOT(B74),TRUE,IF(ISERROR(total_num_basins),"",IF(D82="input incomplete",FALSE,IF(surface_loading_rate_g&gt;load_max,FALSE,IF(surface_loading_rate_g&lt;load_min,FALSE,TRUE)))))</f>
        <v>1</v>
      </c>
      <c r="D85" t="str">
        <f>IF(NOT(B74),"OK",IF(ISERROR(total_num_basins),"",IF(D82="input incomplete","",IF(surface_loading_rate_g&gt;load_max,"Warning: design exceeds maximum loading",IF(surface_loading_rate_g&lt;load_min,"Warning: design below minimum loading","OK")))))</f>
        <v>OK</v>
      </c>
      <c r="E85" s="132"/>
      <c r="F85" s="133"/>
      <c r="G85" s="928"/>
      <c r="H85" s="390" t="str">
        <f>IF(NOT(B74),"",IF(ISERROR(total_num_basins),"",IF(C85,"Loading OK",D85)))</f>
        <v/>
      </c>
      <c r="I85" s="345" t="s">
        <v>3369</v>
      </c>
    </row>
    <row r="86" spans="2:14" ht="13.5" customHeight="1" x14ac:dyDescent="0.2">
      <c r="E86" s="337"/>
      <c r="F86" s="100"/>
      <c r="G86" s="89"/>
      <c r="H86" s="333"/>
      <c r="I86" s="122"/>
    </row>
    <row r="87" spans="2:14" x14ac:dyDescent="0.2">
      <c r="C87" t="b">
        <f>IF(include_post_h2o2_I="",FALSE,TRUE)</f>
        <v>1</v>
      </c>
      <c r="E87" s="852" t="s">
        <v>3119</v>
      </c>
      <c r="F87" s="853" t="s">
        <v>1964</v>
      </c>
      <c r="G87" s="854" t="s">
        <v>2967</v>
      </c>
      <c r="H87" s="855" t="s">
        <v>1416</v>
      </c>
      <c r="I87" s="922"/>
      <c r="J87" s="923"/>
      <c r="K87" s="923"/>
      <c r="L87" s="923"/>
      <c r="M87" s="923"/>
      <c r="N87" s="923"/>
    </row>
    <row r="88" spans="2:14" x14ac:dyDescent="0.2">
      <c r="C88" t="b">
        <f>IF(include_post_I="",FALSE,TRUE)</f>
        <v>1</v>
      </c>
      <c r="E88" s="856" t="s">
        <v>2971</v>
      </c>
      <c r="F88" s="857" t="s">
        <v>1917</v>
      </c>
      <c r="G88" s="858" t="s">
        <v>1340</v>
      </c>
      <c r="H88" s="859" t="s">
        <v>1416</v>
      </c>
      <c r="I88" s="922"/>
      <c r="J88" s="923"/>
      <c r="K88" s="923"/>
      <c r="L88" s="923"/>
      <c r="M88" s="923"/>
      <c r="N88" s="923"/>
    </row>
    <row r="89" spans="2:14" x14ac:dyDescent="0.2">
      <c r="B89" t="b">
        <f>IF(include_post=1,TRUE,FALSE)</f>
        <v>1</v>
      </c>
      <c r="C89" t="b">
        <f>IF(B89,NOT(filter_type_I=""),TRUE)</f>
        <v>1</v>
      </c>
      <c r="E89" s="860" t="s">
        <v>3118</v>
      </c>
      <c r="F89" s="861" t="s">
        <v>2969</v>
      </c>
      <c r="G89" s="858" t="s">
        <v>4188</v>
      </c>
      <c r="H89" s="859" t="s">
        <v>1416</v>
      </c>
      <c r="I89" s="122"/>
    </row>
    <row r="90" spans="2:14" x14ac:dyDescent="0.2">
      <c r="C90" t="b">
        <f>IF(B89,NOT(include_coag_filt_I=""),TRUE)</f>
        <v>1</v>
      </c>
      <c r="E90" s="860" t="s">
        <v>352</v>
      </c>
      <c r="F90" s="861" t="s">
        <v>353</v>
      </c>
      <c r="G90" s="858" t="s">
        <v>1340</v>
      </c>
      <c r="H90" s="859" t="s">
        <v>1416</v>
      </c>
      <c r="I90" s="122"/>
    </row>
    <row r="91" spans="2:14" x14ac:dyDescent="0.2">
      <c r="C91" t="b">
        <f>AND(C87:C90)</f>
        <v>1</v>
      </c>
      <c r="D91" t="str">
        <f>IF(NOT(C91),"Post-treatment Inputs Incomplete","OK")</f>
        <v>OK</v>
      </c>
      <c r="E91" s="851"/>
      <c r="F91" s="133"/>
      <c r="G91" s="425"/>
      <c r="H91" s="135" t="str">
        <f>IF(C91,"Post-treatment inputs OK",D91)</f>
        <v>Post-treatment inputs OK</v>
      </c>
      <c r="I91" s="122"/>
    </row>
    <row r="92" spans="2:14" x14ac:dyDescent="0.2">
      <c r="E92" s="337"/>
      <c r="F92" s="100"/>
      <c r="G92" s="89"/>
      <c r="H92" s="333"/>
      <c r="I92" s="122"/>
    </row>
    <row r="93" spans="2:14" x14ac:dyDescent="0.2">
      <c r="B93" t="b">
        <f>IF(filter_type=1,TRUE,FALSE)</f>
        <v>0</v>
      </c>
      <c r="E93" s="378" t="s">
        <v>2975</v>
      </c>
      <c r="F93" s="331"/>
      <c r="G93" s="927"/>
      <c r="H93" s="332"/>
      <c r="I93" s="122"/>
    </row>
    <row r="94" spans="2:14" x14ac:dyDescent="0.2">
      <c r="B94" s="694"/>
      <c r="C94" s="694" t="s">
        <v>4387</v>
      </c>
      <c r="E94" s="1002" t="s">
        <v>2617</v>
      </c>
      <c r="F94" s="1003"/>
      <c r="G94" s="1003"/>
      <c r="H94" s="1004"/>
      <c r="I94" s="122"/>
    </row>
    <row r="95" spans="2:14" x14ac:dyDescent="0.2">
      <c r="C95" t="b">
        <f>IF(NOT(B93),TRUE,NOT(filt_basin_width=""))</f>
        <v>1</v>
      </c>
      <c r="E95" s="336" t="s">
        <v>3121</v>
      </c>
      <c r="F95" s="321" t="s">
        <v>2978</v>
      </c>
      <c r="G95" s="379"/>
      <c r="H95" s="380" t="s">
        <v>605</v>
      </c>
      <c r="I95" s="386" t="s">
        <v>3110</v>
      </c>
    </row>
    <row r="96" spans="2:14" x14ac:dyDescent="0.2">
      <c r="C96" t="b">
        <f>IF(NOT(B93),TRUE,NOT(filt_basin_length=""))</f>
        <v>1</v>
      </c>
      <c r="E96" s="335" t="s">
        <v>3122</v>
      </c>
      <c r="F96" s="321" t="s">
        <v>2977</v>
      </c>
      <c r="G96" s="379"/>
      <c r="H96" s="380" t="s">
        <v>605</v>
      </c>
      <c r="I96" s="155"/>
    </row>
    <row r="97" spans="2:33" x14ac:dyDescent="0.2">
      <c r="C97" t="b">
        <f>IF(NOT(B93),TRUE,NOT(filt_basin_op_depth=""))</f>
        <v>1</v>
      </c>
      <c r="E97" s="335" t="s">
        <v>603</v>
      </c>
      <c r="F97" s="321" t="s">
        <v>2979</v>
      </c>
      <c r="G97" s="381"/>
      <c r="H97" s="380" t="s">
        <v>605</v>
      </c>
      <c r="I97" s="386" t="s">
        <v>541</v>
      </c>
    </row>
    <row r="98" spans="2:33" x14ac:dyDescent="0.2">
      <c r="E98" s="117" t="s">
        <v>2160</v>
      </c>
      <c r="F98" s="100"/>
      <c r="G98" s="89"/>
      <c r="H98" s="465"/>
      <c r="I98" s="386"/>
    </row>
    <row r="99" spans="2:33" x14ac:dyDescent="0.2">
      <c r="E99" s="119" t="s">
        <v>3109</v>
      </c>
      <c r="F99" s="100"/>
      <c r="G99" s="389" t="str">
        <f>IF(OR(NOT(B93),ISERROR(total_num_filt_basins)),"",total_num_filt_basins)</f>
        <v/>
      </c>
      <c r="H99" s="467" t="s">
        <v>3108</v>
      </c>
      <c r="I99" s="386"/>
    </row>
    <row r="100" spans="2:33" x14ac:dyDescent="0.2">
      <c r="C100" t="b">
        <f>IF(NOT(B93),TRUE,IF(NOT(AND(C95,C96,C97)),FALSE,IF(filt_basin_op_depth&gt;max_depth,FALSE,IF(filt_basin_op_depth&lt;min_depth,FALSE,TRUE))))</f>
        <v>1</v>
      </c>
      <c r="D100" t="str">
        <f>IF(NOT(B93),"OK",IF(NOT(AND(C95,C96,C97)),"Input incomplete",IF(filt_basin_op_depth&gt;max_depth,"Warning: basin too deep",IF(filt_basin_op_depth&lt;min_depth,"Warning: basin too shallow","OK"))))</f>
        <v>OK</v>
      </c>
      <c r="E100" s="93"/>
      <c r="F100" s="90"/>
      <c r="G100" s="90"/>
      <c r="H100" s="388" t="str">
        <f>IF(NOT(B93),"",IF(C100,"Bed Depth OK",D100))</f>
        <v/>
      </c>
      <c r="I100" s="387" t="s">
        <v>3367</v>
      </c>
    </row>
    <row r="101" spans="2:33" x14ac:dyDescent="0.2">
      <c r="C101" t="b">
        <f>IF(NOT(B93),TRUE,IF(filt_basin_width&gt;max_width,FALSE,IF(filt_basin_width&lt;min_width,FALSE,TRUE)))</f>
        <v>1</v>
      </c>
      <c r="D101" t="str">
        <f>IF(NOT(B93),"OK",IF(NOT(AND(C95,C96,C97)),"",IF(filt_basin_width&gt;max_width,"Warning: basin too wide",IF(filt_basin_width&lt;min_width,"Warning: basin too narrow","OK"))))</f>
        <v>OK</v>
      </c>
      <c r="E101" s="93"/>
      <c r="F101" s="90"/>
      <c r="G101" s="90"/>
      <c r="H101" s="388" t="str">
        <f>IF(NOT(B93),"",IF(C101,"Width OK",D101))</f>
        <v/>
      </c>
      <c r="I101" s="387" t="s">
        <v>3689</v>
      </c>
    </row>
    <row r="102" spans="2:33" x14ac:dyDescent="0.2">
      <c r="C102" t="b">
        <f>IF(NOT(B93),TRUE,IF(filt_basin_length&gt;max_length_g,FALSE,IF(filt_basin_length&lt;min_length_g,FALSE,TRUE)))</f>
        <v>1</v>
      </c>
      <c r="D102" t="str">
        <f>IF(NOT(B93),"OK",IF(ISERROR(total_num_filt_basins),"",IF(H100="input incomplete","",IF(filt_basin_length&gt;max_length_g,"Warning: basin too long",IF(OR(filt_basin_length&lt;min_length_g,filt_basin_length&lt;(min_filt_vol/op_num_filters/filt_basin_op_depth/filt_basin_width)),"Warning: basin too short","OK")))))</f>
        <v>OK</v>
      </c>
      <c r="E102" s="659"/>
      <c r="F102" s="133"/>
      <c r="G102" s="928"/>
      <c r="H102" s="390" t="str">
        <f>IF(NOT(B93),"",IF(C102,"Length OK",D102))</f>
        <v/>
      </c>
      <c r="I102" s="387" t="s">
        <v>3690</v>
      </c>
    </row>
    <row r="103" spans="2:33" x14ac:dyDescent="0.2">
      <c r="E103" s="337"/>
      <c r="F103" s="100"/>
      <c r="G103" s="929"/>
      <c r="H103" s="333"/>
      <c r="I103" s="345"/>
    </row>
    <row r="104" spans="2:33" x14ac:dyDescent="0.2">
      <c r="B104" t="b">
        <f>IF(filter_type=2,TRUE,FALSE)</f>
        <v>1</v>
      </c>
      <c r="E104" s="396" t="s">
        <v>2976</v>
      </c>
      <c r="F104" s="397"/>
      <c r="G104" s="466"/>
      <c r="H104" s="398"/>
      <c r="I104" s="344"/>
      <c r="J104" s="500"/>
      <c r="K104" s="500"/>
      <c r="L104" s="501"/>
      <c r="M104" s="344"/>
      <c r="N104" s="344"/>
      <c r="AG104" s="90"/>
    </row>
    <row r="105" spans="2:33" x14ac:dyDescent="0.2">
      <c r="B105" s="694" t="s">
        <v>1340</v>
      </c>
      <c r="C105" s="694" t="s">
        <v>4387</v>
      </c>
      <c r="E105" s="362" t="s">
        <v>1853</v>
      </c>
      <c r="F105" s="100"/>
      <c r="G105" s="155"/>
      <c r="H105" s="317"/>
      <c r="I105" s="400"/>
      <c r="J105" s="500"/>
      <c r="K105" s="500"/>
      <c r="L105" s="501"/>
    </row>
    <row r="106" spans="2:33" x14ac:dyDescent="0.2">
      <c r="E106" s="335" t="s">
        <v>603</v>
      </c>
      <c r="F106" s="321" t="s">
        <v>2980</v>
      </c>
      <c r="G106" s="526">
        <v>4.5999999999999996</v>
      </c>
      <c r="H106" s="399" t="s">
        <v>605</v>
      </c>
      <c r="I106" s="400" t="s">
        <v>3120</v>
      </c>
      <c r="J106" s="500"/>
      <c r="K106" s="500"/>
      <c r="L106" s="501"/>
    </row>
    <row r="107" spans="2:33" x14ac:dyDescent="0.2">
      <c r="E107" s="335" t="s">
        <v>543</v>
      </c>
      <c r="F107" s="321" t="s">
        <v>2981</v>
      </c>
      <c r="G107" s="658" t="s">
        <v>2163</v>
      </c>
      <c r="H107" s="399" t="s">
        <v>1416</v>
      </c>
      <c r="I107" s="400"/>
      <c r="J107" s="500"/>
      <c r="K107" s="500"/>
      <c r="L107" s="501"/>
    </row>
    <row r="108" spans="2:33" x14ac:dyDescent="0.2">
      <c r="E108" s="335" t="str">
        <f>IF(tank_geom_filt=1,"Height (straight)",IF(tank_geom_filt=2,"Length (straight)",""))</f>
        <v>Height (straight)</v>
      </c>
      <c r="F108" s="321" t="s">
        <v>2982</v>
      </c>
      <c r="G108" s="526">
        <v>8</v>
      </c>
      <c r="H108" s="399" t="str">
        <f>IF(tank_geom&lt;&gt;"","feet","")</f>
        <v>feet</v>
      </c>
      <c r="I108" s="400"/>
      <c r="J108" s="500"/>
      <c r="K108" s="500"/>
      <c r="L108" s="501"/>
    </row>
    <row r="109" spans="2:33" x14ac:dyDescent="0.2">
      <c r="E109" s="335" t="s">
        <v>2460</v>
      </c>
      <c r="F109" s="321" t="s">
        <v>2983</v>
      </c>
      <c r="G109" s="526">
        <v>4</v>
      </c>
      <c r="H109" s="399" t="str">
        <f>IF(tank_geom&lt;&gt;"","feet","")</f>
        <v>feet</v>
      </c>
      <c r="I109" s="400"/>
      <c r="J109" s="500"/>
      <c r="K109" s="500"/>
      <c r="L109" s="501"/>
    </row>
    <row r="110" spans="2:33" x14ac:dyDescent="0.2">
      <c r="E110" s="117" t="s">
        <v>2160</v>
      </c>
      <c r="F110" s="3"/>
      <c r="G110" s="131"/>
      <c r="H110" s="78"/>
      <c r="I110" s="111"/>
      <c r="J110" s="500"/>
      <c r="K110" s="500"/>
      <c r="L110" s="501"/>
    </row>
    <row r="111" spans="2:33" x14ac:dyDescent="0.2">
      <c r="E111" s="118" t="s">
        <v>1327</v>
      </c>
      <c r="F111" s="100"/>
      <c r="G111" s="463">
        <f>IF(NOT(B104),"",IF(ISERROR(op_num_tanks_filt),"",op_num_tanks_filt))</f>
        <v>2</v>
      </c>
      <c r="H111" s="469" t="s">
        <v>2161</v>
      </c>
      <c r="I111" s="111"/>
      <c r="J111" s="500"/>
      <c r="K111" s="500"/>
      <c r="L111" s="501"/>
    </row>
    <row r="112" spans="2:33" x14ac:dyDescent="0.2">
      <c r="E112" s="118" t="s">
        <v>1328</v>
      </c>
      <c r="F112" s="100"/>
      <c r="G112" s="122">
        <f>IF(NOT(B104),"",IF(ISERROR(final_num_tanks_filt),"",final_num_tanks_filt))</f>
        <v>2</v>
      </c>
      <c r="H112" s="469" t="s">
        <v>2161</v>
      </c>
      <c r="I112" s="344"/>
    </row>
    <row r="113" spans="2:33" x14ac:dyDescent="0.2">
      <c r="E113" s="118" t="s">
        <v>3258</v>
      </c>
      <c r="F113" s="100"/>
      <c r="G113" s="468">
        <f>IF(NOT(B104),"",IF(ISERROR(comm_load_rate_filt),"",comm_load_rate_filt))</f>
        <v>3.4262522471171915</v>
      </c>
      <c r="H113" s="469" t="s">
        <v>3260</v>
      </c>
      <c r="I113" s="344"/>
    </row>
    <row r="114" spans="2:33" x14ac:dyDescent="0.2">
      <c r="C114" t="b">
        <f>IF(NOT(B104),TRUE,IF(OR(filt_bed_depth="",filt_tank_geom_I="",filt_comm_height_length="",filt_comm_diam=""),FALSE,IF(filt_bed_depth&gt;2*filt_comm_diam,FALSE,IF(filt_bed_depth&lt;min_bed_depth,FALSE,TRUE))))</f>
        <v>1</v>
      </c>
      <c r="D114" t="str">
        <f>IF(NOT(B104),"OK",IF(OR(filt_bed_depth="",filt_comm_height_length="",filt_comm_diam="",filt_tank_geom_I=""),"Input incomplete",IF(filt_bed_depth&gt;2*filt_comm_diam,"Warning: bed depth should be less than twice the vessel diameter",IF(filt_bed_depth&lt;min_bed_depth,"Warning: bed depth too shallow","OK"))))</f>
        <v>OK</v>
      </c>
      <c r="E114" s="120"/>
      <c r="F114" s="100"/>
      <c r="G114" s="99"/>
      <c r="H114" s="134" t="str">
        <f>IF(NOT(B104),"",IF(C114,"Bed Depth OK",D114))</f>
        <v>Bed Depth OK</v>
      </c>
      <c r="I114" s="345" t="s">
        <v>3367</v>
      </c>
    </row>
    <row r="115" spans="2:33" x14ac:dyDescent="0.2">
      <c r="C115" t="b">
        <f>IF(NOT(B104),TRUE,IF(H114="Input incomplete",FALSE,IF(tank_geom_filt=1,IF(IF(AND(filt_comm_diam&gt;=min_diam,filt_comm_diam&lt;=max_diam_std_size),(OR(filt_comm_height_length&gt;=max_comm_height_filt,filt_comm_height_length&gt;max_height)),filt_comm_height_length&gt;max_height),FALSE,IF(IF(AND(filt_comm_diam&gt;=min_diam,filt_comm_diam&lt;=max_diam_std_size),(AND(filt_comm_height_length&gt;=min_comm_height_filt,filt_comm_height_length&gt;=height_filt)),filt_comm_height_length&gt;=height_filt),TRUE,FALSE)),IF(tank_geom_filt=2,IF(filt_comm_height_length&gt;max_length,FALSE,TRUE),FALSE))))</f>
        <v>1</v>
      </c>
      <c r="D115" t="str">
        <f>IF(NOT(B104),"OK",IF(H114="Input incomplete","",IF(tank_geom_filt=1,IF(IF(AND(filt_comm_diam&gt;=min_diam,filt_comm_diam&lt;=max_diam_std_size),(OR(filt_comm_height_length&gt;=max_comm_height_filt,filt_comm_height_length&gt;max_height)),filt_comm_height_length&gt;max_height),"Warning: vessel too high",IF(IF(AND(filt_comm_diam&gt;=min_diam,filt_comm_diam&lt;=max_diam_std_size),(AND(filt_comm_height_length&gt;=min_comm_height_filt,filt_comm_height_length&gt;=height_filt)),filt_comm_height_length&gt;=height_filt),"OK","Warning: vessel not high enough")),IF(tank_geom_filt=2,IF(filt_comm_height_length&gt;max_length,"Warning: vessel too long","OK"),"Invalid tank geometry input"))))</f>
        <v>OK</v>
      </c>
      <c r="E115" s="120"/>
      <c r="F115" s="100"/>
      <c r="G115" s="99"/>
      <c r="H115" s="134" t="str">
        <f>IF(NOT(B104),"",IF(C115,"Height OK",D115))</f>
        <v>Height OK</v>
      </c>
      <c r="I115" s="345" t="s">
        <v>3368</v>
      </c>
    </row>
    <row r="116" spans="2:33" x14ac:dyDescent="0.2">
      <c r="C116" t="b">
        <f>IF(NOT(B104),TRUE,IF(H114="Input Incomplete",FALSE,IF(tank_geom_filt=1,IF(filt_comm_diam&gt;max_diam,FALSE,IF(filt_comm_diam&lt;diameter_filt,FALSE,TRUE)),IF(tank_geom_filt=2,IF(filt_comm_diam&gt;max_diam,FALSE,IF(filt_comm_diam&gt;max_height,FALSE,IF(comm_SA_filt&lt;SA_filt,FALSE,IF(filt_comm_diam&lt;height_filt,FALSE,TRUE)))),FALSE))))</f>
        <v>1</v>
      </c>
      <c r="D116" t="str">
        <f>IF(NOT(B104),"OK",IF(H114="Input incomplete","",IF(tank_geom_filt=1,IF(filt_comm_diam&gt;max_diam,"Warning: vessel diameter too great",IF(filt_comm_diam&lt;diameter_filt,"Warning: vessel diameter too small","OK")),IF(tank_geom_filt=2,IF(filt_comm_diam&gt;max_diam,"Warning: vessel diameter too great",IF(filt_comm_diam&gt;max_height,"Warning: vessel diameter too great",IF(comm_SA_filt&lt;SA_filt,"Warning: vessel surface area too small",IF(filt_comm_diam&lt;height_filt,"Warning: vessel diameter too small","OK")))),""))))</f>
        <v>OK</v>
      </c>
      <c r="E116" s="132"/>
      <c r="F116" s="133"/>
      <c r="G116" s="661"/>
      <c r="H116" s="135" t="str">
        <f>IF(NOT(B104),"",IF(C116,"Diameter OK",D116))</f>
        <v>Diameter OK</v>
      </c>
      <c r="I116" s="346"/>
    </row>
    <row r="117" spans="2:33" x14ac:dyDescent="0.2">
      <c r="E117" s="583"/>
      <c r="F117" s="100"/>
      <c r="H117" s="584"/>
    </row>
    <row r="118" spans="2:33" x14ac:dyDescent="0.2">
      <c r="B118" t="b">
        <f>IF(design_type=3,FALSE,TRUE)</f>
        <v>1</v>
      </c>
      <c r="C118" s="90" t="b">
        <f>IF(B118,NOT(back_interval_I=""),TRUE)</f>
        <v>1</v>
      </c>
      <c r="D118" s="90"/>
      <c r="E118" s="415" t="s">
        <v>1915</v>
      </c>
      <c r="F118" s="416" t="s">
        <v>1908</v>
      </c>
      <c r="G118" s="502">
        <v>24</v>
      </c>
      <c r="H118" s="581" t="s">
        <v>407</v>
      </c>
      <c r="I118" s="1007" t="s">
        <v>2956</v>
      </c>
      <c r="J118" s="1008"/>
      <c r="K118" s="1008"/>
      <c r="L118" s="1008"/>
      <c r="M118" s="1008"/>
      <c r="AG118" s="90"/>
    </row>
    <row r="119" spans="2:33" x14ac:dyDescent="0.2">
      <c r="B119" t="b">
        <f>IF(include_post=1,TRUE,FALSE)</f>
        <v>1</v>
      </c>
      <c r="C119" s="90" t="b">
        <f>IF(B119,NOT(filter_back_interval_I=""),TRUE)</f>
        <v>1</v>
      </c>
      <c r="E119" s="320" t="s">
        <v>1916</v>
      </c>
      <c r="F119" s="580" t="s">
        <v>1918</v>
      </c>
      <c r="G119" s="365">
        <v>36</v>
      </c>
      <c r="H119" s="78" t="s">
        <v>407</v>
      </c>
      <c r="I119" s="1007" t="s">
        <v>2957</v>
      </c>
      <c r="J119" s="1008"/>
      <c r="K119" s="1008"/>
      <c r="L119" s="1008"/>
      <c r="M119" s="1008"/>
      <c r="N119" s="1008"/>
    </row>
    <row r="120" spans="2:33" ht="13.5" customHeight="1" x14ac:dyDescent="0.2">
      <c r="B120" t="b">
        <f>IF(AND(design_type=3,include_post=0),FALSE,TRUE)</f>
        <v>1</v>
      </c>
      <c r="C120" s="90" t="b">
        <f>NOT(res_s2_opt_I="")</f>
        <v>1</v>
      </c>
      <c r="D120" s="90"/>
      <c r="E120" s="364" t="s">
        <v>3114</v>
      </c>
      <c r="F120" s="376" t="s">
        <v>3434</v>
      </c>
      <c r="G120" s="365" t="s">
        <v>1340</v>
      </c>
      <c r="H120" s="368" t="s">
        <v>1416</v>
      </c>
      <c r="I120" s="924"/>
      <c r="J120" s="922"/>
      <c r="K120" s="922"/>
      <c r="L120" s="922"/>
      <c r="M120" s="922"/>
      <c r="N120" s="922"/>
      <c r="AG120" s="90"/>
    </row>
    <row r="121" spans="2:33" x14ac:dyDescent="0.2">
      <c r="B121" t="b">
        <f>IF(AND(design_type=3,include_post=0),FALSE,TRUE)</f>
        <v>1</v>
      </c>
      <c r="C121" s="90" t="b">
        <f>NOT(res_s2_opt_I="")</f>
        <v>1</v>
      </c>
      <c r="D121" s="90"/>
      <c r="E121" s="364" t="s">
        <v>1909</v>
      </c>
      <c r="F121" s="367" t="s">
        <v>420</v>
      </c>
      <c r="G121" s="365" t="s">
        <v>1283</v>
      </c>
      <c r="H121" s="368" t="s">
        <v>1416</v>
      </c>
      <c r="AG121" s="90"/>
    </row>
    <row r="122" spans="2:33" x14ac:dyDescent="0.2">
      <c r="B122" t="b">
        <f>OR(res_s2_opt=1,res_s2_opt=2)</f>
        <v>0</v>
      </c>
      <c r="C122" s="90" t="b">
        <f>IF(B122,NOT(res_s1_opt_I=""),TRUE)</f>
        <v>1</v>
      </c>
      <c r="D122" s="90"/>
      <c r="E122" s="320" t="s">
        <v>1910</v>
      </c>
      <c r="F122" s="3" t="s">
        <v>421</v>
      </c>
      <c r="G122" s="365" t="s">
        <v>418</v>
      </c>
      <c r="H122" s="78" t="str">
        <f>IF(res_s2_opt=3,"always included",IF(res_s2_opt=4,"not required","&lt;-- pick one"))</f>
        <v>always included</v>
      </c>
      <c r="I122" s="1007" t="str">
        <f>IF(res_s1_opt_I="Holding tank","Model selects between holding tank or basin based upon priority lookups on the Output sheet","")</f>
        <v>Model selects between holding tank or basin based upon priority lookups on the Output sheet</v>
      </c>
      <c r="J122" s="1008"/>
      <c r="K122" s="1008"/>
      <c r="L122" s="1008"/>
      <c r="M122" s="1008"/>
      <c r="N122" s="1008"/>
      <c r="AG122" s="90"/>
    </row>
    <row r="123" spans="2:33" s="90" customFormat="1" x14ac:dyDescent="0.2">
      <c r="B123" s="90" t="b">
        <f>IF(OR(res_s2_opt=3),TRUE,IF(res_s1_opt=1,TRUE,FALSE))</f>
        <v>1</v>
      </c>
      <c r="C123" s="90" t="b">
        <f>IF(B123,NOT(sed_sludge_method_I=""),TRUE)</f>
        <v>1</v>
      </c>
      <c r="E123" s="320" t="s">
        <v>758</v>
      </c>
      <c r="F123" s="3" t="s">
        <v>657</v>
      </c>
      <c r="G123" s="365" t="s">
        <v>658</v>
      </c>
      <c r="H123" s="78" t="str">
        <f>IF(res_s1_opt=2,"not required","&lt;-- pick one")</f>
        <v>&lt;-- pick one</v>
      </c>
      <c r="I123" s="672" t="str">
        <f>IF(sed_sludge_method_I="","Please pick a valid input.","")</f>
        <v/>
      </c>
      <c r="J123" s="672"/>
    </row>
    <row r="124" spans="2:33" ht="13.9" customHeight="1" x14ac:dyDescent="0.2">
      <c r="B124" t="b">
        <f>IF(OR(res_s2_opt=3,res_s2_opt=4),TRUE,IF(res_s1_opt=1,TRUE,FALSE))</f>
        <v>1</v>
      </c>
      <c r="C124" s="90" t="b">
        <f>IF(B124,NOT(solids_haz_I=""),TRUE)</f>
        <v>1</v>
      </c>
      <c r="E124" s="364" t="str">
        <f>IF(res_s2_opt=4,"Characteristics of evaporation pond solids","Characteristics of holding tank solids")</f>
        <v>Characteristics of holding tank solids</v>
      </c>
      <c r="F124" s="367" t="s">
        <v>2124</v>
      </c>
      <c r="G124" s="366" t="s">
        <v>419</v>
      </c>
      <c r="H124" s="368" t="str">
        <f>IF(NOT(B124),"not required","&lt;-- pick one")</f>
        <v>&lt;-- pick one</v>
      </c>
      <c r="J124" s="155"/>
      <c r="Y124"/>
      <c r="Z124"/>
      <c r="AA124"/>
      <c r="AB124"/>
      <c r="AC124"/>
      <c r="AD124"/>
      <c r="AE124"/>
      <c r="AF124"/>
    </row>
    <row r="125" spans="2:33" x14ac:dyDescent="0.2">
      <c r="C125" t="b">
        <f>IF(NOT(AND(C118:C124)),FALSE,TRUE)</f>
        <v>1</v>
      </c>
      <c r="D125" t="str">
        <f>IF(NOT(C125),"Residual Inputs Incomplete","OK")</f>
        <v>OK</v>
      </c>
      <c r="E125" s="137"/>
      <c r="F125" s="133"/>
      <c r="G125" s="116"/>
      <c r="H125" s="135" t="str">
        <f>IF(AND(design_type=3,include_post=0),"",IF(C125,"Residual inputs OK",D125))</f>
        <v>Residual inputs OK</v>
      </c>
      <c r="I125" s="145" t="s">
        <v>2954</v>
      </c>
    </row>
    <row r="126" spans="2:33" x14ac:dyDescent="0.2">
      <c r="E126" s="90"/>
      <c r="F126" s="90"/>
      <c r="G126" s="90"/>
      <c r="H126" s="90"/>
    </row>
    <row r="127" spans="2:33" x14ac:dyDescent="0.2">
      <c r="E127" s="114" t="s">
        <v>1244</v>
      </c>
      <c r="F127" s="334" t="s">
        <v>2125</v>
      </c>
      <c r="G127" s="642"/>
      <c r="H127" s="643" t="s">
        <v>611</v>
      </c>
      <c r="I127" s="111" t="s">
        <v>1988</v>
      </c>
      <c r="J127" s="155"/>
      <c r="K127" s="155"/>
      <c r="L127" s="155"/>
      <c r="M127" s="155"/>
      <c r="N127" s="155"/>
    </row>
    <row r="128" spans="2:33" ht="20.25" customHeight="1" x14ac:dyDescent="0.2">
      <c r="E128" s="141" t="s">
        <v>2126</v>
      </c>
      <c r="F128" s="3"/>
      <c r="G128" s="142">
        <f>IF(ISERROR(booster_pumps),"",booster_pumps)</f>
        <v>0</v>
      </c>
      <c r="H128" s="143" t="s">
        <v>611</v>
      </c>
      <c r="I128" s="152"/>
      <c r="J128" s="153"/>
      <c r="K128" s="153"/>
      <c r="L128" s="153"/>
      <c r="M128" s="153"/>
      <c r="N128" s="153"/>
    </row>
    <row r="129" spans="1:9" x14ac:dyDescent="0.2">
      <c r="E129" s="115" t="s">
        <v>609</v>
      </c>
      <c r="F129" s="321" t="s">
        <v>392</v>
      </c>
      <c r="G129" s="338"/>
      <c r="H129" s="322" t="s">
        <v>606</v>
      </c>
      <c r="I129" s="527" t="s">
        <v>2685</v>
      </c>
    </row>
    <row r="130" spans="1:9" ht="18.75" customHeight="1" x14ac:dyDescent="0.2">
      <c r="A130"/>
      <c r="E130" s="141" t="s">
        <v>2955</v>
      </c>
      <c r="G130" s="142">
        <f>IF(OR(design_type=1,design_type=3),IF(ISERROR(NRD),"",NRD),IF(ISERROR(NRD_g),"",NRD_g))</f>
        <v>0</v>
      </c>
      <c r="H130" s="143" t="s">
        <v>606</v>
      </c>
    </row>
    <row r="131" spans="1:9" x14ac:dyDescent="0.2">
      <c r="E131" s="115" t="s">
        <v>3401</v>
      </c>
      <c r="F131" s="321" t="s">
        <v>1486</v>
      </c>
      <c r="G131" s="644"/>
      <c r="H131" s="645" t="s">
        <v>2127</v>
      </c>
      <c r="I131" s="145" t="s">
        <v>3408</v>
      </c>
    </row>
    <row r="132" spans="1:9" x14ac:dyDescent="0.2">
      <c r="E132" s="115" t="s">
        <v>3402</v>
      </c>
      <c r="F132" s="321" t="s">
        <v>3407</v>
      </c>
      <c r="G132" s="644"/>
      <c r="H132" s="645" t="s">
        <v>2127</v>
      </c>
      <c r="I132" s="145" t="s">
        <v>3409</v>
      </c>
    </row>
    <row r="133" spans="1:9" x14ac:dyDescent="0.2">
      <c r="E133" s="498" t="s">
        <v>3410</v>
      </c>
      <c r="F133" s="3"/>
      <c r="G133" s="586">
        <f>IF(ISERROR(backwash_pumps),"",backwash_pumps)</f>
        <v>0</v>
      </c>
      <c r="H133" s="588" t="s">
        <v>606</v>
      </c>
      <c r="I133" s="145"/>
    </row>
    <row r="134" spans="1:9" ht="18.75" customHeight="1" x14ac:dyDescent="0.2">
      <c r="E134" s="589" t="s">
        <v>3411</v>
      </c>
      <c r="F134" s="3"/>
      <c r="G134" s="587">
        <f>IF(ISERROR(back_tanks),"",back_tanks)</f>
        <v>0</v>
      </c>
      <c r="H134" s="588" t="s">
        <v>606</v>
      </c>
      <c r="I134" s="145"/>
    </row>
    <row r="135" spans="1:9" x14ac:dyDescent="0.2">
      <c r="E135" s="115" t="s">
        <v>2182</v>
      </c>
      <c r="F135" s="321" t="s">
        <v>3609</v>
      </c>
      <c r="G135" s="646"/>
      <c r="H135" s="645" t="s">
        <v>2127</v>
      </c>
      <c r="I135" s="111" t="s">
        <v>2128</v>
      </c>
    </row>
    <row r="136" spans="1:9" x14ac:dyDescent="0.2">
      <c r="E136" s="115" t="s">
        <v>2448</v>
      </c>
      <c r="F136" s="321" t="s">
        <v>3341</v>
      </c>
      <c r="G136" s="646" t="s">
        <v>2419</v>
      </c>
      <c r="H136" s="645" t="s">
        <v>2127</v>
      </c>
      <c r="I136" s="145" t="s">
        <v>2129</v>
      </c>
    </row>
    <row r="137" spans="1:9" x14ac:dyDescent="0.2">
      <c r="E137" s="842" t="s">
        <v>4163</v>
      </c>
      <c r="F137" s="843" t="s">
        <v>4164</v>
      </c>
      <c r="G137" s="844"/>
      <c r="H137" s="845" t="s">
        <v>2127</v>
      </c>
      <c r="I137" s="111" t="s">
        <v>4165</v>
      </c>
    </row>
    <row r="138" spans="1:9" x14ac:dyDescent="0.2">
      <c r="E138" s="846" t="s">
        <v>4166</v>
      </c>
      <c r="F138" s="847" t="s">
        <v>4167</v>
      </c>
      <c r="G138" s="844"/>
      <c r="H138" s="848" t="s">
        <v>2127</v>
      </c>
      <c r="I138" s="111" t="s">
        <v>4168</v>
      </c>
    </row>
    <row r="139" spans="1:9" x14ac:dyDescent="0.2">
      <c r="E139" s="842" t="s">
        <v>4169</v>
      </c>
      <c r="F139" s="843" t="s">
        <v>4170</v>
      </c>
      <c r="G139" s="844"/>
      <c r="H139" s="845" t="s">
        <v>2127</v>
      </c>
      <c r="I139" s="111" t="s">
        <v>4171</v>
      </c>
    </row>
    <row r="140" spans="1:9" x14ac:dyDescent="0.2">
      <c r="A140"/>
      <c r="D140" s="90"/>
      <c r="E140" s="754" t="s">
        <v>3874</v>
      </c>
      <c r="F140" s="755"/>
      <c r="G140" s="756" t="str">
        <f>IF(component_level=2,"high cost",IF(component_level=1,"mid cost","low cost"))</f>
        <v>low cost</v>
      </c>
      <c r="H140" s="758"/>
    </row>
    <row r="141" spans="1:9" x14ac:dyDescent="0.2">
      <c r="A141"/>
      <c r="D141" s="90"/>
      <c r="E141" s="118" t="s">
        <v>3875</v>
      </c>
      <c r="F141" s="757"/>
      <c r="G141" s="121" t="str">
        <f>IF(manual=1,"manual",IF(manual=2,"semi-automated",IF(manual=3,"fully automated")))</f>
        <v>fully automated</v>
      </c>
      <c r="H141" s="758"/>
    </row>
    <row r="142" spans="1:9" x14ac:dyDescent="0.2">
      <c r="C142" s="90" t="b">
        <f>IF(ISERROR(pump_rating),FALSE,IF(pump_rating&gt;max_pump_size,FALSE,TRUE))</f>
        <v>1</v>
      </c>
      <c r="D142" s="90" t="str">
        <f>IF(ISERROR(pump_rating),"Input incomplete",IF(pump_rating&gt;max_pump_size,"Warning: insufficent number of pumps.","OK"))</f>
        <v>OK</v>
      </c>
      <c r="E142" s="93"/>
      <c r="F142" s="90"/>
      <c r="G142" s="90"/>
      <c r="H142" s="147" t="str">
        <f>IF(C142,"Optional Inputs OK",D142)</f>
        <v>Optional Inputs OK</v>
      </c>
    </row>
    <row r="143" spans="1:9" x14ac:dyDescent="0.2">
      <c r="E143" s="96"/>
      <c r="F143" s="149"/>
      <c r="G143" s="149"/>
      <c r="H143" s="148" t="str">
        <f>IF(OR(H142="input incomplete",H142="Optional Inputs OK"),"",IF(pump_rating&gt;max_pump_size,"Hint: increase number of pumps or leave that input blank",""))</f>
        <v/>
      </c>
    </row>
    <row r="144" spans="1:9" x14ac:dyDescent="0.2">
      <c r="B144" s="90"/>
      <c r="C144" s="90"/>
      <c r="D144" s="90"/>
      <c r="E144" s="90"/>
      <c r="F144" s="90"/>
      <c r="G144" s="90"/>
      <c r="H144" s="90"/>
    </row>
    <row r="145" spans="2:36" x14ac:dyDescent="0.2">
      <c r="B145" s="90"/>
      <c r="C145" s="90"/>
      <c r="D145" s="90"/>
      <c r="E145" s="90"/>
      <c r="F145" s="90"/>
      <c r="G145" s="90"/>
      <c r="H145" s="90"/>
    </row>
    <row r="146" spans="2:36" x14ac:dyDescent="0.2">
      <c r="B146" s="90"/>
      <c r="C146" s="90"/>
      <c r="D146" s="90"/>
      <c r="E146" s="90"/>
      <c r="F146" s="90"/>
      <c r="G146" s="90"/>
      <c r="H146" s="90"/>
    </row>
    <row r="147" spans="2:36" x14ac:dyDescent="0.2">
      <c r="B147" s="90"/>
      <c r="C147" s="90"/>
      <c r="D147" s="90"/>
      <c r="E147" s="90"/>
      <c r="F147" s="90"/>
      <c r="G147" s="90"/>
      <c r="H147" s="90"/>
    </row>
    <row r="148" spans="2:36" x14ac:dyDescent="0.2">
      <c r="B148" s="90"/>
      <c r="C148" s="90"/>
      <c r="D148" s="90"/>
      <c r="E148" s="90"/>
      <c r="F148" s="90"/>
      <c r="G148" s="90"/>
      <c r="H148" s="90"/>
    </row>
    <row r="149" spans="2:36" x14ac:dyDescent="0.2">
      <c r="B149" s="90"/>
      <c r="C149" s="90"/>
      <c r="D149" s="90"/>
      <c r="E149" s="90"/>
      <c r="F149" s="90"/>
      <c r="G149" s="90"/>
      <c r="H149" s="90"/>
    </row>
    <row r="150" spans="2:36" x14ac:dyDescent="0.2">
      <c r="B150" s="90"/>
      <c r="C150" s="90"/>
      <c r="D150" s="90"/>
      <c r="E150" s="90"/>
      <c r="F150" s="90"/>
      <c r="G150" s="90"/>
      <c r="H150" s="90"/>
    </row>
    <row r="151" spans="2:36" x14ac:dyDescent="0.2">
      <c r="B151" s="90"/>
      <c r="C151" s="90"/>
      <c r="D151" s="90"/>
      <c r="E151" s="90"/>
      <c r="F151" s="90"/>
      <c r="G151" s="90"/>
      <c r="H151" s="90"/>
    </row>
    <row r="152" spans="2:36" x14ac:dyDescent="0.2">
      <c r="B152" s="90"/>
      <c r="C152" s="90"/>
      <c r="D152" s="90"/>
      <c r="E152" s="90"/>
      <c r="F152" s="90"/>
      <c r="G152" s="90"/>
      <c r="H152" s="90"/>
    </row>
    <row r="153" spans="2:36" x14ac:dyDescent="0.2">
      <c r="B153" s="90"/>
      <c r="C153" s="90"/>
      <c r="D153" s="90"/>
      <c r="E153" s="90"/>
      <c r="F153" s="90"/>
      <c r="G153" s="90"/>
      <c r="H153" s="90"/>
    </row>
    <row r="154" spans="2:36" s="90" customFormat="1" x14ac:dyDescent="0.2">
      <c r="AG154"/>
      <c r="AH154"/>
      <c r="AI154"/>
      <c r="AJ154"/>
    </row>
    <row r="155" spans="2:36" s="90" customFormat="1" x14ac:dyDescent="0.2">
      <c r="AG155"/>
      <c r="AH155"/>
      <c r="AI155"/>
      <c r="AJ155"/>
    </row>
    <row r="156" spans="2:36" s="90" customFormat="1" x14ac:dyDescent="0.2">
      <c r="AG156"/>
      <c r="AH156"/>
      <c r="AI156"/>
      <c r="AJ156"/>
    </row>
    <row r="157" spans="2:36" s="90" customFormat="1" x14ac:dyDescent="0.2">
      <c r="AG157"/>
      <c r="AH157"/>
      <c r="AI157"/>
      <c r="AJ157"/>
    </row>
    <row r="158" spans="2:36" s="90" customFormat="1" x14ac:dyDescent="0.2">
      <c r="AG158"/>
      <c r="AH158"/>
      <c r="AI158"/>
      <c r="AJ158"/>
    </row>
    <row r="159" spans="2:36" s="90" customFormat="1" x14ac:dyDescent="0.2">
      <c r="AG159"/>
      <c r="AH159"/>
      <c r="AI159"/>
      <c r="AJ159"/>
    </row>
    <row r="160" spans="2:36" s="90" customFormat="1" x14ac:dyDescent="0.2">
      <c r="AG160"/>
      <c r="AH160"/>
      <c r="AI160"/>
      <c r="AJ160"/>
    </row>
    <row r="161" spans="33:36" s="90" customFormat="1" x14ac:dyDescent="0.2">
      <c r="AG161"/>
      <c r="AH161"/>
      <c r="AI161"/>
      <c r="AJ161"/>
    </row>
    <row r="162" spans="33:36" s="90" customFormat="1" x14ac:dyDescent="0.2">
      <c r="AG162"/>
      <c r="AH162"/>
      <c r="AI162"/>
      <c r="AJ162"/>
    </row>
    <row r="163" spans="33:36" s="90" customFormat="1" x14ac:dyDescent="0.2">
      <c r="AG163"/>
      <c r="AH163"/>
      <c r="AI163"/>
      <c r="AJ163"/>
    </row>
    <row r="164" spans="33:36" s="90" customFormat="1" x14ac:dyDescent="0.2">
      <c r="AG164"/>
      <c r="AH164"/>
      <c r="AI164"/>
      <c r="AJ164"/>
    </row>
    <row r="165" spans="33:36" s="90" customFormat="1" x14ac:dyDescent="0.2">
      <c r="AG165"/>
      <c r="AH165"/>
      <c r="AI165"/>
      <c r="AJ165"/>
    </row>
    <row r="166" spans="33:36" s="90" customFormat="1" x14ac:dyDescent="0.2">
      <c r="AG166"/>
      <c r="AH166"/>
      <c r="AI166"/>
      <c r="AJ166"/>
    </row>
    <row r="167" spans="33:36" s="90" customFormat="1" x14ac:dyDescent="0.2">
      <c r="AG167"/>
      <c r="AH167"/>
      <c r="AI167"/>
      <c r="AJ167"/>
    </row>
    <row r="168" spans="33:36" s="90" customFormat="1" x14ac:dyDescent="0.2">
      <c r="AG168"/>
      <c r="AH168"/>
      <c r="AI168"/>
      <c r="AJ168"/>
    </row>
  </sheetData>
  <mergeCells count="10">
    <mergeCell ref="I122:N122"/>
    <mergeCell ref="I118:M118"/>
    <mergeCell ref="I119:N119"/>
    <mergeCell ref="I48:I51"/>
    <mergeCell ref="E94:H94"/>
    <mergeCell ref="G18:H20"/>
    <mergeCell ref="I18:I20"/>
    <mergeCell ref="E75:H75"/>
    <mergeCell ref="I38:I43"/>
    <mergeCell ref="I44:I45"/>
  </mergeCells>
  <phoneticPr fontId="0" type="noConversion"/>
  <conditionalFormatting sqref="H35 H66:H72 H125 H46 H51 H114:H117">
    <cfRule type="expression" dxfId="4327" priority="111" stopIfTrue="1">
      <formula>NOT($C35)</formula>
    </cfRule>
  </conditionalFormatting>
  <conditionalFormatting sqref="G18:H20">
    <cfRule type="cellIs" dxfId="4326" priority="112" stopIfTrue="1" operator="notEqual">
      <formula>"input complete -- results ready"</formula>
    </cfRule>
  </conditionalFormatting>
  <conditionalFormatting sqref="E23">
    <cfRule type="expression" dxfId="4325" priority="113" stopIfTrue="1">
      <formula>G18="input complete -- results ready"</formula>
    </cfRule>
  </conditionalFormatting>
  <conditionalFormatting sqref="E74 E56 E93 E104">
    <cfRule type="expression" dxfId="4324" priority="114" stopIfTrue="1">
      <formula>NOT(B56)</formula>
    </cfRule>
  </conditionalFormatting>
  <conditionalFormatting sqref="E75:H75 E57 E94:H94 E105">
    <cfRule type="expression" dxfId="4323" priority="115" stopIfTrue="1">
      <formula>NOT(B56)</formula>
    </cfRule>
  </conditionalFormatting>
  <conditionalFormatting sqref="E76 E95">
    <cfRule type="expression" dxfId="4322" priority="116" stopIfTrue="1">
      <formula>NOT(B74)</formula>
    </cfRule>
  </conditionalFormatting>
  <conditionalFormatting sqref="G76 G58 G95 G106">
    <cfRule type="expression" dxfId="4321" priority="117" stopIfTrue="1">
      <formula>NOT(B56)</formula>
    </cfRule>
  </conditionalFormatting>
  <conditionalFormatting sqref="H76 H95">
    <cfRule type="expression" dxfId="4320" priority="118" stopIfTrue="1">
      <formula>NOT(B74)</formula>
    </cfRule>
  </conditionalFormatting>
  <conditionalFormatting sqref="E77 E96">
    <cfRule type="expression" dxfId="4319" priority="120" stopIfTrue="1">
      <formula>NOT(B74)</formula>
    </cfRule>
  </conditionalFormatting>
  <conditionalFormatting sqref="H77 H96">
    <cfRule type="expression" dxfId="4318" priority="121" stopIfTrue="1">
      <formula>NOT(B74)</formula>
    </cfRule>
  </conditionalFormatting>
  <conditionalFormatting sqref="G78 G60 G97 G108">
    <cfRule type="expression" dxfId="4317" priority="122" stopIfTrue="1">
      <formula>NOT(B56)</formula>
    </cfRule>
  </conditionalFormatting>
  <conditionalFormatting sqref="E78 E97">
    <cfRule type="expression" dxfId="4316" priority="123" stopIfTrue="1">
      <formula>NOT(B74)</formula>
    </cfRule>
  </conditionalFormatting>
  <conditionalFormatting sqref="H78:H79 H97:H98">
    <cfRule type="expression" dxfId="4315" priority="124" stopIfTrue="1">
      <formula>NOT(B74)</formula>
    </cfRule>
  </conditionalFormatting>
  <conditionalFormatting sqref="E79 E98">
    <cfRule type="expression" dxfId="4314" priority="125" stopIfTrue="1">
      <formula>NOT(B74)</formula>
    </cfRule>
  </conditionalFormatting>
  <conditionalFormatting sqref="E80 E99 E102">
    <cfRule type="expression" dxfId="4313" priority="126" stopIfTrue="1">
      <formula>NOT(B74)</formula>
    </cfRule>
  </conditionalFormatting>
  <conditionalFormatting sqref="I76:I77 I95:I96">
    <cfRule type="expression" dxfId="4312" priority="127" stopIfTrue="1">
      <formula>NOT(B74)</formula>
    </cfRule>
  </conditionalFormatting>
  <conditionalFormatting sqref="I78:I81 I97:I99">
    <cfRule type="expression" dxfId="4311" priority="128" stopIfTrue="1">
      <formula>NOT(B74)</formula>
    </cfRule>
  </conditionalFormatting>
  <conditionalFormatting sqref="E58:E62">
    <cfRule type="expression" dxfId="4310" priority="129" stopIfTrue="1">
      <formula>NOT(B$56)</formula>
    </cfRule>
  </conditionalFormatting>
  <conditionalFormatting sqref="H58:H61">
    <cfRule type="expression" dxfId="4309" priority="130" stopIfTrue="1">
      <formula>NOT(B$56)</formula>
    </cfRule>
  </conditionalFormatting>
  <conditionalFormatting sqref="H81 H63 H111">
    <cfRule type="expression" dxfId="4308" priority="131" stopIfTrue="1">
      <formula>NOT(B56)</formula>
    </cfRule>
  </conditionalFormatting>
  <conditionalFormatting sqref="G61 G109">
    <cfRule type="expression" dxfId="4307" priority="132" stopIfTrue="1">
      <formula>NOT(B56)</formula>
    </cfRule>
  </conditionalFormatting>
  <conditionalFormatting sqref="H64 H112">
    <cfRule type="expression" dxfId="4306" priority="134" stopIfTrue="1">
      <formula>NOT(B56)</formula>
    </cfRule>
  </conditionalFormatting>
  <conditionalFormatting sqref="G64 G112">
    <cfRule type="expression" dxfId="4305" priority="135" stopIfTrue="1">
      <formula>NOT(B56)</formula>
    </cfRule>
  </conditionalFormatting>
  <conditionalFormatting sqref="H54">
    <cfRule type="expression" dxfId="4304" priority="136" stopIfTrue="1">
      <formula>NOT($C53)</formula>
    </cfRule>
  </conditionalFormatting>
  <conditionalFormatting sqref="E84 E81">
    <cfRule type="expression" dxfId="4303" priority="137" stopIfTrue="1">
      <formula>NOT(B74)</formula>
    </cfRule>
  </conditionalFormatting>
  <conditionalFormatting sqref="G65 G113">
    <cfRule type="expression" dxfId="4302" priority="138" stopIfTrue="1">
      <formula>NOT(B56)</formula>
    </cfRule>
  </conditionalFormatting>
  <conditionalFormatting sqref="H65 H113">
    <cfRule type="expression" dxfId="4301" priority="139" stopIfTrue="1">
      <formula>NOT(B56)</formula>
    </cfRule>
  </conditionalFormatting>
  <conditionalFormatting sqref="H80 H99">
    <cfRule type="expression" dxfId="4300" priority="140" stopIfTrue="1">
      <formula>NOT(B74)</formula>
    </cfRule>
  </conditionalFormatting>
  <conditionalFormatting sqref="I57:I61 I105:I109">
    <cfRule type="expression" dxfId="4299" priority="141" stopIfTrue="1">
      <formula>NOT(B$56)</formula>
    </cfRule>
  </conditionalFormatting>
  <conditionalFormatting sqref="H142">
    <cfRule type="cellIs" dxfId="4298" priority="143" stopIfTrue="1" operator="equal">
      <formula>"Optional Inputs OK"</formula>
    </cfRule>
  </conditionalFormatting>
  <conditionalFormatting sqref="H143">
    <cfRule type="cellIs" dxfId="4297" priority="144" stopIfTrue="1" operator="equal">
      <formula>""</formula>
    </cfRule>
  </conditionalFormatting>
  <conditionalFormatting sqref="G49:G50 G118:G119 G122">
    <cfRule type="expression" dxfId="4296" priority="201" stopIfTrue="1">
      <formula>NOT(B49)</formula>
    </cfRule>
  </conditionalFormatting>
  <conditionalFormatting sqref="E49:E50">
    <cfRule type="expression" dxfId="4295" priority="202" stopIfTrue="1">
      <formula>NOT(B49)</formula>
    </cfRule>
  </conditionalFormatting>
  <conditionalFormatting sqref="H49:H50">
    <cfRule type="expression" dxfId="4294" priority="203" stopIfTrue="1">
      <formula>NOT(B49)</formula>
    </cfRule>
  </conditionalFormatting>
  <conditionalFormatting sqref="H118:H119 H89">
    <cfRule type="expression" dxfId="4293" priority="145" stopIfTrue="1">
      <formula>NOT(B89)</formula>
    </cfRule>
  </conditionalFormatting>
  <conditionalFormatting sqref="G59">
    <cfRule type="expression" dxfId="4292" priority="87" stopIfTrue="1">
      <formula>NOT(B59)</formula>
    </cfRule>
    <cfRule type="expression" dxfId="4291" priority="119" stopIfTrue="1">
      <formula>NOT(B56)</formula>
    </cfRule>
  </conditionalFormatting>
  <conditionalFormatting sqref="E106:E110">
    <cfRule type="expression" dxfId="4290" priority="33" stopIfTrue="1">
      <formula>NOT(B$104)</formula>
    </cfRule>
  </conditionalFormatting>
  <conditionalFormatting sqref="H106:H109">
    <cfRule type="expression" dxfId="4289" priority="32" stopIfTrue="1">
      <formula>NOT(B$104)</formula>
    </cfRule>
  </conditionalFormatting>
  <conditionalFormatting sqref="G107 G77 G96">
    <cfRule type="expression" dxfId="4288" priority="23" stopIfTrue="1">
      <formula>NOT(B74)</formula>
    </cfRule>
  </conditionalFormatting>
  <conditionalFormatting sqref="E125 E117">
    <cfRule type="expression" dxfId="4287" priority="142" stopIfTrue="1">
      <formula>res_s2_opt=2</formula>
    </cfRule>
  </conditionalFormatting>
  <conditionalFormatting sqref="G124">
    <cfRule type="expression" dxfId="4286" priority="151" stopIfTrue="1">
      <formula>NOT($B$124)</formula>
    </cfRule>
  </conditionalFormatting>
  <conditionalFormatting sqref="H124">
    <cfRule type="expression" dxfId="4285" priority="152" stopIfTrue="1">
      <formula>NOT($B$124)</formula>
    </cfRule>
  </conditionalFormatting>
  <conditionalFormatting sqref="E124">
    <cfRule type="expression" dxfId="4284" priority="205" stopIfTrue="1">
      <formula>NOT($B$124)</formula>
    </cfRule>
  </conditionalFormatting>
  <conditionalFormatting sqref="E122">
    <cfRule type="colorScale" priority="208">
      <colorScale>
        <cfvo type="min"/>
        <cfvo type="max"/>
        <color rgb="FFFF7128"/>
        <color rgb="FFFFEF9C"/>
      </colorScale>
    </cfRule>
    <cfRule type="expression" dxfId="4283" priority="209" stopIfTrue="1">
      <formula>NOT(B122)</formula>
    </cfRule>
  </conditionalFormatting>
  <conditionalFormatting sqref="G124 G118:G122">
    <cfRule type="expression" dxfId="4282" priority="94" stopIfTrue="1">
      <formula>AND(design_type=3,include_post=0)</formula>
    </cfRule>
    <cfRule type="expression" dxfId="4281" priority="96" stopIfTrue="1">
      <formula>AND(design_type=3,include_post=0)</formula>
    </cfRule>
  </conditionalFormatting>
  <conditionalFormatting sqref="N118 J121:N124 E118:H122 E124:H124 I118:I124">
    <cfRule type="expression" dxfId="4280" priority="95" stopIfTrue="1">
      <formula>AND(design_type=3,include_post=0)</formula>
    </cfRule>
  </conditionalFormatting>
  <conditionalFormatting sqref="E119 E89:E90">
    <cfRule type="expression" dxfId="4279" priority="92" stopIfTrue="1">
      <formula>NOT($B$119)</formula>
    </cfRule>
  </conditionalFormatting>
  <conditionalFormatting sqref="E118 I118">
    <cfRule type="expression" dxfId="4278" priority="91" stopIfTrue="1">
      <formula>NOT($B$118)</formula>
    </cfRule>
  </conditionalFormatting>
  <conditionalFormatting sqref="H100 H82">
    <cfRule type="cellIs" dxfId="4277" priority="146" stopIfTrue="1" operator="equal">
      <formula>"bed depth ok"</formula>
    </cfRule>
  </conditionalFormatting>
  <conditionalFormatting sqref="H101 H83">
    <cfRule type="cellIs" dxfId="4276" priority="147" stopIfTrue="1" operator="equal">
      <formula>"width ok"</formula>
    </cfRule>
  </conditionalFormatting>
  <conditionalFormatting sqref="H102 H84">
    <cfRule type="cellIs" dxfId="4275" priority="148" stopIfTrue="1" operator="equal">
      <formula>"length ok"</formula>
    </cfRule>
  </conditionalFormatting>
  <conditionalFormatting sqref="G111 E111:E113">
    <cfRule type="expression" dxfId="4274" priority="153" stopIfTrue="1">
      <formula>NOT($B$104)</formula>
    </cfRule>
  </conditionalFormatting>
  <conditionalFormatting sqref="G89:G90">
    <cfRule type="expression" dxfId="4273" priority="41">
      <formula>include_post=0</formula>
    </cfRule>
  </conditionalFormatting>
  <conditionalFormatting sqref="E89:G90 H89">
    <cfRule type="expression" dxfId="4272" priority="40">
      <formula>include_post=0</formula>
    </cfRule>
  </conditionalFormatting>
  <conditionalFormatting sqref="H85">
    <cfRule type="cellIs" dxfId="4271" priority="149" stopIfTrue="1" operator="equal">
      <formula>"loading ok"</formula>
    </cfRule>
  </conditionalFormatting>
  <conditionalFormatting sqref="H90">
    <cfRule type="expression" dxfId="4270" priority="18" stopIfTrue="1">
      <formula>NOT($B$89)</formula>
    </cfRule>
  </conditionalFormatting>
  <conditionalFormatting sqref="G123">
    <cfRule type="expression" dxfId="4269" priority="10" stopIfTrue="1">
      <formula>NOT(B123)</formula>
    </cfRule>
  </conditionalFormatting>
  <conditionalFormatting sqref="E123">
    <cfRule type="colorScale" priority="8">
      <colorScale>
        <cfvo type="min"/>
        <cfvo type="max"/>
        <color rgb="FFFF7128"/>
        <color rgb="FFFFEF9C"/>
      </colorScale>
    </cfRule>
    <cfRule type="expression" dxfId="4268" priority="9" stopIfTrue="1">
      <formula>NOT(B123)</formula>
    </cfRule>
  </conditionalFormatting>
  <conditionalFormatting sqref="G123">
    <cfRule type="expression" dxfId="4267" priority="6" stopIfTrue="1">
      <formula>AND(design_type=3,include_post=0)</formula>
    </cfRule>
    <cfRule type="expression" dxfId="4266" priority="7" stopIfTrue="1">
      <formula>AND(design_type=3,include_post=0)</formula>
    </cfRule>
  </conditionalFormatting>
  <conditionalFormatting sqref="E123:H123">
    <cfRule type="expression" dxfId="4265" priority="5" stopIfTrue="1">
      <formula>AND(design_type=3,include_post=0)</formula>
    </cfRule>
  </conditionalFormatting>
  <conditionalFormatting sqref="H123">
    <cfRule type="expression" dxfId="4264" priority="4" stopIfTrue="1">
      <formula>NOT(B123)</formula>
    </cfRule>
  </conditionalFormatting>
  <conditionalFormatting sqref="E40 H40">
    <cfRule type="expression" dxfId="4263" priority="3">
      <formula>NOT($B$40)</formula>
    </cfRule>
  </conditionalFormatting>
  <conditionalFormatting sqref="G40">
    <cfRule type="expression" dxfId="4262" priority="2">
      <formula>NOT($B$40)</formula>
    </cfRule>
  </conditionalFormatting>
  <conditionalFormatting sqref="H91">
    <cfRule type="expression" dxfId="4261" priority="1" stopIfTrue="1">
      <formula>NOT($C91)</formula>
    </cfRule>
  </conditionalFormatting>
  <dataValidations count="21">
    <dataValidation type="list" allowBlank="1" showInputMessage="1" showErrorMessage="1" sqref="G131" xr:uid="{00000000-0002-0000-0300-000000000000}">
      <formula1>backwash_pump_valid</formula1>
    </dataValidation>
    <dataValidation type="list" allowBlank="1" showInputMessage="1" showErrorMessage="1" sqref="G135" xr:uid="{00000000-0002-0000-0300-000001000000}">
      <formula1>comp_level_valid</formula1>
    </dataValidation>
    <dataValidation type="list" allowBlank="1" showInputMessage="1" showErrorMessage="1" sqref="G136" xr:uid="{00000000-0002-0000-0300-000002000000}">
      <formula1>system_automation_valid</formula1>
    </dataValidation>
    <dataValidation type="list" allowBlank="1" showInputMessage="1" showErrorMessage="1" sqref="G132" xr:uid="{00000000-0002-0000-0300-000003000000}">
      <formula1>backwash_storage_valid</formula1>
    </dataValidation>
    <dataValidation type="decimal" operator="greaterThanOrEqual" allowBlank="1" showInputMessage="1" showErrorMessage="1" sqref="G129 G108 G60 G39:G42" xr:uid="{00000000-0002-0000-0300-000004000000}">
      <formula1>0</formula1>
    </dataValidation>
    <dataValidation type="whole" operator="greaterThanOrEqual" allowBlank="1" showInputMessage="1" showErrorMessage="1" sqref="G127" xr:uid="{00000000-0002-0000-0300-000005000000}">
      <formula1>0</formula1>
    </dataValidation>
    <dataValidation type="list" allowBlank="1" showInputMessage="1" showErrorMessage="1" sqref="G124" xr:uid="{00000000-0002-0000-0300-000006000000}">
      <formula1>"non-hazardous,hazardous"</formula1>
    </dataValidation>
    <dataValidation type="list" allowBlank="1" showInputMessage="1" showErrorMessage="1" sqref="G120 G88" xr:uid="{00000000-0002-0000-0300-000007000000}">
      <formula1>"yes,no"</formula1>
    </dataValidation>
    <dataValidation type="decimal" operator="greaterThan" allowBlank="1" showInputMessage="1" showErrorMessage="1" sqref="G118:G119 G109 G106 G53:G54 G58 G61 G30:G31 G46 G38 G49:G51 G76:G78 G91" xr:uid="{00000000-0002-0000-0300-000008000000}">
      <formula1>0</formula1>
    </dataValidation>
    <dataValidation type="list" allowBlank="1" showInputMessage="1" showErrorMessage="1" sqref="G121" xr:uid="{00000000-0002-0000-0300-000009000000}">
      <formula1>"surface water, POTW, recycle, evaporation pond"</formula1>
    </dataValidation>
    <dataValidation type="list" allowBlank="1" showInputMessage="1" showErrorMessage="1" sqref="G122" xr:uid="{00000000-0002-0000-0300-00000A000000}">
      <formula1>"holding tank, no holding tank"</formula1>
    </dataValidation>
    <dataValidation type="list" allowBlank="1" showInputMessage="1" showErrorMessage="1" sqref="G107 G59" xr:uid="{00000000-0002-0000-0300-00000B000000}">
      <formula1>"upright,horizontal"</formula1>
    </dataValidation>
    <dataValidation type="list" allowBlank="1" showInputMessage="1" showErrorMessage="1" sqref="G87" xr:uid="{00000000-0002-0000-0300-00000C000000}">
      <formula1>" aeration,hydrogen peroxide"</formula1>
    </dataValidation>
    <dataValidation type="list" allowBlank="1" showInputMessage="1" showErrorMessage="1" sqref="G89" xr:uid="{00000000-0002-0000-0300-00000D000000}">
      <formula1>"gravity basin, pressure vessel"</formula1>
    </dataValidation>
    <dataValidation type="list" allowBlank="1" showInputMessage="1" showErrorMessage="1" error="Invalid selection" sqref="H30" xr:uid="{00000000-0002-0000-0300-00000E000000}">
      <formula1>"MGD,gpm"</formula1>
    </dataValidation>
    <dataValidation type="list" allowBlank="1" showInputMessage="1" showErrorMessage="1" error="Invalid selection" sqref="H31" xr:uid="{00000000-0002-0000-0300-00000F000000}">
      <formula1>"MGD,gpm,fraction of design flow"</formula1>
    </dataValidation>
    <dataValidation type="list" allowBlank="1" showInputMessage="1" showErrorMessage="1" sqref="G37" xr:uid="{00000000-0002-0000-0300-000010000000}">
      <formula1>"acetic acid, ethanol"</formula1>
    </dataValidation>
    <dataValidation type="list" allowBlank="1" showInputMessage="1" showErrorMessage="1" sqref="G48" xr:uid="{00000000-0002-0000-0300-000011000000}">
      <formula1>nutrient_valid</formula1>
    </dataValidation>
    <dataValidation type="list" allowBlank="1" showInputMessage="1" showErrorMessage="1" sqref="G90" xr:uid="{00000000-0002-0000-0300-000012000000}">
      <formula1>"yes, no"</formula1>
    </dataValidation>
    <dataValidation type="list" allowBlank="1" showInputMessage="1" showErrorMessage="1" sqref="G123" xr:uid="{00000000-0002-0000-0300-000013000000}">
      <formula1>"none, thickener w/ mechanical dewatering, thickener w/ non-mechanical dewatering"</formula1>
    </dataValidation>
    <dataValidation type="list" allowBlank="1" showInputMessage="1" showErrorMessage="1" sqref="G137:G139" xr:uid="{00000000-0002-0000-0300-000014000000}">
      <formula1>yes_no_valid</formula1>
    </dataValidation>
  </dataValidations>
  <hyperlinks>
    <hyperlink ref="I22" location="link_output" display="Results summary (see OUTPUT sheet for details)" xr:uid="{00000000-0004-0000-0300-000000000000}"/>
    <hyperlink ref="I35" location="bp_pct" display="Adjust bypass percentage" xr:uid="{00000000-0004-0000-0300-000001000000}"/>
    <hyperlink ref="I67" location="link_dim_constraints" display="Adjust vessel size constraints" xr:uid="{00000000-0004-0000-0300-000002000000}"/>
    <hyperlink ref="I71" location="link_load" display="Adjust loading constraints" xr:uid="{00000000-0004-0000-0300-000003000000}"/>
    <hyperlink ref="I66" location="link_bed_constraints" display="Adjust bed depth constraints" xr:uid="{00000000-0004-0000-0300-000004000000}"/>
    <hyperlink ref="I82" location="link_bed_depth" display="Adjust bed depth constraints" xr:uid="{00000000-0004-0000-0300-000005000000}"/>
    <hyperlink ref="I83" location="link_width" display="Adjust width constraints" xr:uid="{00000000-0004-0000-0300-000006000000}"/>
    <hyperlink ref="I84" location="link_length" display="Adjust length constraints" xr:uid="{00000000-0004-0000-0300-000007000000}"/>
    <hyperlink ref="I85" location="link_load" display="Adjust Load constraints" xr:uid="{00000000-0004-0000-0300-000008000000}"/>
    <hyperlink ref="I100" location="link_bed_depth" display="Adjust bed depth constraints" xr:uid="{00000000-0004-0000-0300-000009000000}"/>
    <hyperlink ref="I101" location="link_width" display="Adjust width constraints" xr:uid="{00000000-0004-0000-0300-00000A000000}"/>
    <hyperlink ref="I102" location="link_length" display="Adjust length constraints" xr:uid="{00000000-0004-0000-0300-00000B000000}"/>
    <hyperlink ref="I115" location="link_dim_constraints" display="Adjust vessel size constraints" xr:uid="{00000000-0004-0000-0300-00000C000000}"/>
    <hyperlink ref="I114" location="link_filter_bed_constraints" display="Adjust bed depth constraints" xr:uid="{00000000-0004-0000-0300-00000D000000}"/>
  </hyperlinks>
  <pageMargins left="0.75" right="0.75" top="1" bottom="1" header="0.5" footer="0.5"/>
  <pageSetup scale="7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9" r:id="rId4" name="ddResinChoice">
              <controlPr defaultSize="0" autoLine="0" autoPict="0" macro="[0]!ClearDesign">
                <anchor moveWithCells="1">
                  <from>
                    <xdr:col>5</xdr:col>
                    <xdr:colOff>0</xdr:colOff>
                    <xdr:row>4</xdr:row>
                    <xdr:rowOff>133350</xdr:rowOff>
                  </from>
                  <to>
                    <xdr:col>6</xdr:col>
                    <xdr:colOff>2552700</xdr:colOff>
                    <xdr:row>5</xdr:row>
                    <xdr:rowOff>123825</xdr:rowOff>
                  </to>
                </anchor>
              </controlPr>
            </control>
          </mc:Choice>
        </mc:AlternateContent>
        <mc:AlternateContent xmlns:mc="http://schemas.openxmlformats.org/markup-compatibility/2006">
          <mc:Choice Requires="x14">
            <control shapeId="7409" r:id="rId5" name="cmdAutoSize">
              <controlPr defaultSize="0" print="0" autoFill="0" autoPict="0" macro="[0]!Sheet1.cmdAutoSize_Click">
                <anchor moveWithCells="1" sizeWithCells="1">
                  <from>
                    <xdr:col>4</xdr:col>
                    <xdr:colOff>85725</xdr:colOff>
                    <xdr:row>57</xdr:row>
                    <xdr:rowOff>28575</xdr:rowOff>
                  </from>
                  <to>
                    <xdr:col>4</xdr:col>
                    <xdr:colOff>1447800</xdr:colOff>
                    <xdr:row>60</xdr:row>
                    <xdr:rowOff>123825</xdr:rowOff>
                  </to>
                </anchor>
              </controlPr>
            </control>
          </mc:Choice>
        </mc:AlternateContent>
        <mc:AlternateContent xmlns:mc="http://schemas.openxmlformats.org/markup-compatibility/2006">
          <mc:Choice Requires="x14">
            <control shapeId="7410" r:id="rId6" name="cmdCompSelect">
              <controlPr defaultSize="0" print="0" autoFill="0" autoPict="0" macro="[0]!Sheet1.cmdCompSelect_Click">
                <anchor moveWithCells="1" sizeWithCells="1">
                  <from>
                    <xdr:col>6</xdr:col>
                    <xdr:colOff>28575</xdr:colOff>
                    <xdr:row>20</xdr:row>
                    <xdr:rowOff>76200</xdr:rowOff>
                  </from>
                  <to>
                    <xdr:col>7</xdr:col>
                    <xdr:colOff>1371600</xdr:colOff>
                    <xdr:row>24</xdr:row>
                    <xdr:rowOff>66675</xdr:rowOff>
                  </to>
                </anchor>
              </controlPr>
            </control>
          </mc:Choice>
        </mc:AlternateContent>
        <mc:AlternateContent xmlns:mc="http://schemas.openxmlformats.org/markup-compatibility/2006">
          <mc:Choice Requires="x14">
            <control shapeId="7411" r:id="rId7" name="CommandButton1">
              <controlPr defaultSize="0" print="0" autoFill="0" autoPict="0" macro="[0]!Sheet1.CommandButton1_Click">
                <anchor moveWithCells="1" sizeWithCells="1">
                  <from>
                    <xdr:col>6</xdr:col>
                    <xdr:colOff>19050</xdr:colOff>
                    <xdr:row>7</xdr:row>
                    <xdr:rowOff>28575</xdr:rowOff>
                  </from>
                  <to>
                    <xdr:col>6</xdr:col>
                    <xdr:colOff>2562225</xdr:colOff>
                    <xdr:row>8</xdr:row>
                    <xdr:rowOff>0</xdr:rowOff>
                  </to>
                </anchor>
              </controlPr>
            </control>
          </mc:Choice>
        </mc:AlternateContent>
        <mc:AlternateContent xmlns:mc="http://schemas.openxmlformats.org/markup-compatibility/2006">
          <mc:Choice Requires="x14">
            <control shapeId="7412" r:id="rId8" name="CommandButton2">
              <controlPr defaultSize="0" print="0" autoFill="0" autoPict="0" macro="[0]!Sheet1.CommandButton2_Click">
                <anchor moveWithCells="1" sizeWithCells="1">
                  <from>
                    <xdr:col>6</xdr:col>
                    <xdr:colOff>19050</xdr:colOff>
                    <xdr:row>8</xdr:row>
                    <xdr:rowOff>28575</xdr:rowOff>
                  </from>
                  <to>
                    <xdr:col>6</xdr:col>
                    <xdr:colOff>2562225</xdr:colOff>
                    <xdr:row>8</xdr:row>
                    <xdr:rowOff>314325</xdr:rowOff>
                  </to>
                </anchor>
              </controlPr>
            </control>
          </mc:Choice>
        </mc:AlternateContent>
        <mc:AlternateContent xmlns:mc="http://schemas.openxmlformats.org/markup-compatibility/2006">
          <mc:Choice Requires="x14">
            <control shapeId="7413" r:id="rId9" name="CommandButton3">
              <controlPr defaultSize="0" print="0" autoFill="0" autoPict="0" macro="[0]!Sheet1.CommandButton3_Click">
                <anchor moveWithCells="1" sizeWithCells="1">
                  <from>
                    <xdr:col>6</xdr:col>
                    <xdr:colOff>19050</xdr:colOff>
                    <xdr:row>9</xdr:row>
                    <xdr:rowOff>28575</xdr:rowOff>
                  </from>
                  <to>
                    <xdr:col>6</xdr:col>
                    <xdr:colOff>2562225</xdr:colOff>
                    <xdr:row>9</xdr:row>
                    <xdr:rowOff>314325</xdr:rowOff>
                  </to>
                </anchor>
              </controlPr>
            </control>
          </mc:Choice>
        </mc:AlternateContent>
        <mc:AlternateContent xmlns:mc="http://schemas.openxmlformats.org/markup-compatibility/2006">
          <mc:Choice Requires="x14">
            <control shapeId="7414" r:id="rId10" name="CommandButton4">
              <controlPr defaultSize="0" print="0" autoFill="0" autoPict="0" macro="[0]!Sheet1.CommandButton4_Click">
                <anchor moveWithCells="1" sizeWithCells="1">
                  <from>
                    <xdr:col>6</xdr:col>
                    <xdr:colOff>19050</xdr:colOff>
                    <xdr:row>10</xdr:row>
                    <xdr:rowOff>28575</xdr:rowOff>
                  </from>
                  <to>
                    <xdr:col>6</xdr:col>
                    <xdr:colOff>2562225</xdr:colOff>
                    <xdr:row>10</xdr:row>
                    <xdr:rowOff>314325</xdr:rowOff>
                  </to>
                </anchor>
              </controlPr>
            </control>
          </mc:Choice>
        </mc:AlternateContent>
        <mc:AlternateContent xmlns:mc="http://schemas.openxmlformats.org/markup-compatibility/2006">
          <mc:Choice Requires="x14">
            <control shapeId="7415" r:id="rId11" name="CommandButton5">
              <controlPr defaultSize="0" print="0" autoFill="0" autoPict="0" macro="[0]!Sheet1.CommandButton5_Click">
                <anchor moveWithCells="1" sizeWithCells="1">
                  <from>
                    <xdr:col>6</xdr:col>
                    <xdr:colOff>19050</xdr:colOff>
                    <xdr:row>11</xdr:row>
                    <xdr:rowOff>28575</xdr:rowOff>
                  </from>
                  <to>
                    <xdr:col>6</xdr:col>
                    <xdr:colOff>2562225</xdr:colOff>
                    <xdr:row>11</xdr:row>
                    <xdr:rowOff>314325</xdr:rowOff>
                  </to>
                </anchor>
              </controlPr>
            </control>
          </mc:Choice>
        </mc:AlternateContent>
        <mc:AlternateContent xmlns:mc="http://schemas.openxmlformats.org/markup-compatibility/2006">
          <mc:Choice Requires="x14">
            <control shapeId="7416" r:id="rId12" name="CommandButton6">
              <controlPr defaultSize="0" print="0" autoFill="0" autoPict="0" macro="[0]!Sheet1.CommandButton6_Click">
                <anchor moveWithCells="1" sizeWithCells="1">
                  <from>
                    <xdr:col>6</xdr:col>
                    <xdr:colOff>19050</xdr:colOff>
                    <xdr:row>12</xdr:row>
                    <xdr:rowOff>28575</xdr:rowOff>
                  </from>
                  <to>
                    <xdr:col>6</xdr:col>
                    <xdr:colOff>2562225</xdr:colOff>
                    <xdr:row>12</xdr:row>
                    <xdr:rowOff>314325</xdr:rowOff>
                  </to>
                </anchor>
              </controlPr>
            </control>
          </mc:Choice>
        </mc:AlternateContent>
        <mc:AlternateContent xmlns:mc="http://schemas.openxmlformats.org/markup-compatibility/2006">
          <mc:Choice Requires="x14">
            <control shapeId="7417" r:id="rId13" name="CommandButton7">
              <controlPr defaultSize="0" print="0" autoFill="0" autoPict="0" macro="[0]!Sheet1.CommandButton7_Click">
                <anchor moveWithCells="1" sizeWithCells="1">
                  <from>
                    <xdr:col>6</xdr:col>
                    <xdr:colOff>19050</xdr:colOff>
                    <xdr:row>13</xdr:row>
                    <xdr:rowOff>28575</xdr:rowOff>
                  </from>
                  <to>
                    <xdr:col>6</xdr:col>
                    <xdr:colOff>2562225</xdr:colOff>
                    <xdr:row>13</xdr:row>
                    <xdr:rowOff>314325</xdr:rowOff>
                  </to>
                </anchor>
              </controlPr>
            </control>
          </mc:Choice>
        </mc:AlternateContent>
        <mc:AlternateContent xmlns:mc="http://schemas.openxmlformats.org/markup-compatibility/2006">
          <mc:Choice Requires="x14">
            <control shapeId="7418" r:id="rId14" name="CommandButton8">
              <controlPr defaultSize="0" print="0" autoFill="0" autoPict="0" macro="[0]!Sheet1.CommandButton8_Click">
                <anchor moveWithCells="1" sizeWithCells="1">
                  <from>
                    <xdr:col>6</xdr:col>
                    <xdr:colOff>19050</xdr:colOff>
                    <xdr:row>14</xdr:row>
                    <xdr:rowOff>28575</xdr:rowOff>
                  </from>
                  <to>
                    <xdr:col>6</xdr:col>
                    <xdr:colOff>2562225</xdr:colOff>
                    <xdr:row>14</xdr:row>
                    <xdr:rowOff>314325</xdr:rowOff>
                  </to>
                </anchor>
              </controlPr>
            </control>
          </mc:Choice>
        </mc:AlternateContent>
        <mc:AlternateContent xmlns:mc="http://schemas.openxmlformats.org/markup-compatibility/2006">
          <mc:Choice Requires="x14">
            <control shapeId="7419" r:id="rId15" name="cmdClearDesign">
              <controlPr defaultSize="0" print="0" autoFill="0" autoPict="0" macro="[0]!Sheet1.cmdClearDesign_Click">
                <anchor moveWithCells="1" sizeWithCells="1">
                  <from>
                    <xdr:col>6</xdr:col>
                    <xdr:colOff>19050</xdr:colOff>
                    <xdr:row>15</xdr:row>
                    <xdr:rowOff>9525</xdr:rowOff>
                  </from>
                  <to>
                    <xdr:col>6</xdr:col>
                    <xdr:colOff>2562225</xdr:colOff>
                    <xdr:row>15</xdr:row>
                    <xdr:rowOff>295275</xdr:rowOff>
                  </to>
                </anchor>
              </controlPr>
            </control>
          </mc:Choice>
        </mc:AlternateContent>
        <mc:AlternateContent xmlns:mc="http://schemas.openxmlformats.org/markup-compatibility/2006">
          <mc:Choice Requires="x14">
            <control shapeId="7420" r:id="rId16" name="cmdAutoSizeA">
              <controlPr defaultSize="0" print="0" autoFill="0" autoPict="0" macro="[0]!Sheet1.cmdAutoSizeA_Click">
                <anchor moveWithCells="1" sizeWithCells="1">
                  <from>
                    <xdr:col>4</xdr:col>
                    <xdr:colOff>104775</xdr:colOff>
                    <xdr:row>75</xdr:row>
                    <xdr:rowOff>38100</xdr:rowOff>
                  </from>
                  <to>
                    <xdr:col>4</xdr:col>
                    <xdr:colOff>1419225</xdr:colOff>
                    <xdr:row>78</xdr:row>
                    <xdr:rowOff>123825</xdr:rowOff>
                  </to>
                </anchor>
              </controlPr>
            </control>
          </mc:Choice>
        </mc:AlternateContent>
        <mc:AlternateContent xmlns:mc="http://schemas.openxmlformats.org/markup-compatibility/2006">
          <mc:Choice Requires="x14">
            <control shapeId="7516" r:id="rId17" name="cmdAutoSize_Filt">
              <controlPr defaultSize="0" print="0" autoFill="0" autoPict="0" macro="[0]!Sheet1.cmdAutoSize_Filt_Click">
                <anchor moveWithCells="1" sizeWithCells="1">
                  <from>
                    <xdr:col>4</xdr:col>
                    <xdr:colOff>85725</xdr:colOff>
                    <xdr:row>105</xdr:row>
                    <xdr:rowOff>28575</xdr:rowOff>
                  </from>
                  <to>
                    <xdr:col>4</xdr:col>
                    <xdr:colOff>1447800</xdr:colOff>
                    <xdr:row>108</xdr:row>
                    <xdr:rowOff>123825</xdr:rowOff>
                  </to>
                </anchor>
              </controlPr>
            </control>
          </mc:Choice>
        </mc:AlternateContent>
        <mc:AlternateContent xmlns:mc="http://schemas.openxmlformats.org/markup-compatibility/2006">
          <mc:Choice Requires="x14">
            <control shapeId="7554" r:id="rId18" name="cmdAutoSizeA_Filt">
              <controlPr defaultSize="0" print="0" autoFill="0" autoPict="0" macro="[0]!Sheet1.cmdAutoSizeA_Filt_Click">
                <anchor moveWithCells="1" sizeWithCells="1">
                  <from>
                    <xdr:col>4</xdr:col>
                    <xdr:colOff>85725</xdr:colOff>
                    <xdr:row>94</xdr:row>
                    <xdr:rowOff>38100</xdr:rowOff>
                  </from>
                  <to>
                    <xdr:col>4</xdr:col>
                    <xdr:colOff>1466850</xdr:colOff>
                    <xdr:row>97</xdr:row>
                    <xdr:rowOff>133350</xdr:rowOff>
                  </to>
                </anchor>
              </controlPr>
            </control>
          </mc:Choice>
        </mc:AlternateContent>
        <mc:AlternateContent xmlns:mc="http://schemas.openxmlformats.org/markup-compatibility/2006">
          <mc:Choice Requires="x14">
            <control shapeId="7556" r:id="rId19" name="Drop Down 388">
              <controlPr defaultSize="0" autoLine="0" autoPict="0" macro="[0]!ClearDesign">
                <anchor moveWithCells="1">
                  <from>
                    <xdr:col>5</xdr:col>
                    <xdr:colOff>0</xdr:colOff>
                    <xdr:row>1</xdr:row>
                    <xdr:rowOff>200025</xdr:rowOff>
                  </from>
                  <to>
                    <xdr:col>6</xdr:col>
                    <xdr:colOff>2552700</xdr:colOff>
                    <xdr:row>2</xdr:row>
                    <xdr:rowOff>190500</xdr:rowOff>
                  </to>
                </anchor>
              </controlPr>
            </control>
          </mc:Choice>
        </mc:AlternateContent>
        <mc:AlternateContent xmlns:mc="http://schemas.openxmlformats.org/markup-compatibility/2006">
          <mc:Choice Requires="x14">
            <control shapeId="7557" r:id="rId20" name="Button 389">
              <controlPr defaultSize="0" print="0" autoFill="0" autoPict="0" macro="[0]!Sheet1.cmdTDB_Click">
                <anchor moveWithCells="1" sizeWithCells="1">
                  <from>
                    <xdr:col>7</xdr:col>
                    <xdr:colOff>9525</xdr:colOff>
                    <xdr:row>0</xdr:row>
                    <xdr:rowOff>47625</xdr:rowOff>
                  </from>
                  <to>
                    <xdr:col>7</xdr:col>
                    <xdr:colOff>2057400</xdr:colOff>
                    <xdr:row>1</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Y658"/>
  <sheetViews>
    <sheetView tabSelected="1" topLeftCell="A49" zoomScaleNormal="100" workbookViewId="0"/>
  </sheetViews>
  <sheetFormatPr defaultColWidth="9.140625" defaultRowHeight="12.75" x14ac:dyDescent="0.2"/>
  <cols>
    <col min="1" max="1" width="15.140625" customWidth="1"/>
    <col min="2" max="2" width="54.42578125" style="5" customWidth="1"/>
    <col min="3" max="3" width="19" customWidth="1"/>
    <col min="4" max="4" width="10" style="11" customWidth="1"/>
    <col min="5" max="5" width="20.85546875" customWidth="1"/>
    <col min="6" max="6" width="13" customWidth="1"/>
    <col min="7" max="7" width="17.7109375" customWidth="1"/>
    <col min="8" max="8" width="12.42578125" customWidth="1"/>
    <col min="9" max="9" width="19" bestFit="1" customWidth="1"/>
    <col min="10" max="10" width="19.5703125" customWidth="1"/>
    <col min="11" max="11" width="11.7109375" customWidth="1"/>
    <col min="12" max="12" width="7.7109375" customWidth="1"/>
    <col min="13" max="13" width="85.85546875" style="774" customWidth="1"/>
    <col min="14" max="14" width="13.140625" style="864" customWidth="1"/>
    <col min="15" max="18" width="9.28515625" style="864" bestFit="1" customWidth="1"/>
    <col min="19" max="23" width="9.140625" style="864"/>
    <col min="24" max="24" width="12" style="774" customWidth="1"/>
    <col min="25" max="16384" width="9.140625" style="774"/>
  </cols>
  <sheetData>
    <row r="1" spans="1:25" ht="15.75" x14ac:dyDescent="0.25">
      <c r="A1" s="165" t="s">
        <v>2140</v>
      </c>
      <c r="B1" s="167"/>
      <c r="C1" s="136"/>
      <c r="D1" s="287"/>
      <c r="E1" s="495"/>
      <c r="F1" s="90"/>
      <c r="G1" s="90"/>
      <c r="H1" s="90"/>
      <c r="I1" s="90"/>
      <c r="J1" s="90"/>
      <c r="K1" s="90"/>
      <c r="L1" s="90"/>
      <c r="M1" s="155"/>
      <c r="N1" s="808"/>
      <c r="O1" s="808"/>
      <c r="P1" s="808"/>
      <c r="Q1" s="808"/>
      <c r="R1" s="808"/>
      <c r="S1" s="808"/>
      <c r="T1" s="808"/>
      <c r="U1" s="808"/>
      <c r="V1" s="808"/>
      <c r="W1" s="808"/>
      <c r="X1" s="155"/>
      <c r="Y1" s="155"/>
    </row>
    <row r="2" spans="1:25" x14ac:dyDescent="0.2">
      <c r="A2" s="911"/>
      <c r="B2" s="193" t="s">
        <v>3937</v>
      </c>
      <c r="C2" s="912" t="s">
        <v>1641</v>
      </c>
      <c r="D2" s="913" t="s">
        <v>1642</v>
      </c>
      <c r="E2" s="782"/>
      <c r="F2" s="774"/>
      <c r="G2" s="774"/>
      <c r="H2" s="774"/>
      <c r="I2" s="90"/>
      <c r="J2" s="90"/>
      <c r="K2" s="90"/>
      <c r="L2" s="90"/>
      <c r="M2" s="155"/>
      <c r="Q2" s="808"/>
      <c r="R2" s="808"/>
      <c r="S2" s="808"/>
      <c r="T2" s="808"/>
      <c r="U2" s="808"/>
      <c r="V2" s="808"/>
      <c r="W2" s="808"/>
      <c r="X2" s="155"/>
      <c r="Y2" s="90"/>
    </row>
    <row r="3" spans="1:25" x14ac:dyDescent="0.2">
      <c r="A3" s="914"/>
      <c r="B3" s="155" t="s">
        <v>2141</v>
      </c>
      <c r="C3" s="536" t="s">
        <v>472</v>
      </c>
      <c r="D3" s="775"/>
      <c r="E3" s="758"/>
      <c r="F3" s="774"/>
      <c r="G3" s="774"/>
      <c r="H3" s="774"/>
      <c r="I3" s="90"/>
      <c r="J3" s="90"/>
      <c r="K3" s="90"/>
      <c r="L3" s="90"/>
      <c r="M3" s="155"/>
      <c r="Q3" s="808"/>
      <c r="R3" s="808"/>
      <c r="S3" s="808"/>
      <c r="T3" s="808"/>
      <c r="U3" s="808"/>
      <c r="V3" s="808"/>
      <c r="W3" s="808"/>
      <c r="X3" s="155"/>
      <c r="Y3" s="90"/>
    </row>
    <row r="4" spans="1:25" x14ac:dyDescent="0.2">
      <c r="A4" s="914"/>
      <c r="B4" s="155" t="s">
        <v>1426</v>
      </c>
      <c r="C4" s="536" t="str">
        <f>IF(ss_cat2=1,"small","large")</f>
        <v>small</v>
      </c>
      <c r="D4" s="775"/>
      <c r="E4" s="758"/>
      <c r="F4" s="774"/>
      <c r="G4" s="774"/>
      <c r="H4" s="774"/>
      <c r="I4" s="90"/>
      <c r="J4" s="90"/>
      <c r="K4" s="90"/>
      <c r="L4" s="90"/>
      <c r="M4" s="155"/>
      <c r="Q4" s="808"/>
      <c r="R4" s="808"/>
      <c r="S4" s="808"/>
      <c r="T4" s="808"/>
      <c r="U4" s="808"/>
      <c r="V4" s="808"/>
      <c r="W4" s="808"/>
      <c r="X4" s="155"/>
      <c r="Y4" s="90"/>
    </row>
    <row r="5" spans="1:25" x14ac:dyDescent="0.2">
      <c r="A5" s="914"/>
      <c r="B5" s="808" t="s">
        <v>3809</v>
      </c>
      <c r="C5" s="536" t="str">
        <f>IF(contam=1,"perchlorate",IF(contam=2,"nitrate","other"))</f>
        <v>perchlorate</v>
      </c>
      <c r="D5" s="775"/>
      <c r="E5" s="758"/>
      <c r="F5" s="776"/>
      <c r="G5" s="777"/>
      <c r="H5" s="778"/>
      <c r="I5" s="90"/>
      <c r="J5" s="90"/>
      <c r="K5" s="90"/>
      <c r="L5" s="90"/>
      <c r="M5" s="155"/>
      <c r="Q5" s="808"/>
      <c r="R5" s="808"/>
      <c r="S5" s="808"/>
      <c r="T5" s="808"/>
      <c r="U5" s="808"/>
      <c r="V5" s="808"/>
      <c r="W5" s="808"/>
      <c r="X5" s="155"/>
      <c r="Y5" s="90"/>
    </row>
    <row r="6" spans="1:25" x14ac:dyDescent="0.2">
      <c r="A6" s="914"/>
      <c r="B6" s="155" t="s">
        <v>3691</v>
      </c>
      <c r="C6" s="536" t="str">
        <f>IF(design_type=1,"pressure","gravity")</f>
        <v>pressure</v>
      </c>
      <c r="D6" s="775"/>
      <c r="E6" s="758"/>
      <c r="F6" s="774"/>
      <c r="G6" s="774"/>
      <c r="H6" s="778"/>
      <c r="I6" s="90"/>
      <c r="J6" s="90"/>
      <c r="K6" s="90"/>
      <c r="L6" s="90"/>
      <c r="M6" s="155"/>
      <c r="N6" s="808"/>
      <c r="O6" s="808"/>
      <c r="P6" s="808"/>
      <c r="Q6" s="808"/>
      <c r="R6" s="808"/>
      <c r="S6" s="808"/>
      <c r="T6" s="808"/>
      <c r="U6" s="808"/>
      <c r="V6" s="808"/>
      <c r="W6" s="808"/>
      <c r="X6" s="155"/>
      <c r="Y6" s="90"/>
    </row>
    <row r="7" spans="1:25" x14ac:dyDescent="0.2">
      <c r="A7" s="914"/>
      <c r="B7" s="155" t="s">
        <v>599</v>
      </c>
      <c r="C7" s="169">
        <f>design_flow</f>
        <v>0.124</v>
      </c>
      <c r="D7" s="1011" t="s">
        <v>2147</v>
      </c>
      <c r="E7" s="1012"/>
      <c r="F7" s="778"/>
      <c r="G7" s="774"/>
      <c r="H7" s="778"/>
      <c r="I7" s="90"/>
      <c r="J7" s="90"/>
      <c r="K7" s="90"/>
      <c r="L7" s="90"/>
      <c r="M7" s="155"/>
      <c r="N7" s="808"/>
      <c r="O7" s="808"/>
      <c r="P7" s="808"/>
      <c r="Q7" s="808"/>
      <c r="R7" s="808"/>
      <c r="S7" s="808"/>
      <c r="T7" s="808"/>
      <c r="U7" s="808"/>
      <c r="V7" s="808"/>
      <c r="W7" s="808"/>
      <c r="X7" s="155"/>
      <c r="Y7" s="90"/>
    </row>
    <row r="8" spans="1:25" x14ac:dyDescent="0.2">
      <c r="A8" s="914"/>
      <c r="B8" s="155" t="s">
        <v>601</v>
      </c>
      <c r="C8" s="169">
        <f>average_flow</f>
        <v>3.5000000000000003E-2</v>
      </c>
      <c r="D8" s="1011" t="s">
        <v>2147</v>
      </c>
      <c r="E8" s="1012"/>
      <c r="F8" s="778"/>
      <c r="G8" s="774"/>
      <c r="H8" s="778"/>
      <c r="I8" s="90"/>
      <c r="J8" s="90"/>
      <c r="K8" s="90"/>
      <c r="L8" s="90"/>
      <c r="M8" s="155"/>
      <c r="N8" s="808"/>
      <c r="O8" s="808"/>
      <c r="P8" s="808"/>
      <c r="Q8" s="808"/>
      <c r="R8" s="808"/>
      <c r="S8" s="808"/>
      <c r="T8" s="808"/>
      <c r="U8" s="808"/>
      <c r="V8" s="808"/>
      <c r="W8" s="808"/>
      <c r="X8" s="155"/>
      <c r="Y8" s="90"/>
    </row>
    <row r="9" spans="1:25" x14ac:dyDescent="0.2">
      <c r="A9" s="914"/>
      <c r="B9" s="90" t="s">
        <v>430</v>
      </c>
      <c r="C9" s="536" t="str">
        <f>IF(design_type=3,"fluidized","fixed")</f>
        <v>fixed</v>
      </c>
      <c r="D9" s="777"/>
      <c r="E9" s="779"/>
      <c r="F9" s="778"/>
      <c r="G9" s="774"/>
      <c r="H9" s="778"/>
      <c r="I9" s="90"/>
      <c r="J9" s="90"/>
      <c r="K9" s="90"/>
      <c r="L9" s="90"/>
      <c r="M9" s="155"/>
      <c r="N9" s="808"/>
      <c r="O9" s="808"/>
      <c r="P9" s="808"/>
      <c r="Q9" s="808"/>
      <c r="R9" s="808"/>
      <c r="S9" s="808"/>
      <c r="T9" s="808"/>
      <c r="U9" s="808"/>
      <c r="V9" s="808"/>
      <c r="W9" s="808"/>
      <c r="X9" s="155"/>
      <c r="Y9" s="90"/>
    </row>
    <row r="10" spans="1:25" x14ac:dyDescent="0.2">
      <c r="A10" s="914"/>
      <c r="B10" s="90" t="s">
        <v>2114</v>
      </c>
      <c r="C10" s="169">
        <f>IF(design_type=2,total_num_basins,final_num_tanks)</f>
        <v>3</v>
      </c>
      <c r="D10" s="774" t="s">
        <v>1870</v>
      </c>
      <c r="E10" s="758"/>
      <c r="F10" s="778"/>
      <c r="G10" s="774"/>
      <c r="H10" s="778"/>
      <c r="I10" s="90"/>
      <c r="J10" s="90"/>
      <c r="K10" s="90"/>
      <c r="L10" s="90"/>
      <c r="M10" s="155"/>
      <c r="N10" s="808"/>
      <c r="O10" s="808"/>
      <c r="P10" s="808"/>
      <c r="Q10" s="808"/>
      <c r="R10" s="808"/>
      <c r="S10" s="808"/>
      <c r="T10" s="808"/>
      <c r="U10" s="808"/>
      <c r="V10" s="808"/>
      <c r="W10" s="808"/>
      <c r="X10" s="155"/>
      <c r="Y10" s="90"/>
    </row>
    <row r="11" spans="1:25" x14ac:dyDescent="0.2">
      <c r="A11" s="914"/>
      <c r="B11" s="90" t="s">
        <v>3258</v>
      </c>
      <c r="C11" s="470">
        <f>IF(design_type=2,surface_loading_rate_g,comm_load_rate)</f>
        <v>2.2841681647447944</v>
      </c>
      <c r="D11" s="774" t="s">
        <v>3260</v>
      </c>
      <c r="E11" s="758"/>
      <c r="F11" s="778"/>
      <c r="G11" s="774"/>
      <c r="H11" s="778"/>
      <c r="I11" s="90"/>
      <c r="J11" s="90"/>
      <c r="K11" s="90"/>
      <c r="L11" s="90"/>
      <c r="M11" s="155"/>
      <c r="N11" s="808"/>
      <c r="O11" s="808"/>
      <c r="P11" s="808"/>
      <c r="Q11" s="808"/>
      <c r="R11" s="808"/>
      <c r="S11" s="808"/>
      <c r="T11" s="808"/>
      <c r="U11" s="808"/>
      <c r="V11" s="808"/>
      <c r="W11" s="808"/>
      <c r="X11" s="155"/>
      <c r="Y11" s="90"/>
    </row>
    <row r="12" spans="1:25" x14ac:dyDescent="0.2">
      <c r="A12" s="914"/>
      <c r="B12" s="155" t="str">
        <f>IF(design_type=3,"HRT","EBCT")</f>
        <v>EBCT</v>
      </c>
      <c r="C12" s="169">
        <f>EBCT</f>
        <v>12</v>
      </c>
      <c r="D12" s="774" t="s">
        <v>604</v>
      </c>
      <c r="E12" s="758"/>
      <c r="F12" s="778"/>
      <c r="G12" s="774"/>
      <c r="H12" s="778"/>
      <c r="I12" s="90"/>
      <c r="J12" s="90"/>
      <c r="K12" s="90"/>
      <c r="L12" s="90"/>
      <c r="M12" s="155"/>
      <c r="N12" s="808"/>
      <c r="O12" s="808"/>
      <c r="P12" s="808"/>
      <c r="Q12" s="808"/>
      <c r="R12" s="808"/>
      <c r="S12" s="808"/>
      <c r="T12" s="808"/>
      <c r="U12" s="808"/>
      <c r="V12" s="808"/>
      <c r="W12" s="808"/>
      <c r="X12" s="155"/>
      <c r="Y12" s="90"/>
    </row>
    <row r="13" spans="1:25" x14ac:dyDescent="0.2">
      <c r="A13" s="914"/>
      <c r="B13" s="90" t="s">
        <v>603</v>
      </c>
      <c r="C13" s="169">
        <f>IF(design_type=2,basin_op_depth,bed_depth)</f>
        <v>3.7</v>
      </c>
      <c r="D13" s="774" t="s">
        <v>605</v>
      </c>
      <c r="E13" s="758"/>
      <c r="F13" s="778"/>
      <c r="G13" s="774"/>
      <c r="H13" s="778"/>
      <c r="I13" s="90"/>
      <c r="J13" s="90"/>
      <c r="K13" s="90"/>
      <c r="L13" s="90"/>
      <c r="M13" s="155"/>
      <c r="N13" s="808"/>
      <c r="O13" s="808"/>
      <c r="P13" s="808"/>
      <c r="Q13" s="808"/>
      <c r="R13" s="808"/>
      <c r="S13" s="808"/>
      <c r="T13" s="808"/>
      <c r="U13" s="808"/>
      <c r="V13" s="808"/>
      <c r="W13" s="808"/>
      <c r="X13" s="155"/>
      <c r="Y13" s="90"/>
    </row>
    <row r="14" spans="1:25" x14ac:dyDescent="0.2">
      <c r="A14" s="914"/>
      <c r="B14" s="864" t="s">
        <v>543</v>
      </c>
      <c r="C14" s="776" t="str">
        <f>IF(design_type=1,tank_geom_I,"basins")</f>
        <v>upright</v>
      </c>
      <c r="D14" s="775"/>
      <c r="E14" s="758"/>
      <c r="F14" s="778"/>
      <c r="G14" s="774"/>
      <c r="H14" s="778"/>
      <c r="I14" s="90"/>
      <c r="J14" s="90"/>
      <c r="K14" s="90"/>
      <c r="L14" s="90"/>
      <c r="M14" s="155"/>
      <c r="N14" s="808"/>
      <c r="O14" s="808"/>
      <c r="P14" s="808"/>
      <c r="Q14" s="808"/>
      <c r="R14" s="808"/>
      <c r="S14" s="808"/>
      <c r="T14" s="808"/>
      <c r="U14" s="808"/>
      <c r="V14" s="808"/>
      <c r="W14" s="808"/>
      <c r="X14" s="155"/>
      <c r="Y14" s="90"/>
    </row>
    <row r="15" spans="1:25" x14ac:dyDescent="0.2">
      <c r="A15" s="914"/>
      <c r="B15" s="90" t="str">
        <f>IF(design_type=2,"Basin width",IF(tank_geom=1,"Height (straight)",IF(tank_geom=2,"Length (straight)","")))</f>
        <v>Height (straight)</v>
      </c>
      <c r="C15" s="169">
        <f>IF(design_type=2,basin_width,comm_height_length)</f>
        <v>7</v>
      </c>
      <c r="D15" s="774" t="s">
        <v>605</v>
      </c>
      <c r="E15" s="758"/>
      <c r="F15" s="778"/>
      <c r="G15" s="774"/>
      <c r="H15" s="778"/>
      <c r="I15" s="90"/>
      <c r="J15" s="90"/>
      <c r="K15" s="90"/>
      <c r="L15" s="90"/>
      <c r="M15" s="155"/>
      <c r="N15" s="808"/>
      <c r="O15" s="808"/>
      <c r="P15" s="808"/>
      <c r="Q15" s="808"/>
      <c r="R15" s="808"/>
      <c r="S15" s="808"/>
      <c r="T15" s="808"/>
      <c r="U15" s="808"/>
      <c r="V15" s="808"/>
      <c r="W15" s="808"/>
      <c r="X15" s="155"/>
      <c r="Y15" s="90"/>
    </row>
    <row r="16" spans="1:25" x14ac:dyDescent="0.2">
      <c r="A16" s="914"/>
      <c r="B16" s="90" t="str">
        <f>IF(design_type=2,"Basin length","Diameter")</f>
        <v>Diameter</v>
      </c>
      <c r="C16" s="169">
        <f>IF(design_type=2,basin_length,comm_diam)</f>
        <v>4</v>
      </c>
      <c r="D16" s="774" t="s">
        <v>605</v>
      </c>
      <c r="E16" s="758"/>
      <c r="F16" s="774"/>
      <c r="G16" s="774"/>
      <c r="H16" s="778"/>
      <c r="I16" s="90"/>
      <c r="J16" s="90"/>
      <c r="K16" s="90"/>
      <c r="L16" s="90"/>
      <c r="M16" s="155"/>
      <c r="N16" s="808"/>
      <c r="O16" s="808"/>
      <c r="P16" s="808"/>
      <c r="Q16" s="808"/>
      <c r="R16" s="808"/>
      <c r="S16" s="808"/>
      <c r="T16" s="808"/>
      <c r="U16" s="808"/>
      <c r="V16" s="808"/>
      <c r="W16" s="808"/>
      <c r="X16" s="155"/>
      <c r="Y16" s="90"/>
    </row>
    <row r="17" spans="1:25" x14ac:dyDescent="0.2">
      <c r="A17" s="920"/>
      <c r="B17" s="864" t="s">
        <v>2182</v>
      </c>
      <c r="C17" s="921" t="str">
        <f>IF(component_level=2,"high cost",IF(component_level=1,"mid cost","low cost"))</f>
        <v>low cost</v>
      </c>
      <c r="D17" s="774"/>
      <c r="E17" s="758"/>
      <c r="F17" s="774"/>
      <c r="G17" s="774"/>
      <c r="H17" s="778"/>
      <c r="I17" s="90"/>
      <c r="J17" s="90"/>
      <c r="K17" s="90"/>
      <c r="L17" s="90"/>
      <c r="M17" s="155"/>
      <c r="N17" s="808"/>
      <c r="O17" s="808"/>
      <c r="P17" s="808"/>
      <c r="Q17" s="808"/>
      <c r="R17" s="808"/>
      <c r="S17" s="808"/>
      <c r="T17" s="808"/>
      <c r="U17" s="808"/>
      <c r="V17" s="808"/>
      <c r="W17" s="808"/>
      <c r="X17" s="155"/>
      <c r="Y17" s="90"/>
    </row>
    <row r="18" spans="1:25" x14ac:dyDescent="0.2">
      <c r="A18" s="920"/>
      <c r="B18" s="864" t="s">
        <v>2448</v>
      </c>
      <c r="C18" s="921" t="str">
        <f>IF(manual=1,"manual",IF(manual=2,"semi-automated",IF(manual=3,"fully automated")))</f>
        <v>fully automated</v>
      </c>
      <c r="D18" s="774"/>
      <c r="E18" s="758"/>
      <c r="F18" s="774"/>
      <c r="G18" s="774"/>
      <c r="H18" s="778"/>
      <c r="I18" s="90"/>
      <c r="J18" s="90"/>
      <c r="K18" s="90"/>
      <c r="L18" s="90"/>
      <c r="M18" s="155"/>
      <c r="N18" s="808"/>
      <c r="O18" s="808"/>
      <c r="P18" s="808"/>
      <c r="Q18" s="808"/>
      <c r="R18" s="808"/>
      <c r="S18" s="808"/>
      <c r="T18" s="808"/>
      <c r="U18" s="808"/>
      <c r="V18" s="808"/>
      <c r="W18" s="808"/>
      <c r="X18" s="155"/>
      <c r="Y18" s="90"/>
    </row>
    <row r="19" spans="1:25" x14ac:dyDescent="0.2">
      <c r="A19" s="914"/>
      <c r="B19" s="102" t="str">
        <f>"Resulting Costs (in year "&amp;TEXT(current_year_cl,0)&amp;" dollars)"</f>
        <v>Resulting Costs (in year 2021 dollars)</v>
      </c>
      <c r="C19" s="90"/>
      <c r="D19" s="775"/>
      <c r="E19" s="758"/>
      <c r="F19" s="774"/>
      <c r="G19" s="774"/>
      <c r="H19" s="778"/>
      <c r="I19" s="90"/>
      <c r="J19" s="90"/>
      <c r="K19" s="90"/>
      <c r="L19" s="90"/>
      <c r="M19" s="155"/>
      <c r="N19" s="808"/>
      <c r="O19" s="808"/>
      <c r="P19" s="808"/>
      <c r="Q19" s="808"/>
      <c r="R19" s="808"/>
      <c r="S19" s="808"/>
      <c r="T19" s="808"/>
      <c r="U19" s="808"/>
      <c r="V19" s="808"/>
      <c r="W19" s="808"/>
      <c r="X19" s="155"/>
      <c r="Y19" s="90"/>
    </row>
    <row r="20" spans="1:25" x14ac:dyDescent="0.2">
      <c r="A20" s="914"/>
      <c r="B20" s="155" t="s">
        <v>2142</v>
      </c>
      <c r="C20" s="266">
        <f>IF(input_status&lt;&gt;"input complete -- results ready","Action required",IF(Missing_Cost,"Missing cost!",IF(cost_buildup_error,"Error in buildup!",direct_cost)))</f>
        <v>371714.36846732738</v>
      </c>
      <c r="D20" s="780" t="s">
        <v>3381</v>
      </c>
      <c r="E20" s="829" t="str">
        <f>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20" s="774"/>
      <c r="G20" s="774"/>
      <c r="H20" s="778"/>
      <c r="I20" s="90"/>
      <c r="J20" s="90"/>
      <c r="K20" s="90"/>
      <c r="L20" s="90"/>
      <c r="M20" s="155"/>
      <c r="N20" s="316"/>
      <c r="O20" s="808"/>
      <c r="P20" s="808"/>
      <c r="Q20" s="808"/>
      <c r="R20" s="808"/>
      <c r="S20" s="808"/>
      <c r="T20" s="808"/>
      <c r="U20" s="808"/>
      <c r="V20" s="808"/>
      <c r="W20" s="808"/>
      <c r="X20" s="155"/>
      <c r="Y20" s="90"/>
    </row>
    <row r="21" spans="1:25" x14ac:dyDescent="0.2">
      <c r="A21" s="914"/>
      <c r="B21" s="155" t="s">
        <v>2143</v>
      </c>
      <c r="C21" s="266">
        <f>IF(input_status&lt;&gt;"input complete -- results ready","Action required",addon_cost)</f>
        <v>136860.53858019356</v>
      </c>
      <c r="D21" s="780" t="s">
        <v>3381</v>
      </c>
      <c r="E21" s="758"/>
      <c r="F21" s="781"/>
      <c r="G21" s="774"/>
      <c r="H21" s="778"/>
      <c r="I21" s="90"/>
      <c r="J21" s="90"/>
      <c r="K21" s="90"/>
      <c r="L21" s="90"/>
      <c r="M21" s="155"/>
      <c r="N21" s="316"/>
      <c r="O21" s="808"/>
      <c r="P21" s="808"/>
      <c r="Q21" s="808"/>
      <c r="R21" s="808"/>
      <c r="S21" s="808"/>
      <c r="T21" s="808"/>
      <c r="U21" s="808"/>
      <c r="V21" s="808"/>
      <c r="W21" s="808"/>
      <c r="X21" s="155"/>
      <c r="Y21" s="90"/>
    </row>
    <row r="22" spans="1:25" x14ac:dyDescent="0.2">
      <c r="A22" s="914"/>
      <c r="B22" s="909" t="s">
        <v>2144</v>
      </c>
      <c r="C22" s="267">
        <f>IF(input_status&lt;&gt;"input complete -- results ready","Action required",indirect_cost)</f>
        <v>170617.78815276761</v>
      </c>
      <c r="D22" s="780" t="s">
        <v>3381</v>
      </c>
      <c r="E22" s="758"/>
      <c r="F22" s="774"/>
      <c r="G22" s="774"/>
      <c r="H22" s="778"/>
      <c r="I22" s="90"/>
      <c r="J22" s="90"/>
      <c r="K22" s="90"/>
      <c r="L22" s="90"/>
      <c r="M22" s="155"/>
      <c r="N22" s="808"/>
      <c r="O22" s="808"/>
      <c r="P22" s="808"/>
      <c r="Q22" s="808"/>
      <c r="R22" s="808"/>
      <c r="S22" s="808"/>
      <c r="T22" s="808"/>
      <c r="U22" s="808"/>
      <c r="V22" s="808"/>
      <c r="W22" s="808"/>
      <c r="X22" s="155"/>
      <c r="Y22" s="90"/>
    </row>
    <row r="23" spans="1:25" x14ac:dyDescent="0.2">
      <c r="A23" s="914"/>
      <c r="B23" s="99" t="s">
        <v>2145</v>
      </c>
      <c r="C23" s="266">
        <f>IF(input_status&lt;&gt;"input complete -- results ready","Action required",IF(Missing_Cost,"Missing cost!",IF(cost_buildup_error,"Error in buildup!",system_cost)))</f>
        <v>679192.69520028867</v>
      </c>
      <c r="D23" s="780" t="s">
        <v>3381</v>
      </c>
      <c r="E23" s="758"/>
      <c r="F23" s="774"/>
      <c r="G23" s="774"/>
      <c r="H23" s="778"/>
      <c r="I23" s="90"/>
      <c r="J23" s="315"/>
      <c r="K23" s="90"/>
      <c r="L23" s="90"/>
      <c r="M23" s="155"/>
      <c r="N23" s="808"/>
      <c r="O23" s="808"/>
      <c r="P23" s="808"/>
      <c r="Q23" s="808"/>
      <c r="R23" s="808"/>
      <c r="S23" s="808"/>
      <c r="T23" s="808"/>
      <c r="U23" s="808"/>
      <c r="V23" s="808"/>
      <c r="W23" s="808"/>
      <c r="X23" s="155"/>
      <c r="Y23" s="90"/>
    </row>
    <row r="24" spans="1:25" x14ac:dyDescent="0.2">
      <c r="A24" s="914"/>
      <c r="B24" s="808" t="str">
        <f>"Annualized Capital Cost "&amp;IF(OR(input_status&lt;&gt;"input complete -- results ready",Missing_Cost,cost_buildup_error),"","(per year over "&amp;useful_life&amp;" years at "&amp;Discount_rate*100&amp;"%)")</f>
        <v>Annualized Capital Cost (per year over 17.5 years at 7%)</v>
      </c>
      <c r="C24" s="266">
        <f>IF(input_status&lt;&gt;"input complete -- results ready","Action required",Annualized_Capital_Cost)</f>
        <v>68510.812897610755</v>
      </c>
      <c r="D24" s="780" t="s">
        <v>3381</v>
      </c>
      <c r="E24" s="758"/>
      <c r="F24" s="774"/>
      <c r="G24" s="774"/>
      <c r="H24" s="778"/>
      <c r="I24" s="90"/>
      <c r="J24" s="315"/>
      <c r="K24" s="90"/>
      <c r="L24" s="90"/>
      <c r="M24" s="155"/>
      <c r="N24" s="808"/>
      <c r="O24" s="808"/>
      <c r="P24" s="808"/>
      <c r="Q24" s="808"/>
      <c r="R24" s="808"/>
      <c r="S24" s="808"/>
      <c r="T24" s="808"/>
      <c r="U24" s="808"/>
      <c r="V24" s="808"/>
      <c r="W24" s="808"/>
      <c r="X24" s="155"/>
      <c r="Y24" s="90"/>
    </row>
    <row r="25" spans="1:25" x14ac:dyDescent="0.2">
      <c r="A25" s="914"/>
      <c r="B25" s="99" t="s">
        <v>4042</v>
      </c>
      <c r="C25" s="266">
        <f>IF(input_status&lt;&gt;"input complete -- results ready","Action required",om_cost)</f>
        <v>37647.753715820159</v>
      </c>
      <c r="D25" s="780" t="s">
        <v>3381</v>
      </c>
      <c r="E25" s="758"/>
      <c r="F25" s="774"/>
      <c r="G25" s="774"/>
      <c r="H25" s="778"/>
      <c r="I25" s="90"/>
      <c r="J25" s="90"/>
      <c r="K25" s="90"/>
      <c r="L25" s="90"/>
      <c r="M25" s="155"/>
      <c r="N25" s="808"/>
      <c r="O25" s="808"/>
      <c r="P25" s="808"/>
      <c r="Q25" s="808"/>
      <c r="R25" s="808"/>
      <c r="S25" s="808"/>
      <c r="T25" s="808"/>
      <c r="U25" s="808"/>
      <c r="V25" s="808"/>
      <c r="W25" s="808"/>
      <c r="X25" s="155"/>
      <c r="Y25" s="90"/>
    </row>
    <row r="26" spans="1:25" x14ac:dyDescent="0.2">
      <c r="A26" s="914"/>
      <c r="B26" s="99" t="str">
        <f>"Total Annualized Cost (per year"&amp;IF(OR(input_status&lt;&gt;"input complete -- results ready",ISERROR(OR(TAC_pct_cap,TAC_pct_OM))),"",", "&amp;TEXT(TAC_pct_cap,"0%")&amp;" capital, "&amp;TEXT(TAC_pct_OM,"0%")&amp;" O&amp;M")&amp;")"</f>
        <v>Total Annualized Cost (per year, 65% capital, 35% O&amp;M)</v>
      </c>
      <c r="C26" s="266">
        <f>IF(input_status&lt;&gt;"input complete -- results ready","Action required",IF(Missing_Cost,"Missing cost!",IF(cost_buildup_error,"Error in buildup!",Annualized_Cost)))</f>
        <v>106158.56661343091</v>
      </c>
      <c r="D26" s="780" t="s">
        <v>3381</v>
      </c>
      <c r="E26" s="758"/>
      <c r="F26" s="778"/>
      <c r="G26" s="774"/>
      <c r="H26" s="778"/>
      <c r="I26" s="90"/>
      <c r="J26" s="90"/>
      <c r="K26" s="90"/>
      <c r="L26" s="90"/>
      <c r="M26" s="155"/>
      <c r="N26" s="808"/>
      <c r="O26" s="808"/>
      <c r="P26" s="808"/>
      <c r="Q26" s="808"/>
      <c r="R26" s="808"/>
      <c r="S26" s="808"/>
      <c r="T26" s="808"/>
      <c r="U26" s="808"/>
      <c r="V26" s="808"/>
      <c r="W26" s="808"/>
      <c r="X26" s="155"/>
      <c r="Y26" s="90"/>
    </row>
    <row r="27" spans="1:25" x14ac:dyDescent="0.2">
      <c r="A27" s="914"/>
      <c r="B27" s="915" t="s">
        <v>2566</v>
      </c>
      <c r="C27" s="496">
        <f>IF(input_status&lt;&gt;"input complete -- results ready","Action required",IF(Missing_Cost,"Missing cost!",IF(cost_buildup_error,"Error in buildup!",C622)))</f>
        <v>8.3098682280572138</v>
      </c>
      <c r="D27" s="775"/>
      <c r="E27" s="758"/>
      <c r="F27" s="778"/>
      <c r="G27" s="774"/>
      <c r="H27" s="778"/>
      <c r="I27" s="90"/>
      <c r="J27" s="90"/>
      <c r="K27" s="90"/>
      <c r="L27" s="90"/>
      <c r="M27" s="155"/>
      <c r="N27" s="808"/>
      <c r="O27" s="808"/>
      <c r="P27" s="808"/>
      <c r="Q27" s="808"/>
      <c r="R27" s="808"/>
      <c r="S27" s="808"/>
      <c r="T27" s="808"/>
      <c r="U27" s="808"/>
      <c r="V27" s="808"/>
      <c r="W27" s="808"/>
      <c r="X27" s="155"/>
      <c r="Y27" s="90"/>
    </row>
    <row r="28" spans="1:25" x14ac:dyDescent="0.2">
      <c r="A28" s="911"/>
      <c r="B28" s="910" t="s">
        <v>4458</v>
      </c>
      <c r="C28" s="267">
        <f>IF(input_status&lt;&gt;"input complete -- results ready","Action required",IF(Missing_Cost,"Missing cost!",IF(cost_buildup_error,"Error in buildup!",C623)))</f>
        <v>915.13882008378425</v>
      </c>
      <c r="D28" s="994"/>
      <c r="E28" s="782"/>
      <c r="F28" s="778"/>
      <c r="G28" s="774"/>
      <c r="H28" s="778"/>
      <c r="I28" s="90"/>
      <c r="J28" s="90"/>
      <c r="K28" s="90"/>
      <c r="L28" s="90"/>
      <c r="M28" s="155"/>
      <c r="N28" s="808"/>
      <c r="O28" s="808"/>
      <c r="P28" s="808"/>
      <c r="Q28" s="808"/>
      <c r="R28" s="808"/>
      <c r="S28" s="808"/>
      <c r="T28" s="808"/>
      <c r="U28" s="808"/>
      <c r="V28" s="808"/>
      <c r="W28" s="808"/>
      <c r="X28" s="155"/>
      <c r="Y28" s="90"/>
    </row>
    <row r="29" spans="1:25" x14ac:dyDescent="0.2">
      <c r="A29" s="90"/>
      <c r="B29" s="99"/>
      <c r="C29" s="90"/>
      <c r="D29" s="286"/>
      <c r="E29" s="90"/>
      <c r="F29" s="90"/>
      <c r="G29" s="90"/>
      <c r="H29" s="90"/>
      <c r="I29" s="90"/>
      <c r="J29" s="315"/>
      <c r="K29" s="90"/>
      <c r="L29" s="90"/>
      <c r="M29" s="155"/>
      <c r="N29" s="808"/>
      <c r="O29" s="808"/>
      <c r="P29" s="808"/>
      <c r="Q29" s="808"/>
      <c r="R29" s="808"/>
      <c r="S29" s="808"/>
      <c r="T29" s="808"/>
      <c r="U29" s="808"/>
      <c r="V29" s="808"/>
      <c r="W29" s="808"/>
      <c r="X29" s="155"/>
      <c r="Y29" s="90"/>
    </row>
    <row r="30" spans="1:25" s="778" customFormat="1" ht="15.75" x14ac:dyDescent="0.25">
      <c r="A30" s="207" t="s">
        <v>3938</v>
      </c>
      <c r="B30" s="208"/>
      <c r="C30" s="209"/>
      <c r="D30" s="210"/>
      <c r="E30" s="209"/>
      <c r="F30" s="209"/>
      <c r="G30" s="209"/>
      <c r="H30" s="209"/>
      <c r="I30" s="209"/>
      <c r="J30" s="211"/>
      <c r="K30" s="209"/>
      <c r="L30" s="212"/>
      <c r="M30" s="213"/>
      <c r="N30" s="809"/>
      <c r="O30" s="809"/>
      <c r="P30" s="809"/>
      <c r="Q30" s="809"/>
      <c r="R30" s="809"/>
      <c r="S30" s="809"/>
      <c r="T30" s="809"/>
      <c r="U30" s="809"/>
      <c r="V30" s="809"/>
      <c r="W30" s="809"/>
      <c r="X30" s="213"/>
      <c r="Y30" s="169"/>
    </row>
    <row r="31" spans="1:25" x14ac:dyDescent="0.2">
      <c r="A31" s="1023" t="s">
        <v>2340</v>
      </c>
      <c r="B31" s="1015" t="s">
        <v>2341</v>
      </c>
      <c r="C31" s="1015" t="s">
        <v>3940</v>
      </c>
      <c r="D31" s="1015"/>
      <c r="E31" s="1015" t="s">
        <v>3941</v>
      </c>
      <c r="F31" s="1015"/>
      <c r="G31" s="1026" t="s">
        <v>1527</v>
      </c>
      <c r="H31" s="1026"/>
      <c r="I31" s="1015" t="s">
        <v>2343</v>
      </c>
      <c r="J31" s="1015" t="s">
        <v>1419</v>
      </c>
      <c r="K31" s="1015" t="s">
        <v>1528</v>
      </c>
      <c r="L31" s="1018" t="s">
        <v>1836</v>
      </c>
      <c r="M31" s="1021" t="s">
        <v>3942</v>
      </c>
      <c r="N31" s="1029" t="s">
        <v>3939</v>
      </c>
      <c r="O31" s="1029"/>
      <c r="P31" s="1029"/>
      <c r="Q31" s="1029"/>
      <c r="R31" s="1029"/>
      <c r="S31" s="1029"/>
      <c r="T31" s="1029"/>
      <c r="U31" s="1029"/>
      <c r="V31" s="1029"/>
      <c r="W31" s="1029" t="s">
        <v>1528</v>
      </c>
      <c r="X31" s="1029"/>
      <c r="Y31" s="1029"/>
    </row>
    <row r="32" spans="1:25" x14ac:dyDescent="0.2">
      <c r="A32" s="1024"/>
      <c r="B32" s="1016"/>
      <c r="C32" s="1016"/>
      <c r="D32" s="1016"/>
      <c r="E32" s="1016"/>
      <c r="F32" s="1016"/>
      <c r="G32" s="1027"/>
      <c r="H32" s="1027"/>
      <c r="I32" s="1016"/>
      <c r="J32" s="1016"/>
      <c r="K32" s="1016"/>
      <c r="L32" s="1019"/>
      <c r="M32" s="1022"/>
      <c r="N32" s="1029" t="s">
        <v>2492</v>
      </c>
      <c r="O32" s="1029"/>
      <c r="P32" s="1029"/>
      <c r="Q32" s="1029" t="s">
        <v>2493</v>
      </c>
      <c r="R32" s="1029"/>
      <c r="S32" s="1029"/>
      <c r="T32" s="1029" t="s">
        <v>2494</v>
      </c>
      <c r="U32" s="1029"/>
      <c r="V32" s="1029"/>
      <c r="W32" s="1029"/>
      <c r="X32" s="1029"/>
      <c r="Y32" s="1029"/>
    </row>
    <row r="33" spans="1:25" x14ac:dyDescent="0.2">
      <c r="A33" s="1025"/>
      <c r="B33" s="1017"/>
      <c r="C33" s="1017"/>
      <c r="D33" s="1017"/>
      <c r="E33" s="1017"/>
      <c r="F33" s="1017"/>
      <c r="G33" s="1028"/>
      <c r="H33" s="1028"/>
      <c r="I33" s="1017"/>
      <c r="J33" s="1017"/>
      <c r="K33" s="1017"/>
      <c r="L33" s="1020"/>
      <c r="M33" s="1022"/>
      <c r="N33" s="784" t="s">
        <v>3489</v>
      </c>
      <c r="O33" s="784" t="s">
        <v>3490</v>
      </c>
      <c r="P33" s="784" t="s">
        <v>3491</v>
      </c>
      <c r="Q33" s="784" t="s">
        <v>3489</v>
      </c>
      <c r="R33" s="784" t="s">
        <v>3490</v>
      </c>
      <c r="S33" s="784" t="s">
        <v>3491</v>
      </c>
      <c r="T33" s="784" t="s">
        <v>3489</v>
      </c>
      <c r="U33" s="784" t="s">
        <v>3490</v>
      </c>
      <c r="V33" s="784" t="s">
        <v>3491</v>
      </c>
      <c r="W33" s="694" t="s">
        <v>2555</v>
      </c>
      <c r="X33" s="784" t="s">
        <v>2556</v>
      </c>
      <c r="Y33" s="784" t="s">
        <v>4187</v>
      </c>
    </row>
    <row r="34" spans="1:25" x14ac:dyDescent="0.2">
      <c r="A34" s="186" t="s">
        <v>2474</v>
      </c>
      <c r="B34" s="18" t="s">
        <v>2211</v>
      </c>
      <c r="C34" s="18"/>
      <c r="D34" s="271"/>
      <c r="E34" s="18"/>
      <c r="F34" s="18"/>
      <c r="G34" s="18"/>
      <c r="H34" s="18"/>
      <c r="I34" s="369"/>
      <c r="J34" s="369"/>
      <c r="K34" s="369"/>
      <c r="L34" s="276"/>
      <c r="M34" s="5"/>
      <c r="N34" s="694"/>
      <c r="O34" s="694"/>
      <c r="P34" s="694"/>
      <c r="Q34" s="694"/>
      <c r="R34" s="694"/>
      <c r="S34" s="694"/>
      <c r="T34" s="694"/>
      <c r="U34" s="694"/>
      <c r="V34" s="694"/>
      <c r="W34" s="694"/>
      <c r="X34"/>
      <c r="Y34"/>
    </row>
    <row r="35" spans="1:25" x14ac:dyDescent="0.2">
      <c r="A35" s="473">
        <v>1.1000000000000001</v>
      </c>
      <c r="B35" s="13" t="s">
        <v>1420</v>
      </c>
      <c r="C35" s="554"/>
      <c r="D35" s="272"/>
      <c r="E35" s="529"/>
      <c r="F35" s="511"/>
      <c r="G35" s="529"/>
      <c r="H35" s="511"/>
      <c r="I35" s="283"/>
      <c r="J35" s="283"/>
      <c r="K35" s="283"/>
      <c r="L35" s="192"/>
      <c r="M35" s="5"/>
      <c r="N35" s="694"/>
      <c r="O35" s="694"/>
      <c r="P35" s="694"/>
      <c r="Q35" s="694"/>
      <c r="R35" s="694"/>
      <c r="S35" s="694"/>
      <c r="T35" s="694"/>
      <c r="U35" s="694"/>
      <c r="V35" s="694"/>
      <c r="W35" s="694"/>
      <c r="X35"/>
      <c r="Y35"/>
    </row>
    <row r="36" spans="1:25" s="773" customFormat="1" x14ac:dyDescent="0.2">
      <c r="A36" s="320" t="s">
        <v>2212</v>
      </c>
      <c r="B36" s="1" t="s">
        <v>1421</v>
      </c>
      <c r="C36" s="555">
        <f>final_num_tanks</f>
        <v>3</v>
      </c>
      <c r="D36" s="355" t="s">
        <v>606</v>
      </c>
      <c r="E36" s="549">
        <f>comm_vol_gal</f>
        <v>657.97516536784633</v>
      </c>
      <c r="F36" s="1" t="s">
        <v>1332</v>
      </c>
      <c r="G36" s="549">
        <f>IF(curve=1,comm_vol_gal,VLOOKUP(comm_vol_gal,ss_pv_cost_cl,2))</f>
        <v>657.97516536784633</v>
      </c>
      <c r="H36" s="510" t="s">
        <v>1332</v>
      </c>
      <c r="I36" s="686">
        <f>IF(C36=0,"NA",IF(curve=1,ss_pv_eq,VLOOKUP(comm_vol_gal,ss_pv_cost_cl,3)))</f>
        <v>45397.367088323284</v>
      </c>
      <c r="J36" s="356">
        <f>IF(C36=0,"--",IF(I36="contact vendor","--",C36*I36))</f>
        <v>136192.10126496985</v>
      </c>
      <c r="K36" s="195">
        <f>IF(C36=0,"NA",VLOOKUP(comm_vol_gal,ss_pv_cost_cl,IF(ss_cat="large",4,5)))</f>
        <v>30</v>
      </c>
      <c r="L36" s="354">
        <v>0</v>
      </c>
      <c r="M36" s="5" t="str">
        <f>$B$34&amp;" - "&amp;$B$35&amp;" - "&amp;B36</f>
        <v>Bioreactors - Pressure Vessels - Stainless Steel</v>
      </c>
      <c r="N36" s="694">
        <v>4</v>
      </c>
      <c r="O36" s="694">
        <v>4</v>
      </c>
      <c r="P36" s="694">
        <v>1</v>
      </c>
      <c r="Q36" s="694">
        <v>4</v>
      </c>
      <c r="R36" s="694">
        <v>4</v>
      </c>
      <c r="S36" s="694">
        <v>1</v>
      </c>
      <c r="T36" s="694">
        <v>4</v>
      </c>
      <c r="U36" s="694">
        <v>4</v>
      </c>
      <c r="V36" s="694">
        <v>1</v>
      </c>
      <c r="W36" s="694">
        <f>IF(ISERROR(K36*L36),0,IF(K36&lt;1,0,L36))</f>
        <v>0</v>
      </c>
      <c r="X36">
        <f>IF(W36,J36/K36,0)</f>
        <v>0</v>
      </c>
      <c r="Y36" s="1"/>
    </row>
    <row r="37" spans="1:25" s="773" customFormat="1" x14ac:dyDescent="0.2">
      <c r="A37" s="320" t="s">
        <v>2212</v>
      </c>
      <c r="B37" s="1" t="s">
        <v>1462</v>
      </c>
      <c r="C37" s="555">
        <f>final_num_tanks</f>
        <v>3</v>
      </c>
      <c r="D37" s="355" t="s">
        <v>606</v>
      </c>
      <c r="E37" s="549">
        <f>comm_vol_gal</f>
        <v>657.97516536784633</v>
      </c>
      <c r="F37" s="1" t="s">
        <v>1332</v>
      </c>
      <c r="G37" s="549">
        <f>IF(curve=1,comm_vol_gal,VLOOKUP(comm_vol_gal,cs_pv_cost_cl,2))</f>
        <v>657.97516536784633</v>
      </c>
      <c r="H37" s="510" t="s">
        <v>1332</v>
      </c>
      <c r="I37" s="686">
        <f>IF(C37=0,"NA",IF(curve=1,cs_pv_eq,VLOOKUP(comm_vol_gal,cs_pv_cost_cl,3)))</f>
        <v>31486.690448574245</v>
      </c>
      <c r="J37" s="356">
        <f>IF(C37=0,"--",IF(I37="contact vendor","--",C37*I37))</f>
        <v>94460.071345722739</v>
      </c>
      <c r="K37" s="195">
        <f>IF(C37=0,"NA",VLOOKUP(comm_vol_gal,cs_pv_cost_cl,IF(ss_cat="large",4,5)))</f>
        <v>30</v>
      </c>
      <c r="L37" s="354">
        <v>0</v>
      </c>
      <c r="M37" s="5" t="str">
        <f>$B$34&amp;" - "&amp;$B$35&amp;" - "&amp;B37</f>
        <v>Bioreactors - Pressure Vessels - Carbon Steel - Stainless Internals</v>
      </c>
      <c r="N37" s="694">
        <v>3</v>
      </c>
      <c r="O37" s="694">
        <v>3</v>
      </c>
      <c r="P37" s="694">
        <v>2</v>
      </c>
      <c r="Q37" s="694">
        <v>3</v>
      </c>
      <c r="R37" s="694">
        <v>3</v>
      </c>
      <c r="S37" s="694">
        <v>2</v>
      </c>
      <c r="T37" s="694">
        <v>3</v>
      </c>
      <c r="U37" s="694">
        <v>3</v>
      </c>
      <c r="V37" s="694">
        <v>2</v>
      </c>
      <c r="W37" s="694">
        <f t="shared" ref="W37:W112" si="0">IF(ISERROR(K37*L37),0,IF(K37&lt;1,0,L37))</f>
        <v>0</v>
      </c>
      <c r="X37">
        <f t="shared" ref="X37:X112" si="1">IF(W37,J37/K37,0)</f>
        <v>0</v>
      </c>
      <c r="Y37" s="1"/>
    </row>
    <row r="38" spans="1:25" s="773" customFormat="1" x14ac:dyDescent="0.2">
      <c r="A38" s="320" t="s">
        <v>2212</v>
      </c>
      <c r="B38" s="1" t="s">
        <v>1463</v>
      </c>
      <c r="C38" s="555">
        <f>final_num_tanks</f>
        <v>3</v>
      </c>
      <c r="D38" s="355" t="s">
        <v>606</v>
      </c>
      <c r="E38" s="549">
        <f>comm_vol_gal</f>
        <v>657.97516536784633</v>
      </c>
      <c r="F38" s="1" t="s">
        <v>1332</v>
      </c>
      <c r="G38" s="549">
        <f>IF(curve=1,comm_vol_gal,VLOOKUP(comm_vol_gal,csp_pv_cost_cl,2))</f>
        <v>657.97516536784633</v>
      </c>
      <c r="H38" s="510" t="s">
        <v>1332</v>
      </c>
      <c r="I38" s="686">
        <f>IF(C38=0,"NA",IF(curve=1,csp_pv_eq,VLOOKUP(comm_vol_gal,csp_pv_cost_cl,3)))</f>
        <v>28009.983266523937</v>
      </c>
      <c r="J38" s="356">
        <f>IF(C38=0,"--",IF(I38="contact vendor","--",C38*I38))</f>
        <v>84029.949799571812</v>
      </c>
      <c r="K38" s="195">
        <f>IF(C38=0,"NA",VLOOKUP(comm_vol_gal,csp_pv_cost_cl,IF(ss_cat="large",4,5)))</f>
        <v>30</v>
      </c>
      <c r="L38" s="354">
        <v>0</v>
      </c>
      <c r="M38" s="5" t="str">
        <f>$B$34&amp;" - "&amp;$B$35&amp;" - "&amp;B38</f>
        <v>Bioreactors - Pressure Vessels - Carbon Steel - Plastic Internals</v>
      </c>
      <c r="N38" s="694">
        <v>2</v>
      </c>
      <c r="O38" s="694">
        <v>1</v>
      </c>
      <c r="P38" s="694">
        <v>3</v>
      </c>
      <c r="Q38" s="694">
        <v>2</v>
      </c>
      <c r="R38" s="694">
        <v>1</v>
      </c>
      <c r="S38" s="694">
        <v>3</v>
      </c>
      <c r="T38" s="694">
        <v>2</v>
      </c>
      <c r="U38" s="694">
        <v>1</v>
      </c>
      <c r="V38" s="694">
        <v>3</v>
      </c>
      <c r="W38" s="694">
        <f t="shared" si="0"/>
        <v>0</v>
      </c>
      <c r="X38">
        <f t="shared" si="1"/>
        <v>0</v>
      </c>
      <c r="Y38" s="1"/>
    </row>
    <row r="39" spans="1:25" s="773" customFormat="1" x14ac:dyDescent="0.2">
      <c r="A39" s="320" t="s">
        <v>2212</v>
      </c>
      <c r="B39" s="1" t="s">
        <v>1425</v>
      </c>
      <c r="C39" s="555">
        <f>final_num_tanks</f>
        <v>3</v>
      </c>
      <c r="D39" s="355" t="s">
        <v>606</v>
      </c>
      <c r="E39" s="549">
        <f>comm_vol_gal</f>
        <v>657.97516536784633</v>
      </c>
      <c r="F39" s="1" t="s">
        <v>1332</v>
      </c>
      <c r="G39" s="549">
        <f>IF(curve=1,comm_vol_gal,VLOOKUP(comm_vol_gal,fg_pv_cost_cl,2))</f>
        <v>657.97516536784633</v>
      </c>
      <c r="H39" s="510" t="s">
        <v>1332</v>
      </c>
      <c r="I39" s="686">
        <f>IF(C39=0,"NA",IF(curve=1,fg_pv_eq,VLOOKUP(comm_vol_gal,fg_pv_cost_cl,3)))</f>
        <v>13608.236948824066</v>
      </c>
      <c r="J39" s="356">
        <f>IF(C39=0,"--",IF(I39="contact vendor","--",C39*I39))</f>
        <v>40824.710846472197</v>
      </c>
      <c r="K39" s="195">
        <f>IF(C39=0,"NA",VLOOKUP(comm_vol_gal,fg_pv_cost_cl,IF(ss_cat="large",4,5)))</f>
        <v>20</v>
      </c>
      <c r="L39" s="354">
        <v>1</v>
      </c>
      <c r="M39" s="5" t="str">
        <f>$B$34&amp;" - "&amp;$B$35&amp;" - "&amp;B39</f>
        <v>Bioreactors - Pressure Vessels - Fiberglass</v>
      </c>
      <c r="N39" s="694">
        <v>1</v>
      </c>
      <c r="O39" s="694">
        <v>2</v>
      </c>
      <c r="P39" s="694">
        <v>4</v>
      </c>
      <c r="Q39" s="694">
        <v>1</v>
      </c>
      <c r="R39" s="694">
        <v>2</v>
      </c>
      <c r="S39" s="694">
        <v>4</v>
      </c>
      <c r="T39" s="694">
        <v>1</v>
      </c>
      <c r="U39" s="694">
        <v>2</v>
      </c>
      <c r="V39" s="694">
        <v>4</v>
      </c>
      <c r="W39" s="694">
        <f t="shared" si="0"/>
        <v>1</v>
      </c>
      <c r="X39">
        <f t="shared" si="1"/>
        <v>2041.2355423236099</v>
      </c>
      <c r="Y39" s="1"/>
    </row>
    <row r="40" spans="1:25" x14ac:dyDescent="0.2">
      <c r="A40" s="473">
        <v>1.2</v>
      </c>
      <c r="B40" s="13" t="s">
        <v>2213</v>
      </c>
      <c r="C40" s="554"/>
      <c r="D40" s="272"/>
      <c r="E40" s="529"/>
      <c r="F40" s="511"/>
      <c r="G40" s="529"/>
      <c r="H40" s="511"/>
      <c r="I40" s="283"/>
      <c r="J40" s="283"/>
      <c r="K40" s="283"/>
      <c r="L40" s="192"/>
      <c r="M40" s="5"/>
      <c r="N40" s="694"/>
      <c r="O40" s="694"/>
      <c r="P40" s="694"/>
      <c r="Q40" s="694"/>
      <c r="R40" s="694"/>
      <c r="S40" s="694"/>
      <c r="T40" s="694"/>
      <c r="U40" s="694"/>
      <c r="V40" s="694"/>
      <c r="W40" s="694">
        <f t="shared" si="0"/>
        <v>0</v>
      </c>
      <c r="X40">
        <f t="shared" si="1"/>
        <v>0</v>
      </c>
      <c r="Y40"/>
    </row>
    <row r="41" spans="1:25" s="773" customFormat="1" x14ac:dyDescent="0.2">
      <c r="A41" s="320" t="s">
        <v>2214</v>
      </c>
      <c r="B41" s="1" t="s">
        <v>1706</v>
      </c>
      <c r="C41" s="555">
        <f>total_num_basins</f>
        <v>0</v>
      </c>
      <c r="D41" s="355" t="s">
        <v>606</v>
      </c>
      <c r="E41" s="549" t="str">
        <f>basin_vol</f>
        <v>-</v>
      </c>
      <c r="F41" s="1" t="s">
        <v>1332</v>
      </c>
      <c r="G41" s="549" t="str">
        <f>basin_vol</f>
        <v>-</v>
      </c>
      <c r="H41" s="510" t="s">
        <v>1332</v>
      </c>
      <c r="I41" s="371" t="str">
        <f>IF(C41=0,"NA",basin_conc_vol/total_num_basins*VLOOKUP(0,conc_basin_cost_cl,3))</f>
        <v>NA</v>
      </c>
      <c r="J41" s="356" t="str">
        <f t="shared" ref="J41:J46" si="2">IF(C41=0,"--",IF(I41="contact vendor","--",C41*I41))</f>
        <v>--</v>
      </c>
      <c r="K41" s="195" t="str">
        <f>IF(C41=0,"NA",VLOOKUP(0,conc_basin_cost_cl,IF(ss_cat="large",4,5)))</f>
        <v>NA</v>
      </c>
      <c r="L41" s="354"/>
      <c r="M41" t="str">
        <f t="shared" ref="M41:M46" si="3">$B$34&amp;" - "&amp;$B$40&amp;" - "&amp;B41</f>
        <v>Bioreactors - Gravity Basins - Concrete</v>
      </c>
      <c r="N41" s="694">
        <v>1</v>
      </c>
      <c r="O41" s="694">
        <v>1</v>
      </c>
      <c r="P41" s="694">
        <v>1</v>
      </c>
      <c r="Q41" s="694">
        <v>1</v>
      </c>
      <c r="R41" s="694">
        <v>1</v>
      </c>
      <c r="S41" s="694">
        <v>1</v>
      </c>
      <c r="T41" s="694">
        <v>1</v>
      </c>
      <c r="U41" s="694">
        <v>1</v>
      </c>
      <c r="V41" s="694">
        <v>1</v>
      </c>
      <c r="W41" s="694">
        <f t="shared" si="0"/>
        <v>0</v>
      </c>
      <c r="X41">
        <f t="shared" si="1"/>
        <v>0</v>
      </c>
      <c r="Y41" s="1"/>
    </row>
    <row r="42" spans="1:25" s="773" customFormat="1" x14ac:dyDescent="0.2">
      <c r="A42" s="320" t="s">
        <v>2215</v>
      </c>
      <c r="B42" s="1" t="s">
        <v>3751</v>
      </c>
      <c r="C42" s="555">
        <f>total_num_basins</f>
        <v>0</v>
      </c>
      <c r="D42" s="355" t="s">
        <v>606</v>
      </c>
      <c r="E42" s="549" t="str">
        <f>basin_area</f>
        <v>-</v>
      </c>
      <c r="F42" s="1" t="s">
        <v>2457</v>
      </c>
      <c r="G42" s="549" t="str">
        <f>basin_area</f>
        <v>-</v>
      </c>
      <c r="H42" s="510" t="s">
        <v>2457</v>
      </c>
      <c r="I42" s="693" t="str">
        <f>IF(C42=0,"NA",IF(cont_int_eq="contact vendor","contact vendor",J42/total_num_basins))</f>
        <v>NA</v>
      </c>
      <c r="J42" s="353" t="str">
        <f>IF(C42=0,"--",IF(cont_int_eq="contact vendor","--",cont_int_eq))</f>
        <v>--</v>
      </c>
      <c r="K42" s="195" t="str">
        <f>IF(C42=0,"NA",VLOOKUP(0,cont_top_cost_cl,IF(ss_cat="large",4,5)))</f>
        <v>NA</v>
      </c>
      <c r="L42" s="354"/>
      <c r="M42" t="str">
        <f t="shared" si="3"/>
        <v>Bioreactors - Gravity Basins - Internals (Underdrain/Backwash System)</v>
      </c>
      <c r="N42" s="694">
        <v>1</v>
      </c>
      <c r="O42" s="694">
        <v>1</v>
      </c>
      <c r="P42" s="694">
        <v>1</v>
      </c>
      <c r="Q42" s="694">
        <v>1</v>
      </c>
      <c r="R42" s="694">
        <v>1</v>
      </c>
      <c r="S42" s="694">
        <v>1</v>
      </c>
      <c r="T42" s="694">
        <v>1</v>
      </c>
      <c r="U42" s="694">
        <v>1</v>
      </c>
      <c r="V42" s="694">
        <v>1</v>
      </c>
      <c r="W42" s="694">
        <f t="shared" si="0"/>
        <v>0</v>
      </c>
      <c r="X42">
        <f t="shared" si="1"/>
        <v>0</v>
      </c>
      <c r="Y42" s="1"/>
    </row>
    <row r="43" spans="1:25" s="773" customFormat="1" x14ac:dyDescent="0.2">
      <c r="A43" s="320" t="s">
        <v>2216</v>
      </c>
      <c r="B43" s="1" t="s">
        <v>1871</v>
      </c>
      <c r="C43" s="555">
        <f>IF(OR(design_type=1,design_type=3),0,railing)</f>
        <v>0</v>
      </c>
      <c r="D43" s="355" t="s">
        <v>1429</v>
      </c>
      <c r="E43" s="549" t="s">
        <v>590</v>
      </c>
      <c r="F43" s="1"/>
      <c r="G43" s="549" t="s">
        <v>590</v>
      </c>
      <c r="H43" s="510"/>
      <c r="I43" s="371" t="str">
        <f>IF(C43=0,"NA",VLOOKUP(B43,metal_cost_cl,3))</f>
        <v>NA</v>
      </c>
      <c r="J43" s="356" t="str">
        <f>IF(C43=0,"--",IF(I43="contact vendor","--",C43*I43))</f>
        <v>--</v>
      </c>
      <c r="K43" s="195" t="str">
        <f>IF(C43=0,"NA",VLOOKUP(B43,metal_cost_cl,IF(ss_cat="large",4,5)))</f>
        <v>NA</v>
      </c>
      <c r="L43" s="354"/>
      <c r="M43" t="str">
        <f t="shared" si="3"/>
        <v>Bioreactors - Gravity Basins - Aluminum Railing</v>
      </c>
      <c r="N43" s="694">
        <v>1</v>
      </c>
      <c r="O43" s="694">
        <v>1</v>
      </c>
      <c r="P43" s="694">
        <v>1</v>
      </c>
      <c r="Q43" s="694">
        <v>1</v>
      </c>
      <c r="R43" s="694">
        <v>1</v>
      </c>
      <c r="S43" s="694">
        <v>1</v>
      </c>
      <c r="T43" s="694">
        <v>1</v>
      </c>
      <c r="U43" s="694">
        <v>1</v>
      </c>
      <c r="V43" s="694">
        <v>1</v>
      </c>
      <c r="W43" s="694">
        <f t="shared" si="0"/>
        <v>0</v>
      </c>
      <c r="X43">
        <f t="shared" si="1"/>
        <v>0</v>
      </c>
      <c r="Y43" s="1"/>
    </row>
    <row r="44" spans="1:25" s="773" customFormat="1" x14ac:dyDescent="0.2">
      <c r="A44" s="320" t="s">
        <v>2217</v>
      </c>
      <c r="B44" s="1" t="s">
        <v>1872</v>
      </c>
      <c r="C44" s="555">
        <f>IF(OR(design_type=1,design_type=3),0,risers)</f>
        <v>0</v>
      </c>
      <c r="D44" s="355" t="s">
        <v>1876</v>
      </c>
      <c r="E44" s="549" t="s">
        <v>590</v>
      </c>
      <c r="F44" s="1"/>
      <c r="G44" s="549" t="s">
        <v>590</v>
      </c>
      <c r="H44" s="510"/>
      <c r="I44" s="371" t="str">
        <f>IF(C44=0,"NA",VLOOKUP(B44,metal_cost_cl,3))</f>
        <v>NA</v>
      </c>
      <c r="J44" s="356" t="str">
        <f t="shared" si="2"/>
        <v>--</v>
      </c>
      <c r="K44" s="195" t="str">
        <f>IF(C44=0,"NA",VLOOKUP(B44,metal_cost_cl,IF(ss_cat="large",4,5)))</f>
        <v>NA</v>
      </c>
      <c r="L44" s="354"/>
      <c r="M44" t="str">
        <f t="shared" si="3"/>
        <v>Bioreactors - Gravity Basins - Aluminum Stairs</v>
      </c>
      <c r="N44" s="694">
        <v>1</v>
      </c>
      <c r="O44" s="694">
        <v>1</v>
      </c>
      <c r="P44" s="694">
        <v>1</v>
      </c>
      <c r="Q44" s="694">
        <v>1</v>
      </c>
      <c r="R44" s="694">
        <v>1</v>
      </c>
      <c r="S44" s="694">
        <v>1</v>
      </c>
      <c r="T44" s="694">
        <v>1</v>
      </c>
      <c r="U44" s="694">
        <v>1</v>
      </c>
      <c r="V44" s="694">
        <v>1</v>
      </c>
      <c r="W44" s="694">
        <f t="shared" si="0"/>
        <v>0</v>
      </c>
      <c r="X44">
        <f t="shared" si="1"/>
        <v>0</v>
      </c>
      <c r="Y44" s="1"/>
    </row>
    <row r="45" spans="1:25" s="773" customFormat="1" x14ac:dyDescent="0.2">
      <c r="A45" s="320" t="s">
        <v>2218</v>
      </c>
      <c r="B45" s="1" t="s">
        <v>1873</v>
      </c>
      <c r="C45" s="555">
        <f>IF(OR(design_type=1,design_type=3),0,excavation_vol)</f>
        <v>0</v>
      </c>
      <c r="D45" s="355" t="s">
        <v>2458</v>
      </c>
      <c r="E45" s="549" t="s">
        <v>590</v>
      </c>
      <c r="F45" s="1"/>
      <c r="G45" s="549" t="s">
        <v>590</v>
      </c>
      <c r="H45" s="510"/>
      <c r="I45" s="371" t="str">
        <f>IF(C45=0,"NA",VLOOKUP(0,excavate_cost_cl,3))</f>
        <v>NA</v>
      </c>
      <c r="J45" s="356" t="str">
        <f t="shared" si="2"/>
        <v>--</v>
      </c>
      <c r="K45" s="195" t="str">
        <f>IF(C45=0,"NA",VLOOKUP(0,conc_basin_cost_cl,IF(ss_cat="large",4,5)))</f>
        <v>NA</v>
      </c>
      <c r="L45" s="354"/>
      <c r="M45" t="str">
        <f t="shared" si="3"/>
        <v>Bioreactors - Gravity Basins - Excavation</v>
      </c>
      <c r="N45" s="694">
        <v>1</v>
      </c>
      <c r="O45" s="694">
        <v>1</v>
      </c>
      <c r="P45" s="694">
        <v>1</v>
      </c>
      <c r="Q45" s="694">
        <v>1</v>
      </c>
      <c r="R45" s="694">
        <v>1</v>
      </c>
      <c r="S45" s="694">
        <v>1</v>
      </c>
      <c r="T45" s="694">
        <v>1</v>
      </c>
      <c r="U45" s="694">
        <v>1</v>
      </c>
      <c r="V45" s="694">
        <v>1</v>
      </c>
      <c r="W45" s="694">
        <f t="shared" si="0"/>
        <v>0</v>
      </c>
      <c r="X45">
        <f t="shared" si="1"/>
        <v>0</v>
      </c>
      <c r="Y45" s="1"/>
    </row>
    <row r="46" spans="1:25" s="773" customFormat="1" x14ac:dyDescent="0.2">
      <c r="A46" s="320" t="s">
        <v>2219</v>
      </c>
      <c r="B46" s="1" t="s">
        <v>1874</v>
      </c>
      <c r="C46" s="555">
        <f>IF(OR(design_type=1,design_type=3),0,backfill_vol)</f>
        <v>0</v>
      </c>
      <c r="D46" s="355" t="s">
        <v>2458</v>
      </c>
      <c r="E46" s="549" t="s">
        <v>590</v>
      </c>
      <c r="F46" s="1"/>
      <c r="G46" s="549" t="s">
        <v>590</v>
      </c>
      <c r="H46" s="510"/>
      <c r="I46" s="371" t="str">
        <f>IF(C46=0,"NA",VLOOKUP(0,backfill_cost_cl,3))</f>
        <v>NA</v>
      </c>
      <c r="J46" s="356" t="str">
        <f t="shared" si="2"/>
        <v>--</v>
      </c>
      <c r="K46" s="195" t="str">
        <f>IF(C46=0,"NA",VLOOKUP(0,conc_basin_cost_cl,IF(ss_cat="large",4,5)))</f>
        <v>NA</v>
      </c>
      <c r="L46" s="354"/>
      <c r="M46" t="str">
        <f t="shared" si="3"/>
        <v>Bioreactors - Gravity Basins - Backfill and Compaction</v>
      </c>
      <c r="N46" s="694">
        <v>1</v>
      </c>
      <c r="O46" s="694">
        <v>1</v>
      </c>
      <c r="P46" s="694">
        <v>1</v>
      </c>
      <c r="Q46" s="694">
        <v>1</v>
      </c>
      <c r="R46" s="694">
        <v>1</v>
      </c>
      <c r="S46" s="694">
        <v>1</v>
      </c>
      <c r="T46" s="694">
        <v>1</v>
      </c>
      <c r="U46" s="694">
        <v>1</v>
      </c>
      <c r="V46" s="694">
        <v>1</v>
      </c>
      <c r="W46" s="694">
        <f t="shared" si="0"/>
        <v>0</v>
      </c>
      <c r="X46">
        <f t="shared" si="1"/>
        <v>0</v>
      </c>
      <c r="Y46" s="1"/>
    </row>
    <row r="47" spans="1:25" s="773" customFormat="1" x14ac:dyDescent="0.2">
      <c r="A47" s="473">
        <v>1.3</v>
      </c>
      <c r="B47" s="13" t="s">
        <v>2113</v>
      </c>
      <c r="C47" s="554"/>
      <c r="D47" s="272"/>
      <c r="E47" s="529"/>
      <c r="F47" s="511"/>
      <c r="G47" s="529"/>
      <c r="H47" s="511"/>
      <c r="I47" s="283"/>
      <c r="J47" s="283"/>
      <c r="K47" s="283"/>
      <c r="L47" s="192"/>
      <c r="M47"/>
      <c r="N47" s="694"/>
      <c r="O47" s="694"/>
      <c r="P47" s="694"/>
      <c r="Q47" s="694"/>
      <c r="R47" s="694"/>
      <c r="S47" s="694"/>
      <c r="T47" s="694"/>
      <c r="U47" s="694"/>
      <c r="V47" s="694"/>
      <c r="W47" s="694">
        <f t="shared" si="0"/>
        <v>0</v>
      </c>
      <c r="X47">
        <f t="shared" si="1"/>
        <v>0</v>
      </c>
      <c r="Y47" s="1"/>
    </row>
    <row r="48" spans="1:25" s="773" customFormat="1" x14ac:dyDescent="0.2">
      <c r="A48" s="578" t="s">
        <v>2220</v>
      </c>
      <c r="B48" s="1" t="s">
        <v>271</v>
      </c>
      <c r="C48" s="555">
        <f>total_resin</f>
        <v>4184.6014145816043</v>
      </c>
      <c r="D48" s="355" t="s">
        <v>2591</v>
      </c>
      <c r="E48" s="549" t="s">
        <v>590</v>
      </c>
      <c r="F48" s="510"/>
      <c r="G48" s="549" t="s">
        <v>590</v>
      </c>
      <c r="H48" s="510"/>
      <c r="I48" s="371">
        <f>IF(curve=1,gac_eq,VLOOKUP(C48,gac_cost_cl,3))</f>
        <v>2.0526337482491419</v>
      </c>
      <c r="J48" s="356">
        <f>IF(I48="contact vendor","--",C48*I48)</f>
        <v>8589.4540865413001</v>
      </c>
      <c r="K48" s="195">
        <f>VLOOKUP(B48,media_cost_cl,IF(ss_cat="large",4,5))</f>
        <v>8.5</v>
      </c>
      <c r="L48" s="354">
        <v>1</v>
      </c>
      <c r="M48" s="579" t="str">
        <f>$B$34&amp;" - "&amp;$B$47&amp;" - "&amp;B48</f>
        <v>Bioreactors - Media - GAC</v>
      </c>
      <c r="N48" s="694">
        <v>1</v>
      </c>
      <c r="O48" s="694">
        <v>1</v>
      </c>
      <c r="P48" s="694">
        <v>1</v>
      </c>
      <c r="Q48" s="694">
        <v>1</v>
      </c>
      <c r="R48" s="694">
        <v>1</v>
      </c>
      <c r="S48" s="694">
        <v>1</v>
      </c>
      <c r="T48" s="694">
        <v>1</v>
      </c>
      <c r="U48" s="694">
        <v>1</v>
      </c>
      <c r="V48" s="694">
        <v>1</v>
      </c>
      <c r="W48" s="694">
        <f t="shared" si="0"/>
        <v>1</v>
      </c>
      <c r="X48">
        <f t="shared" si="1"/>
        <v>1010.5240101813295</v>
      </c>
      <c r="Y48" s="1"/>
    </row>
    <row r="49" spans="1:25" s="773" customFormat="1" x14ac:dyDescent="0.2">
      <c r="A49" s="186" t="s">
        <v>2475</v>
      </c>
      <c r="B49" s="18" t="s">
        <v>2221</v>
      </c>
      <c r="C49" s="18"/>
      <c r="D49" s="271"/>
      <c r="E49" s="18"/>
      <c r="F49" s="18"/>
      <c r="G49" s="18"/>
      <c r="H49" s="18"/>
      <c r="I49" s="369"/>
      <c r="J49" s="369"/>
      <c r="K49" s="369"/>
      <c r="L49" s="276"/>
      <c r="M49"/>
      <c r="N49" s="694"/>
      <c r="O49" s="694"/>
      <c r="P49" s="694"/>
      <c r="Q49" s="694"/>
      <c r="R49" s="694"/>
      <c r="S49" s="694"/>
      <c r="T49" s="694"/>
      <c r="U49" s="694"/>
      <c r="V49" s="694"/>
      <c r="W49" s="694">
        <f t="shared" si="0"/>
        <v>0</v>
      </c>
      <c r="X49">
        <f t="shared" si="1"/>
        <v>0</v>
      </c>
      <c r="Y49" s="1"/>
    </row>
    <row r="50" spans="1:25" x14ac:dyDescent="0.2">
      <c r="A50" s="473">
        <v>2.1</v>
      </c>
      <c r="B50" s="13" t="s">
        <v>200</v>
      </c>
      <c r="C50" s="554"/>
      <c r="D50" s="272"/>
      <c r="E50" s="529"/>
      <c r="F50" s="511"/>
      <c r="G50" s="529"/>
      <c r="H50" s="511"/>
      <c r="I50" s="283"/>
      <c r="J50" s="283"/>
      <c r="K50" s="283"/>
      <c r="L50" s="192"/>
      <c r="M50" s="5"/>
      <c r="N50" s="694"/>
      <c r="O50" s="694"/>
      <c r="P50" s="694"/>
      <c r="Q50" s="694"/>
      <c r="R50" s="694"/>
      <c r="S50" s="694"/>
      <c r="T50" s="694"/>
      <c r="U50" s="694"/>
      <c r="V50" s="694"/>
      <c r="W50" s="694">
        <f t="shared" si="0"/>
        <v>0</v>
      </c>
      <c r="X50">
        <f t="shared" si="1"/>
        <v>0</v>
      </c>
      <c r="Y50"/>
    </row>
    <row r="51" spans="1:25" s="773" customFormat="1" x14ac:dyDescent="0.2">
      <c r="A51" s="320" t="s">
        <v>193</v>
      </c>
      <c r="B51" s="1" t="s">
        <v>1706</v>
      </c>
      <c r="C51" s="555">
        <f>total_num_filt_basins</f>
        <v>0</v>
      </c>
      <c r="D51" s="355" t="s">
        <v>606</v>
      </c>
      <c r="E51" s="549" t="str">
        <f>filt_volume</f>
        <v>-</v>
      </c>
      <c r="F51" s="1" t="s">
        <v>1332</v>
      </c>
      <c r="G51" s="549" t="str">
        <f>filt_volume</f>
        <v>-</v>
      </c>
      <c r="H51" s="510" t="s">
        <v>1332</v>
      </c>
      <c r="I51" s="686" t="str">
        <f>IF(C51=0,"NA",filt_basin_conc_vol/total_num_filt_basins*VLOOKUP(0,conc_basin_cost_cl,3))</f>
        <v>NA</v>
      </c>
      <c r="J51" s="356" t="str">
        <f t="shared" ref="J51:J56" si="4">IF(C51=0,"--",IF(I51="contact vendor","--",C51*I51))</f>
        <v>--</v>
      </c>
      <c r="K51" s="195" t="str">
        <f>IF(C51=0,"NA",VLOOKUP(0,conc_basin_cost_cl,IF(ss_cat="large",4,5)))</f>
        <v>NA</v>
      </c>
      <c r="L51" s="354"/>
      <c r="M51" t="str">
        <f t="shared" ref="M51:M56" si="5">$B$49&amp;" - "&amp;$B$50&amp;" - "&amp;B51</f>
        <v>Post-Treatment Filters - Filter Basins - Concrete</v>
      </c>
      <c r="N51" s="694">
        <v>1</v>
      </c>
      <c r="O51" s="694">
        <v>1</v>
      </c>
      <c r="P51" s="694">
        <v>1</v>
      </c>
      <c r="Q51" s="694">
        <v>1</v>
      </c>
      <c r="R51" s="694">
        <v>1</v>
      </c>
      <c r="S51" s="694">
        <v>1</v>
      </c>
      <c r="T51" s="694">
        <v>1</v>
      </c>
      <c r="U51" s="694">
        <v>1</v>
      </c>
      <c r="V51" s="694">
        <v>1</v>
      </c>
      <c r="W51" s="694">
        <f t="shared" si="0"/>
        <v>0</v>
      </c>
      <c r="X51">
        <f t="shared" si="1"/>
        <v>0</v>
      </c>
      <c r="Y51" s="1"/>
    </row>
    <row r="52" spans="1:25" s="773" customFormat="1" x14ac:dyDescent="0.2">
      <c r="A52" s="320" t="s">
        <v>194</v>
      </c>
      <c r="B52" s="1" t="s">
        <v>3751</v>
      </c>
      <c r="C52" s="555">
        <f>total_num_filt_basins</f>
        <v>0</v>
      </c>
      <c r="D52" s="355" t="s">
        <v>606</v>
      </c>
      <c r="E52" s="549" t="str">
        <f>filt_basin_area</f>
        <v>-</v>
      </c>
      <c r="F52" s="1" t="s">
        <v>2457</v>
      </c>
      <c r="G52" s="549" t="str">
        <f>filt_basin_area</f>
        <v>-</v>
      </c>
      <c r="H52" s="510" t="s">
        <v>2457</v>
      </c>
      <c r="I52" s="876" t="str">
        <f>IF(C52=0,"NA",IF(filt_int_eq="contact vendor","contact vendor",J52/total_num_filt_basins))</f>
        <v>NA</v>
      </c>
      <c r="J52" s="353" t="str">
        <f>IF(C52=0,"--",IF(filt_int_eq="contact vendor","--",filt_int_eq))</f>
        <v>--</v>
      </c>
      <c r="K52" s="195" t="str">
        <f>IF(C52=0,"NA",VLOOKUP(0,cont_top_cost_cl,IF(ss_cat="large",4,5)))</f>
        <v>NA</v>
      </c>
      <c r="L52" s="354"/>
      <c r="M52" t="str">
        <f t="shared" si="5"/>
        <v>Post-Treatment Filters - Filter Basins - Internals (Underdrain/Backwash System)</v>
      </c>
      <c r="N52" s="694">
        <v>1</v>
      </c>
      <c r="O52" s="694">
        <v>1</v>
      </c>
      <c r="P52" s="694">
        <v>1</v>
      </c>
      <c r="Q52" s="694">
        <v>1</v>
      </c>
      <c r="R52" s="694">
        <v>1</v>
      </c>
      <c r="S52" s="694">
        <v>1</v>
      </c>
      <c r="T52" s="694">
        <v>1</v>
      </c>
      <c r="U52" s="694">
        <v>1</v>
      </c>
      <c r="V52" s="694">
        <v>1</v>
      </c>
      <c r="W52" s="694">
        <f t="shared" si="0"/>
        <v>0</v>
      </c>
      <c r="X52">
        <f t="shared" si="1"/>
        <v>0</v>
      </c>
      <c r="Y52" s="1"/>
    </row>
    <row r="53" spans="1:25" s="773" customFormat="1" x14ac:dyDescent="0.2">
      <c r="A53" s="320" t="s">
        <v>195</v>
      </c>
      <c r="B53" s="1" t="s">
        <v>1871</v>
      </c>
      <c r="C53" s="555">
        <f>IF(filter_type=1,filt_railing,0)</f>
        <v>0</v>
      </c>
      <c r="D53" s="355" t="s">
        <v>1429</v>
      </c>
      <c r="E53" s="549" t="s">
        <v>590</v>
      </c>
      <c r="F53" s="1"/>
      <c r="G53" s="549" t="s">
        <v>590</v>
      </c>
      <c r="H53" s="510"/>
      <c r="I53" s="686" t="str">
        <f>IF(C53=0,"NA",VLOOKUP(B53,metal_cost_cl,3))</f>
        <v>NA</v>
      </c>
      <c r="J53" s="356" t="str">
        <f>IF(C53=0,"--",IF(I53="contact vendor","--",C53*I53))</f>
        <v>--</v>
      </c>
      <c r="K53" s="195" t="str">
        <f>IF(C53=0,"NA",VLOOKUP(B53,metal_cost_cl,IF(ss_cat="large",4,5)))</f>
        <v>NA</v>
      </c>
      <c r="L53" s="354"/>
      <c r="M53" t="str">
        <f t="shared" si="5"/>
        <v>Post-Treatment Filters - Filter Basins - Aluminum Railing</v>
      </c>
      <c r="N53" s="694">
        <v>1</v>
      </c>
      <c r="O53" s="694">
        <v>1</v>
      </c>
      <c r="P53" s="694">
        <v>1</v>
      </c>
      <c r="Q53" s="694">
        <v>1</v>
      </c>
      <c r="R53" s="694">
        <v>1</v>
      </c>
      <c r="S53" s="694">
        <v>1</v>
      </c>
      <c r="T53" s="694">
        <v>1</v>
      </c>
      <c r="U53" s="694">
        <v>1</v>
      </c>
      <c r="V53" s="694">
        <v>1</v>
      </c>
      <c r="W53" s="694">
        <f t="shared" si="0"/>
        <v>0</v>
      </c>
      <c r="X53">
        <f t="shared" si="1"/>
        <v>0</v>
      </c>
      <c r="Y53" s="1"/>
    </row>
    <row r="54" spans="1:25" s="773" customFormat="1" x14ac:dyDescent="0.2">
      <c r="A54" s="320" t="s">
        <v>196</v>
      </c>
      <c r="B54" s="1" t="s">
        <v>1872</v>
      </c>
      <c r="C54" s="555">
        <f>IF(filter_type=1,risers,0)</f>
        <v>0</v>
      </c>
      <c r="D54" s="355" t="s">
        <v>1876</v>
      </c>
      <c r="E54" s="549" t="s">
        <v>590</v>
      </c>
      <c r="F54" s="1"/>
      <c r="G54" s="549" t="s">
        <v>590</v>
      </c>
      <c r="H54" s="510"/>
      <c r="I54" s="686" t="str">
        <f>IF(C54=0,"NA",VLOOKUP(B54,metal_cost_cl,3))</f>
        <v>NA</v>
      </c>
      <c r="J54" s="356" t="str">
        <f t="shared" si="4"/>
        <v>--</v>
      </c>
      <c r="K54" s="195" t="str">
        <f>IF(C54=0,"NA",VLOOKUP(B54,metal_cost_cl,IF(ss_cat="large",4,5)))</f>
        <v>NA</v>
      </c>
      <c r="L54" s="354"/>
      <c r="M54" t="str">
        <f t="shared" si="5"/>
        <v>Post-Treatment Filters - Filter Basins - Aluminum Stairs</v>
      </c>
      <c r="N54" s="694">
        <v>1</v>
      </c>
      <c r="O54" s="694">
        <v>1</v>
      </c>
      <c r="P54" s="694">
        <v>1</v>
      </c>
      <c r="Q54" s="694">
        <v>1</v>
      </c>
      <c r="R54" s="694">
        <v>1</v>
      </c>
      <c r="S54" s="694">
        <v>1</v>
      </c>
      <c r="T54" s="694">
        <v>1</v>
      </c>
      <c r="U54" s="694">
        <v>1</v>
      </c>
      <c r="V54" s="694">
        <v>1</v>
      </c>
      <c r="W54" s="694">
        <f t="shared" si="0"/>
        <v>0</v>
      </c>
      <c r="X54">
        <f t="shared" si="1"/>
        <v>0</v>
      </c>
      <c r="Y54" s="1"/>
    </row>
    <row r="55" spans="1:25" s="773" customFormat="1" x14ac:dyDescent="0.2">
      <c r="A55" s="320" t="s">
        <v>197</v>
      </c>
      <c r="B55" s="1" t="s">
        <v>1873</v>
      </c>
      <c r="C55" s="555">
        <f>IF(filter_type=1,filt_excavation_vol,0)</f>
        <v>0</v>
      </c>
      <c r="D55" s="355" t="s">
        <v>2458</v>
      </c>
      <c r="E55" s="549" t="s">
        <v>590</v>
      </c>
      <c r="F55" s="1"/>
      <c r="G55" s="549" t="s">
        <v>590</v>
      </c>
      <c r="H55" s="510"/>
      <c r="I55" s="686" t="str">
        <f>IF(C55=0,"NA",VLOOKUP(0,excavate_cost_cl,3))</f>
        <v>NA</v>
      </c>
      <c r="J55" s="356" t="str">
        <f t="shared" si="4"/>
        <v>--</v>
      </c>
      <c r="K55" s="195" t="str">
        <f>IF(C55=0,"NA",VLOOKUP(0,conc_basin_cost_cl,IF(ss_cat="large",4,5)))</f>
        <v>NA</v>
      </c>
      <c r="L55" s="354"/>
      <c r="M55" t="str">
        <f t="shared" si="5"/>
        <v>Post-Treatment Filters - Filter Basins - Excavation</v>
      </c>
      <c r="N55" s="694">
        <v>1</v>
      </c>
      <c r="O55" s="694">
        <v>1</v>
      </c>
      <c r="P55" s="694">
        <v>1</v>
      </c>
      <c r="Q55" s="694">
        <v>1</v>
      </c>
      <c r="R55" s="694">
        <v>1</v>
      </c>
      <c r="S55" s="694">
        <v>1</v>
      </c>
      <c r="T55" s="694">
        <v>1</v>
      </c>
      <c r="U55" s="694">
        <v>1</v>
      </c>
      <c r="V55" s="694">
        <v>1</v>
      </c>
      <c r="W55" s="694">
        <f t="shared" si="0"/>
        <v>0</v>
      </c>
      <c r="X55">
        <f t="shared" si="1"/>
        <v>0</v>
      </c>
      <c r="Y55" s="1"/>
    </row>
    <row r="56" spans="1:25" s="773" customFormat="1" x14ac:dyDescent="0.2">
      <c r="A56" s="320" t="s">
        <v>198</v>
      </c>
      <c r="B56" s="1" t="s">
        <v>1874</v>
      </c>
      <c r="C56" s="555">
        <f>IF(filter_type=1,filt_backfill_vol,0)</f>
        <v>0</v>
      </c>
      <c r="D56" s="355" t="s">
        <v>2458</v>
      </c>
      <c r="E56" s="549" t="s">
        <v>590</v>
      </c>
      <c r="F56" s="1"/>
      <c r="G56" s="549" t="s">
        <v>590</v>
      </c>
      <c r="H56" s="510"/>
      <c r="I56" s="686" t="str">
        <f>IF(C56=0,"NA",VLOOKUP(0,backfill_cost_cl,3))</f>
        <v>NA</v>
      </c>
      <c r="J56" s="356" t="str">
        <f t="shared" si="4"/>
        <v>--</v>
      </c>
      <c r="K56" s="195" t="str">
        <f>IF(C56=0,"NA",VLOOKUP(0,conc_basin_cost_cl,IF(ss_cat="large",4,5)))</f>
        <v>NA</v>
      </c>
      <c r="L56" s="354"/>
      <c r="M56" t="str">
        <f t="shared" si="5"/>
        <v>Post-Treatment Filters - Filter Basins - Backfill and Compaction</v>
      </c>
      <c r="N56" s="694">
        <v>1</v>
      </c>
      <c r="O56" s="694">
        <v>1</v>
      </c>
      <c r="P56" s="694">
        <v>1</v>
      </c>
      <c r="Q56" s="694">
        <v>1</v>
      </c>
      <c r="R56" s="694">
        <v>1</v>
      </c>
      <c r="S56" s="694">
        <v>1</v>
      </c>
      <c r="T56" s="694">
        <v>1</v>
      </c>
      <c r="U56" s="694">
        <v>1</v>
      </c>
      <c r="V56" s="694">
        <v>1</v>
      </c>
      <c r="W56" s="694">
        <f t="shared" si="0"/>
        <v>0</v>
      </c>
      <c r="X56">
        <f t="shared" si="1"/>
        <v>0</v>
      </c>
      <c r="Y56" s="1"/>
    </row>
    <row r="57" spans="1:25" x14ac:dyDescent="0.2">
      <c r="A57" s="473">
        <v>2.2000000000000002</v>
      </c>
      <c r="B57" s="13" t="s">
        <v>1420</v>
      </c>
      <c r="C57" s="554"/>
      <c r="D57" s="272"/>
      <c r="E57" s="529"/>
      <c r="F57" s="511"/>
      <c r="G57" s="529"/>
      <c r="H57" s="511"/>
      <c r="I57" s="283"/>
      <c r="J57" s="283"/>
      <c r="K57" s="283"/>
      <c r="L57" s="192"/>
      <c r="M57" s="5"/>
      <c r="N57" s="694"/>
      <c r="O57" s="694"/>
      <c r="P57" s="694"/>
      <c r="Q57" s="694"/>
      <c r="R57" s="694"/>
      <c r="S57" s="694"/>
      <c r="T57" s="694"/>
      <c r="U57" s="694"/>
      <c r="V57" s="694"/>
      <c r="W57" s="694">
        <f t="shared" si="0"/>
        <v>0</v>
      </c>
      <c r="X57">
        <f t="shared" si="1"/>
        <v>0</v>
      </c>
      <c r="Y57"/>
    </row>
    <row r="58" spans="1:25" s="773" customFormat="1" x14ac:dyDescent="0.2">
      <c r="A58" s="320" t="s">
        <v>199</v>
      </c>
      <c r="B58" s="1" t="s">
        <v>1421</v>
      </c>
      <c r="C58" s="555">
        <f>final_num_tanks_filt</f>
        <v>2</v>
      </c>
      <c r="D58" s="355" t="s">
        <v>606</v>
      </c>
      <c r="E58" s="549">
        <f>comm_vol_gal_filt</f>
        <v>751.97161756325295</v>
      </c>
      <c r="F58" s="1" t="s">
        <v>1332</v>
      </c>
      <c r="G58" s="549">
        <f>IF(curve=1,comm_vol_gal_filt,VLOOKUP(comm_vol_gal_filt,ss_pv_cost_cl,2))</f>
        <v>751.97161756325295</v>
      </c>
      <c r="H58" s="510" t="s">
        <v>1332</v>
      </c>
      <c r="I58" s="371">
        <f>IF(C58=0,"NA",IF(curve=1,ss_pv_eq_filt,VLOOKUP(comm_vol_gal_filt,ss_pv_cost_cl,3)))</f>
        <v>47673.702280616591</v>
      </c>
      <c r="J58" s="356">
        <f>IF(C58=0,"--",IF(I58="contact vendor","--",C58*I58))</f>
        <v>95347.404561233183</v>
      </c>
      <c r="K58" s="195">
        <f>IF(C58=0,"NA",VLOOKUP(comm_vol_gal_filt,ss_pv_cost_cl,IF(ss_cat="large",4,5)))</f>
        <v>30</v>
      </c>
      <c r="L58" s="354">
        <v>0</v>
      </c>
      <c r="M58" s="5" t="str">
        <f>$B$49&amp;" - "&amp;$B$57&amp;" - "&amp;B58</f>
        <v>Post-Treatment Filters - Pressure Vessels - Stainless Steel</v>
      </c>
      <c r="N58" s="694">
        <v>4</v>
      </c>
      <c r="O58" s="694">
        <v>4</v>
      </c>
      <c r="P58" s="694">
        <v>1</v>
      </c>
      <c r="Q58" s="694">
        <v>4</v>
      </c>
      <c r="R58" s="694">
        <v>4</v>
      </c>
      <c r="S58" s="694">
        <v>1</v>
      </c>
      <c r="T58" s="694">
        <v>4</v>
      </c>
      <c r="U58" s="694">
        <v>4</v>
      </c>
      <c r="V58" s="694">
        <v>1</v>
      </c>
      <c r="W58" s="694">
        <f t="shared" si="0"/>
        <v>0</v>
      </c>
      <c r="X58">
        <f t="shared" si="1"/>
        <v>0</v>
      </c>
      <c r="Y58" s="1"/>
    </row>
    <row r="59" spans="1:25" s="773" customFormat="1" x14ac:dyDescent="0.2">
      <c r="A59" s="320" t="s">
        <v>199</v>
      </c>
      <c r="B59" s="1" t="s">
        <v>1462</v>
      </c>
      <c r="C59" s="555">
        <f>final_num_tanks_filt</f>
        <v>2</v>
      </c>
      <c r="D59" s="355" t="s">
        <v>606</v>
      </c>
      <c r="E59" s="549">
        <f>comm_vol_gal_filt</f>
        <v>751.97161756325295</v>
      </c>
      <c r="F59" s="1" t="s">
        <v>1332</v>
      </c>
      <c r="G59" s="549">
        <f>IF(curve=1,comm_vol_gal_filt,VLOOKUP(comm_vol_gal_filt,ss_pv_cost_cl,2))</f>
        <v>751.97161756325295</v>
      </c>
      <c r="H59" s="510" t="s">
        <v>1332</v>
      </c>
      <c r="I59" s="371">
        <f>IF(C59=0,"NA",IF(curve=1,cs_pv_eq_filt,VLOOKUP(comm_vol_gal_filt,cs_pv_cost_cl,3)))</f>
        <v>33479.127331452597</v>
      </c>
      <c r="J59" s="356">
        <f>IF(C59=0,"--",IF(I59="contact vendor","--",C59*I59))</f>
        <v>66958.254662905194</v>
      </c>
      <c r="K59" s="195">
        <f>IF(C59=0,"NA",VLOOKUP(comm_vol_gal_filt,cs_pv_cost_cl,IF(ss_cat="large",4,5)))</f>
        <v>30</v>
      </c>
      <c r="L59" s="354">
        <v>0</v>
      </c>
      <c r="M59" s="5" t="str">
        <f>$B$49&amp;" - "&amp;$B$57&amp;" - "&amp;B59</f>
        <v>Post-Treatment Filters - Pressure Vessels - Carbon Steel - Stainless Internals</v>
      </c>
      <c r="N59" s="694">
        <v>3</v>
      </c>
      <c r="O59" s="694">
        <v>3</v>
      </c>
      <c r="P59" s="694">
        <v>2</v>
      </c>
      <c r="Q59" s="694">
        <v>3</v>
      </c>
      <c r="R59" s="694">
        <v>3</v>
      </c>
      <c r="S59" s="694">
        <v>2</v>
      </c>
      <c r="T59" s="694">
        <v>3</v>
      </c>
      <c r="U59" s="694">
        <v>3</v>
      </c>
      <c r="V59" s="694">
        <v>2</v>
      </c>
      <c r="W59" s="694">
        <f t="shared" si="0"/>
        <v>0</v>
      </c>
      <c r="X59">
        <f t="shared" si="1"/>
        <v>0</v>
      </c>
      <c r="Y59" s="1"/>
    </row>
    <row r="60" spans="1:25" s="773" customFormat="1" x14ac:dyDescent="0.2">
      <c r="A60" s="320" t="s">
        <v>199</v>
      </c>
      <c r="B60" s="1" t="s">
        <v>1463</v>
      </c>
      <c r="C60" s="555">
        <f>final_num_tanks_filt</f>
        <v>2</v>
      </c>
      <c r="D60" s="355" t="s">
        <v>606</v>
      </c>
      <c r="E60" s="549">
        <f>comm_vol_gal_filt</f>
        <v>751.97161756325295</v>
      </c>
      <c r="F60" s="1" t="s">
        <v>1332</v>
      </c>
      <c r="G60" s="549">
        <f>IF(curve=1,comm_vol_gal_filt,VLOOKUP(comm_vol_gal_filt,ss_pv_cost_cl,2))</f>
        <v>751.97161756325295</v>
      </c>
      <c r="H60" s="510" t="s">
        <v>1332</v>
      </c>
      <c r="I60" s="371">
        <f>IF(C60=0,"NA",IF(curve=1,csp_pv_eq_filt,VLOOKUP(comm_vol_gal_filt,csp_pv_cost_cl,3)))</f>
        <v>29637.98159484889</v>
      </c>
      <c r="J60" s="356">
        <f>IF(C60=0,"--",IF(I60="contact vendor","--",C60*I60))</f>
        <v>59275.963189697781</v>
      </c>
      <c r="K60" s="195">
        <f>IF(C60=0,"NA",VLOOKUP(comm_vol_gal_filt,csp_pv_cost_cl,IF(ss_cat="large",4,5)))</f>
        <v>30</v>
      </c>
      <c r="L60" s="354">
        <v>0</v>
      </c>
      <c r="M60" s="5" t="str">
        <f>$B$49&amp;" - "&amp;$B$57&amp;" - "&amp;B60</f>
        <v>Post-Treatment Filters - Pressure Vessels - Carbon Steel - Plastic Internals</v>
      </c>
      <c r="N60" s="694">
        <v>2</v>
      </c>
      <c r="O60" s="694">
        <v>1</v>
      </c>
      <c r="P60" s="694">
        <v>3</v>
      </c>
      <c r="Q60" s="694">
        <v>2</v>
      </c>
      <c r="R60" s="694">
        <v>1</v>
      </c>
      <c r="S60" s="694">
        <v>3</v>
      </c>
      <c r="T60" s="694">
        <v>2</v>
      </c>
      <c r="U60" s="694">
        <v>1</v>
      </c>
      <c r="V60" s="694">
        <v>3</v>
      </c>
      <c r="W60" s="694">
        <f t="shared" si="0"/>
        <v>0</v>
      </c>
      <c r="X60">
        <f t="shared" si="1"/>
        <v>0</v>
      </c>
      <c r="Y60" s="1"/>
    </row>
    <row r="61" spans="1:25" s="773" customFormat="1" x14ac:dyDescent="0.2">
      <c r="A61" s="320" t="s">
        <v>199</v>
      </c>
      <c r="B61" s="1" t="s">
        <v>1425</v>
      </c>
      <c r="C61" s="555">
        <f>final_num_tanks_filt</f>
        <v>2</v>
      </c>
      <c r="D61" s="355" t="s">
        <v>606</v>
      </c>
      <c r="E61" s="549">
        <f>comm_vol_gal_filt</f>
        <v>751.97161756325295</v>
      </c>
      <c r="F61" s="1" t="s">
        <v>1332</v>
      </c>
      <c r="G61" s="549">
        <f>IF(curve=1,comm_vol_gal_filt,VLOOKUP(comm_vol_gal_filt,ss_pv_cost_cl,2))</f>
        <v>751.97161756325295</v>
      </c>
      <c r="H61" s="510" t="s">
        <v>1332</v>
      </c>
      <c r="I61" s="371">
        <f>IF(C61=0,"NA",IF(curve=1,fg_pv_eq_filt,VLOOKUP(comm_vol_gal_filt,fg_pv_cost_cl,3)))</f>
        <v>15670.917940102641</v>
      </c>
      <c r="J61" s="356">
        <f>IF(C61=0,"--",IF(I61="contact vendor","--",C61*I61))</f>
        <v>31341.835880205283</v>
      </c>
      <c r="K61" s="195">
        <f>IF(C61=0,"NA",VLOOKUP(comm_vol_gal_filt,fg_pv_cost_cl,IF(ss_cat="large",4,5)))</f>
        <v>20</v>
      </c>
      <c r="L61" s="354">
        <v>1</v>
      </c>
      <c r="M61" s="5" t="str">
        <f>$B$49&amp;" - "&amp;$B$57&amp;" - "&amp;B61</f>
        <v>Post-Treatment Filters - Pressure Vessels - Fiberglass</v>
      </c>
      <c r="N61" s="694">
        <v>1</v>
      </c>
      <c r="O61" s="694">
        <v>2</v>
      </c>
      <c r="P61" s="694">
        <v>4</v>
      </c>
      <c r="Q61" s="694">
        <v>1</v>
      </c>
      <c r="R61" s="694">
        <v>2</v>
      </c>
      <c r="S61" s="694">
        <v>4</v>
      </c>
      <c r="T61" s="694">
        <v>1</v>
      </c>
      <c r="U61" s="694">
        <v>2</v>
      </c>
      <c r="V61" s="694">
        <v>4</v>
      </c>
      <c r="W61" s="694">
        <f t="shared" si="0"/>
        <v>1</v>
      </c>
      <c r="X61">
        <f t="shared" si="1"/>
        <v>1567.091794010264</v>
      </c>
      <c r="Y61" s="1"/>
    </row>
    <row r="62" spans="1:25" x14ac:dyDescent="0.2">
      <c r="A62" s="473">
        <v>2.2999999999999998</v>
      </c>
      <c r="B62" s="13" t="s">
        <v>2113</v>
      </c>
      <c r="C62" s="554"/>
      <c r="D62" s="272"/>
      <c r="E62" s="529"/>
      <c r="F62" s="511"/>
      <c r="G62" s="529"/>
      <c r="H62" s="511"/>
      <c r="I62" s="283"/>
      <c r="J62" s="283"/>
      <c r="K62" s="283"/>
      <c r="L62" s="192"/>
      <c r="M62" s="5"/>
      <c r="N62" s="694"/>
      <c r="O62" s="694"/>
      <c r="P62" s="694"/>
      <c r="Q62" s="694"/>
      <c r="R62" s="694"/>
      <c r="S62" s="694"/>
      <c r="T62" s="694"/>
      <c r="U62" s="694"/>
      <c r="V62" s="694"/>
      <c r="W62" s="694">
        <f t="shared" si="0"/>
        <v>0</v>
      </c>
      <c r="X62">
        <f t="shared" si="1"/>
        <v>0</v>
      </c>
      <c r="Y62"/>
    </row>
    <row r="63" spans="1:25" s="773" customFormat="1" x14ac:dyDescent="0.2">
      <c r="A63" s="578" t="s">
        <v>3019</v>
      </c>
      <c r="B63" s="654" t="s">
        <v>2724</v>
      </c>
      <c r="C63" s="555">
        <f>anthracite</f>
        <v>3872.9554233454969</v>
      </c>
      <c r="D63" s="654" t="s">
        <v>2591</v>
      </c>
      <c r="E63" s="549" t="s">
        <v>590</v>
      </c>
      <c r="F63" s="510"/>
      <c r="G63" s="549" t="s">
        <v>590</v>
      </c>
      <c r="H63" s="510"/>
      <c r="I63" s="371">
        <f>IF(anthracite=0,"NA",VLOOKUP(B63,media_cost_cl,3,FALSE))</f>
        <v>0.59123254393035707</v>
      </c>
      <c r="J63" s="356">
        <f>IF(anthracite=0,"--",IF(I63="contact vendor","--",C63*I63))</f>
        <v>2289.817287473431</v>
      </c>
      <c r="K63" s="195">
        <f>IF(I63="NA","N/A",IF(anthracite=0,"N/A",VLOOKUP(B63,media_cost_cl,IF(ss_cat="large",4,5))))</f>
        <v>8.5</v>
      </c>
      <c r="L63" s="354">
        <v>1</v>
      </c>
      <c r="M63" s="579" t="str">
        <f>$B$49&amp;" - "&amp;$B$62&amp;" - "&amp;B63</f>
        <v>Post-Treatment Filters - Media - Anthracite</v>
      </c>
      <c r="N63" s="694">
        <v>1</v>
      </c>
      <c r="O63" s="694">
        <v>1</v>
      </c>
      <c r="P63" s="694">
        <v>1</v>
      </c>
      <c r="Q63" s="694">
        <v>1</v>
      </c>
      <c r="R63" s="694">
        <v>1</v>
      </c>
      <c r="S63" s="694">
        <v>1</v>
      </c>
      <c r="T63" s="694">
        <v>1</v>
      </c>
      <c r="U63" s="694">
        <v>1</v>
      </c>
      <c r="V63" s="694">
        <v>1</v>
      </c>
      <c r="W63" s="694">
        <f t="shared" si="0"/>
        <v>1</v>
      </c>
      <c r="X63">
        <f t="shared" si="1"/>
        <v>269.39026911452129</v>
      </c>
      <c r="Y63" s="1"/>
    </row>
    <row r="64" spans="1:25" s="773" customFormat="1" x14ac:dyDescent="0.2">
      <c r="A64" s="578" t="s">
        <v>3020</v>
      </c>
      <c r="B64" s="654" t="s">
        <v>2725</v>
      </c>
      <c r="C64" s="555">
        <f>sand_vol</f>
        <v>115.61060965210437</v>
      </c>
      <c r="D64" s="654" t="s">
        <v>2727</v>
      </c>
      <c r="E64" s="549" t="s">
        <v>590</v>
      </c>
      <c r="F64" s="510"/>
      <c r="G64" s="549" t="s">
        <v>590</v>
      </c>
      <c r="H64" s="510"/>
      <c r="I64" s="371">
        <f>IF(sand_vol=0,"NA",VLOOKUP(B64,media_cost_cl,3,FALSE))</f>
        <v>75.899652955911066</v>
      </c>
      <c r="J64" s="356">
        <f>IF(sand_vol=0,"--",IF(I64="contact vendor","--",C64*I64))</f>
        <v>8774.8051506160245</v>
      </c>
      <c r="K64" s="195">
        <f>IF(I64="NA","N/A",IF(sand_vol=0,"N/A",VLOOKUP(B64,media_cost_cl,IF(ss_cat="large",4,5))))</f>
        <v>20</v>
      </c>
      <c r="L64" s="354">
        <v>1</v>
      </c>
      <c r="M64" s="579" t="str">
        <f>$B$49&amp;" - "&amp;$B$62&amp;" - "&amp;B64</f>
        <v>Post-Treatment Filters - Media - Sand</v>
      </c>
      <c r="N64" s="694">
        <v>1</v>
      </c>
      <c r="O64" s="694">
        <v>1</v>
      </c>
      <c r="P64" s="694">
        <v>1</v>
      </c>
      <c r="Q64" s="694">
        <v>1</v>
      </c>
      <c r="R64" s="694">
        <v>1</v>
      </c>
      <c r="S64" s="694">
        <v>1</v>
      </c>
      <c r="T64" s="694">
        <v>1</v>
      </c>
      <c r="U64" s="694">
        <v>1</v>
      </c>
      <c r="V64" s="694">
        <v>1</v>
      </c>
      <c r="W64" s="694">
        <f t="shared" si="0"/>
        <v>1</v>
      </c>
      <c r="X64">
        <f t="shared" si="1"/>
        <v>438.74025753080122</v>
      </c>
      <c r="Y64" s="1"/>
    </row>
    <row r="65" spans="1:25" s="773" customFormat="1" x14ac:dyDescent="0.2">
      <c r="A65" s="578" t="s">
        <v>3021</v>
      </c>
      <c r="B65" s="654" t="s">
        <v>2726</v>
      </c>
      <c r="C65" s="555">
        <f>garnet</f>
        <v>0</v>
      </c>
      <c r="D65" s="654" t="s">
        <v>2591</v>
      </c>
      <c r="E65" s="549" t="s">
        <v>590</v>
      </c>
      <c r="F65" s="510"/>
      <c r="G65" s="549" t="s">
        <v>590</v>
      </c>
      <c r="H65" s="510"/>
      <c r="I65" s="371" t="str">
        <f>IF(garnet=0,"NA",VLOOKUP(B65,media_cost_cl,3,FALSE))</f>
        <v>NA</v>
      </c>
      <c r="J65" s="356" t="str">
        <f>IF(garnet=0,"--",IF(I65="contact vendor","--",C65*I65))</f>
        <v>--</v>
      </c>
      <c r="K65" s="195" t="str">
        <f>IF(I65="NA","N/A",IF(garnet=0,"N/A",VLOOKUP(B65,media_cost_cl,IF(ss_cat="large",4,5))))</f>
        <v>N/A</v>
      </c>
      <c r="L65" s="354"/>
      <c r="M65" s="579" t="str">
        <f>$B$49&amp;" - "&amp;$B$62&amp;" - "&amp;B65</f>
        <v>Post-Treatment Filters - Media - Garnet/illmenite</v>
      </c>
      <c r="N65" s="694">
        <v>1</v>
      </c>
      <c r="O65" s="694">
        <v>1</v>
      </c>
      <c r="P65" s="694">
        <v>1</v>
      </c>
      <c r="Q65" s="694">
        <v>1</v>
      </c>
      <c r="R65" s="694">
        <v>1</v>
      </c>
      <c r="S65" s="694">
        <v>1</v>
      </c>
      <c r="T65" s="694">
        <v>1</v>
      </c>
      <c r="U65" s="694">
        <v>1</v>
      </c>
      <c r="V65" s="694">
        <v>1</v>
      </c>
      <c r="W65" s="694">
        <f t="shared" si="0"/>
        <v>0</v>
      </c>
      <c r="X65">
        <f t="shared" si="1"/>
        <v>0</v>
      </c>
      <c r="Y65" s="1"/>
    </row>
    <row r="66" spans="1:25" s="773" customFormat="1" x14ac:dyDescent="0.2">
      <c r="A66" s="578" t="s">
        <v>3022</v>
      </c>
      <c r="B66" s="654" t="s">
        <v>271</v>
      </c>
      <c r="C66" s="555">
        <f>filt_GAC</f>
        <v>0</v>
      </c>
      <c r="D66" s="654" t="s">
        <v>2591</v>
      </c>
      <c r="E66" s="549" t="s">
        <v>590</v>
      </c>
      <c r="F66" s="510"/>
      <c r="G66" s="549" t="s">
        <v>590</v>
      </c>
      <c r="H66" s="510"/>
      <c r="I66" s="371" t="str">
        <f>IF(filt_GAC=0,"NA",IF(curve=1,filt_gac_eq,VLOOKUP(C66,gac_cost_cl,3)))</f>
        <v>NA</v>
      </c>
      <c r="J66" s="356" t="str">
        <f>IF(filt_GAC=0,"--",IF(I66="contact vendor","--",C66*I66))</f>
        <v>--</v>
      </c>
      <c r="K66" s="195" t="str">
        <f>IF(I66="NA","N/A",IF(filt_GAC=0,"N/A",VLOOKUP(filt_GAC/GAC_density,gac_cost_cl,IF(ss_cat="large",4,5))))</f>
        <v>N/A</v>
      </c>
      <c r="L66" s="354"/>
      <c r="M66" s="579" t="str">
        <f>$B$49&amp;" - "&amp;$B$62&amp;" - "&amp;B66</f>
        <v>Post-Treatment Filters - Media - GAC</v>
      </c>
      <c r="N66" s="694">
        <v>1</v>
      </c>
      <c r="O66" s="694">
        <v>1</v>
      </c>
      <c r="P66" s="694">
        <v>1</v>
      </c>
      <c r="Q66" s="694">
        <v>1</v>
      </c>
      <c r="R66" s="694">
        <v>1</v>
      </c>
      <c r="S66" s="694">
        <v>1</v>
      </c>
      <c r="T66" s="694">
        <v>1</v>
      </c>
      <c r="U66" s="694">
        <v>1</v>
      </c>
      <c r="V66" s="694">
        <v>1</v>
      </c>
      <c r="W66" s="694">
        <f t="shared" si="0"/>
        <v>0</v>
      </c>
      <c r="X66">
        <f t="shared" si="1"/>
        <v>0</v>
      </c>
      <c r="Y66" s="1"/>
    </row>
    <row r="67" spans="1:25" x14ac:dyDescent="0.2">
      <c r="A67" s="186" t="s">
        <v>2476</v>
      </c>
      <c r="B67" s="18" t="s">
        <v>1423</v>
      </c>
      <c r="C67" s="553"/>
      <c r="D67" s="271"/>
      <c r="E67" s="528"/>
      <c r="F67" s="513"/>
      <c r="G67" s="528"/>
      <c r="H67" s="513"/>
      <c r="I67" s="369"/>
      <c r="J67" s="369"/>
      <c r="K67" s="369"/>
      <c r="L67" s="276"/>
      <c r="M67" s="5"/>
      <c r="N67" s="694"/>
      <c r="O67" s="694"/>
      <c r="P67" s="694"/>
      <c r="Q67" s="694"/>
      <c r="R67" s="694"/>
      <c r="S67" s="694"/>
      <c r="T67" s="694"/>
      <c r="U67" s="694"/>
      <c r="V67" s="694"/>
      <c r="W67" s="694">
        <f t="shared" si="0"/>
        <v>0</v>
      </c>
      <c r="X67">
        <f t="shared" si="1"/>
        <v>0</v>
      </c>
      <c r="Y67"/>
    </row>
    <row r="68" spans="1:25" x14ac:dyDescent="0.2">
      <c r="A68" s="473">
        <v>3.1</v>
      </c>
      <c r="B68" s="13" t="s">
        <v>1424</v>
      </c>
      <c r="C68" s="554"/>
      <c r="D68" s="272"/>
      <c r="E68" s="529"/>
      <c r="F68" s="511"/>
      <c r="G68" s="529"/>
      <c r="H68" s="511"/>
      <c r="I68" s="284"/>
      <c r="J68" s="283"/>
      <c r="K68" s="283"/>
      <c r="L68" s="192"/>
      <c r="M68" s="5"/>
      <c r="N68" s="694"/>
      <c r="O68" s="694"/>
      <c r="P68" s="694"/>
      <c r="Q68" s="694"/>
      <c r="R68" s="694"/>
      <c r="S68" s="694"/>
      <c r="T68" s="694"/>
      <c r="U68" s="694"/>
      <c r="V68" s="694"/>
      <c r="W68" s="694">
        <f t="shared" si="0"/>
        <v>0</v>
      </c>
      <c r="X68">
        <f t="shared" si="1"/>
        <v>0</v>
      </c>
      <c r="Y68"/>
    </row>
    <row r="69" spans="1:25" s="773" customFormat="1" x14ac:dyDescent="0.2">
      <c r="A69" s="320" t="s">
        <v>2222</v>
      </c>
      <c r="B69" s="1" t="s">
        <v>581</v>
      </c>
      <c r="C69" s="555">
        <f>back_tanks</f>
        <v>0</v>
      </c>
      <c r="D69" s="355" t="s">
        <v>606</v>
      </c>
      <c r="E69" s="195" t="str">
        <f>IF(C69=0,"NA",back_tank_vol)</f>
        <v>NA</v>
      </c>
      <c r="F69" s="1" t="str">
        <f>IF(C69=0,"","gal")</f>
        <v/>
      </c>
      <c r="G69" s="549" t="str">
        <f>IF(C69=0,"NA",IF(curve=1,back_tank_vol,VLOOKUP(back_tank_vol,st_bwt_cost_cl,2)))</f>
        <v>NA</v>
      </c>
      <c r="H69" s="510" t="str">
        <f>IF(C69=0,"","gal")</f>
        <v/>
      </c>
      <c r="I69" s="686" t="str">
        <f>IF(C69=0,"NA",IF(curve=1,st_bwt_eq,VLOOKUP(back_tank_vol,st_bwt_cost_cl,3)))</f>
        <v>NA</v>
      </c>
      <c r="J69" s="356" t="str">
        <f>IF(OR(C69=0,I69="contact vendor"),"--",C69*I69)</f>
        <v>--</v>
      </c>
      <c r="K69" s="195" t="str">
        <f>IF(C69=0,"NA",VLOOKUP(back_tank_vol,st_bwt_cost_cl,IF(ss_cat="large",4,5)))</f>
        <v>NA</v>
      </c>
      <c r="L69" s="354"/>
      <c r="M69" s="5" t="str">
        <f>$B$67&amp;" - "&amp;$B$68&amp;" - "&amp;B69</f>
        <v>Tanks - Backwash Tanks - Steel</v>
      </c>
      <c r="N69" s="694">
        <v>3</v>
      </c>
      <c r="O69" s="695">
        <v>3</v>
      </c>
      <c r="P69" s="694">
        <v>1</v>
      </c>
      <c r="Q69" s="694">
        <v>3</v>
      </c>
      <c r="R69" s="695">
        <v>3</v>
      </c>
      <c r="S69" s="694">
        <v>1</v>
      </c>
      <c r="T69" s="694">
        <v>3</v>
      </c>
      <c r="U69" s="695">
        <v>3</v>
      </c>
      <c r="V69" s="694">
        <v>1</v>
      </c>
      <c r="W69" s="694">
        <f t="shared" si="0"/>
        <v>0</v>
      </c>
      <c r="X69">
        <f t="shared" si="1"/>
        <v>0</v>
      </c>
      <c r="Y69" s="1"/>
    </row>
    <row r="70" spans="1:25" s="773" customFormat="1" x14ac:dyDescent="0.2">
      <c r="A70" s="320" t="s">
        <v>2222</v>
      </c>
      <c r="B70" s="1" t="s">
        <v>1425</v>
      </c>
      <c r="C70" s="555">
        <f>back_tanks</f>
        <v>0</v>
      </c>
      <c r="D70" s="355" t="s">
        <v>606</v>
      </c>
      <c r="E70" s="195" t="str">
        <f>IF(C70=0,"NA",back_tank_vol)</f>
        <v>NA</v>
      </c>
      <c r="F70" s="1" t="str">
        <f>IF(C70=0,"","gal")</f>
        <v/>
      </c>
      <c r="G70" s="549" t="str">
        <f>IF(C70=0,"NA",IF(curve=1,back_tank_vol,VLOOKUP(back_tank_vol,fg_bwt_cost_cl,2)))</f>
        <v>NA</v>
      </c>
      <c r="H70" s="510" t="str">
        <f>IF(C70=0,"","gal")</f>
        <v/>
      </c>
      <c r="I70" s="686" t="str">
        <f>IF(C70=0,"NA",IF(curve=1,fg_bwt_eq,VLOOKUP(back_tank_vol,fg_bwt_cost_cl,3)))</f>
        <v>NA</v>
      </c>
      <c r="J70" s="356" t="str">
        <f>IF(OR(C70=0,I70="contact vendor"),"--",C70*I70)</f>
        <v>--</v>
      </c>
      <c r="K70" s="195" t="str">
        <f>IF(C70=0,"NA",VLOOKUP(back_tank_vol,fg_bwt_cost_cl,IF(ss_cat="large",4,5)))</f>
        <v>NA</v>
      </c>
      <c r="L70" s="354"/>
      <c r="M70" s="5" t="str">
        <f>$B$67&amp;" - "&amp;$B$68&amp;" - "&amp;B70</f>
        <v>Tanks - Backwash Tanks - Fiberglass</v>
      </c>
      <c r="N70" s="694">
        <v>2</v>
      </c>
      <c r="O70" s="694">
        <v>1</v>
      </c>
      <c r="P70" s="694">
        <v>2</v>
      </c>
      <c r="Q70" s="694">
        <v>2</v>
      </c>
      <c r="R70" s="694">
        <v>1</v>
      </c>
      <c r="S70" s="694">
        <v>2</v>
      </c>
      <c r="T70" s="694">
        <v>2</v>
      </c>
      <c r="U70" s="694">
        <v>1</v>
      </c>
      <c r="V70" s="694">
        <v>2</v>
      </c>
      <c r="W70" s="694">
        <f t="shared" si="0"/>
        <v>0</v>
      </c>
      <c r="X70">
        <f t="shared" si="1"/>
        <v>0</v>
      </c>
      <c r="Y70" s="1"/>
    </row>
    <row r="71" spans="1:25" s="773" customFormat="1" x14ac:dyDescent="0.2">
      <c r="A71" s="320" t="s">
        <v>2222</v>
      </c>
      <c r="B71" s="1" t="s">
        <v>3955</v>
      </c>
      <c r="C71" s="555">
        <f>back_tanks</f>
        <v>0</v>
      </c>
      <c r="D71" s="355" t="s">
        <v>606</v>
      </c>
      <c r="E71" s="195" t="str">
        <f>IF(C71=0,"NA",back_tank_vol)</f>
        <v>NA</v>
      </c>
      <c r="F71" s="1" t="str">
        <f>IF(C71=0,"","gal")</f>
        <v/>
      </c>
      <c r="G71" s="549" t="str">
        <f>IF(C71=0,"NA",IF(curve=1,back_tank_vol,VLOOKUP(back_tank_vol,hdpe_bwt_cost_cl,2)))</f>
        <v>NA</v>
      </c>
      <c r="H71" s="510" t="str">
        <f>IF(C71=0,"","gal")</f>
        <v/>
      </c>
      <c r="I71" s="686" t="str">
        <f>IF(C71=0,"NA",IF(curve=1,hdpe_bwt_eq,VLOOKUP(back_tank_vol,hdpe_bwt_cost_cl,3)))</f>
        <v>NA</v>
      </c>
      <c r="J71" s="356" t="str">
        <f>IF(OR(C71=0,I71="contact vendor"),"--",C71*I71)</f>
        <v>--</v>
      </c>
      <c r="K71" s="195" t="str">
        <f>IF(C71=0,"NA",VLOOKUP(back_tank_vol,hdpe_bwt_cost_cl,IF(ss_cat="large",4,5)))</f>
        <v>NA</v>
      </c>
      <c r="L71" s="354"/>
      <c r="M71" s="5" t="str">
        <f>$B$67&amp;" - "&amp;$B$68&amp;" - "&amp;B71</f>
        <v>Tanks - Backwash Tanks - Plastic</v>
      </c>
      <c r="N71" s="694">
        <v>1</v>
      </c>
      <c r="O71" s="694">
        <v>2</v>
      </c>
      <c r="P71" s="694">
        <v>3</v>
      </c>
      <c r="Q71" s="694">
        <v>1</v>
      </c>
      <c r="R71" s="694">
        <v>2</v>
      </c>
      <c r="S71" s="694">
        <v>3</v>
      </c>
      <c r="T71" s="694">
        <v>1</v>
      </c>
      <c r="U71" s="694">
        <v>2</v>
      </c>
      <c r="V71" s="694">
        <v>3</v>
      </c>
      <c r="W71" s="694">
        <f t="shared" si="0"/>
        <v>0</v>
      </c>
      <c r="X71">
        <f t="shared" si="1"/>
        <v>0</v>
      </c>
      <c r="Y71" s="1"/>
    </row>
    <row r="72" spans="1:25" x14ac:dyDescent="0.2">
      <c r="A72" s="473">
        <v>3.2</v>
      </c>
      <c r="B72" s="13" t="s">
        <v>2038</v>
      </c>
      <c r="C72" s="554"/>
      <c r="D72" s="272"/>
      <c r="E72" s="283"/>
      <c r="F72" s="511"/>
      <c r="G72" s="529"/>
      <c r="H72" s="511"/>
      <c r="I72" s="284"/>
      <c r="J72" s="283"/>
      <c r="K72" s="283"/>
      <c r="L72" s="192"/>
      <c r="M72" s="5"/>
      <c r="N72" s="695"/>
      <c r="O72" s="695"/>
      <c r="P72" s="695"/>
      <c r="Q72" s="695"/>
      <c r="R72" s="695"/>
      <c r="S72" s="695"/>
      <c r="T72" s="695"/>
      <c r="U72" s="695"/>
      <c r="V72" s="695"/>
      <c r="W72" s="694">
        <f t="shared" si="0"/>
        <v>0</v>
      </c>
      <c r="X72">
        <f t="shared" si="1"/>
        <v>0</v>
      </c>
      <c r="Y72"/>
    </row>
    <row r="73" spans="1:25" s="773" customFormat="1" x14ac:dyDescent="0.2">
      <c r="A73" s="320" t="s">
        <v>2223</v>
      </c>
      <c r="B73" s="1" t="s">
        <v>3928</v>
      </c>
      <c r="C73" s="555">
        <f>e_donor_tanks</f>
        <v>1</v>
      </c>
      <c r="D73" s="355" t="s">
        <v>606</v>
      </c>
      <c r="E73" s="549">
        <f>IF(C73=0,"NA",e_donor_tank_vol)</f>
        <v>53</v>
      </c>
      <c r="F73" s="1" t="str">
        <f>IF(C73=0,"","gal")</f>
        <v>gal</v>
      </c>
      <c r="G73" s="549">
        <f>IF(C73=0,"NA",IF(curve=1,e_donor_tank_vol,VLOOKUP(e_donor_tank_vol,pl_cst_cost_cl,2)))</f>
        <v>53</v>
      </c>
      <c r="H73" s="510" t="str">
        <f>IF(C73=0,"","gal")</f>
        <v>gal</v>
      </c>
      <c r="I73" s="686">
        <f>IF(C73=0,"NA",IF(curve=1,pl_e_donor_st_eq,VLOOKUP(e_donor_tank_vol,pl_cst_cost_cl,3)))</f>
        <v>771.00190020899993</v>
      </c>
      <c r="J73" s="356">
        <f>IF(OR(C73=0,I73="contact vendor"),"--",C73*I73)</f>
        <v>771.00190020899993</v>
      </c>
      <c r="K73" s="195">
        <f>IF(C73=0,"NA",VLOOKUP(e_donor_tank_vol,pl_cst_cost_cl,IF(ss_cat="large",4,5)))</f>
        <v>7</v>
      </c>
      <c r="L73" s="354">
        <v>1</v>
      </c>
      <c r="M73" s="5" t="str">
        <f>$B$67&amp;" - "&amp;$B$72&amp;" - "&amp;B73</f>
        <v>Tanks - Electron Donor Storage Tanks - Plastic/XLPE</v>
      </c>
      <c r="N73" s="694">
        <v>1</v>
      </c>
      <c r="O73" s="694">
        <v>2</v>
      </c>
      <c r="P73" s="694">
        <v>3</v>
      </c>
      <c r="Q73" s="694">
        <v>1</v>
      </c>
      <c r="R73" s="694">
        <v>2</v>
      </c>
      <c r="S73" s="694">
        <v>3</v>
      </c>
      <c r="T73" s="694">
        <v>1</v>
      </c>
      <c r="U73" s="694">
        <v>2</v>
      </c>
      <c r="V73" s="694">
        <v>3</v>
      </c>
      <c r="W73" s="694">
        <f t="shared" si="0"/>
        <v>1</v>
      </c>
      <c r="X73">
        <f t="shared" si="1"/>
        <v>110.14312860128571</v>
      </c>
      <c r="Y73" s="1"/>
    </row>
    <row r="74" spans="1:25" s="773" customFormat="1" x14ac:dyDescent="0.2">
      <c r="A74" s="320" t="s">
        <v>2223</v>
      </c>
      <c r="B74" s="1" t="s">
        <v>1425</v>
      </c>
      <c r="C74" s="555">
        <f>e_donor_tanks</f>
        <v>1</v>
      </c>
      <c r="D74" s="355" t="s">
        <v>606</v>
      </c>
      <c r="E74" s="549">
        <f>IF(C74=0,"NA",e_donor_tank_vol)</f>
        <v>53</v>
      </c>
      <c r="F74" s="1" t="str">
        <f>IF(C74=0,"","gal")</f>
        <v>gal</v>
      </c>
      <c r="G74" s="549">
        <f>IF(C74=0,"NA",IF(curve=1,e_donor_tank_vol,VLOOKUP(e_donor_tank_vol,fg_cst_cost_cl,2)))</f>
        <v>53</v>
      </c>
      <c r="H74" s="510" t="str">
        <f>IF(C74=0,"","gal")</f>
        <v>gal</v>
      </c>
      <c r="I74" s="686">
        <f>IF(C74=0,"NA",IF(curve=1,fg_e_donor_st_eq,VLOOKUP(e_donor_tank_vol,fg_cst_cost_cl,3)))</f>
        <v>2315.3704028907514</v>
      </c>
      <c r="J74" s="356">
        <f>IF(OR(C74=0,I74="contact vendor"),"--",C74*I74)</f>
        <v>2315.3704028907514</v>
      </c>
      <c r="K74" s="195">
        <f>IF(C74=0,"NA",VLOOKUP(e_donor_tank_vol,fg_cst_cost_cl,IF(ss_cat="large",4,5)))</f>
        <v>7</v>
      </c>
      <c r="L74" s="354">
        <v>0</v>
      </c>
      <c r="M74" s="5" t="str">
        <f>$B$67&amp;" - "&amp;$B$72&amp;" - "&amp;B74</f>
        <v>Tanks - Electron Donor Storage Tanks - Fiberglass</v>
      </c>
      <c r="N74" s="694">
        <v>2</v>
      </c>
      <c r="O74" s="694">
        <v>1</v>
      </c>
      <c r="P74" s="694">
        <v>2</v>
      </c>
      <c r="Q74" s="694">
        <v>2</v>
      </c>
      <c r="R74" s="694">
        <v>1</v>
      </c>
      <c r="S74" s="694">
        <v>2</v>
      </c>
      <c r="T74" s="694">
        <v>2</v>
      </c>
      <c r="U74" s="694">
        <v>1</v>
      </c>
      <c r="V74" s="694">
        <v>2</v>
      </c>
      <c r="W74" s="694">
        <f t="shared" si="0"/>
        <v>0</v>
      </c>
      <c r="X74">
        <f t="shared" si="1"/>
        <v>0</v>
      </c>
      <c r="Y74" s="1"/>
    </row>
    <row r="75" spans="1:25" s="773" customFormat="1" x14ac:dyDescent="0.2">
      <c r="A75" s="320" t="s">
        <v>2223</v>
      </c>
      <c r="B75" s="1" t="s">
        <v>1421</v>
      </c>
      <c r="C75" s="555">
        <f>e_donor_tanks</f>
        <v>1</v>
      </c>
      <c r="D75" s="355" t="s">
        <v>606</v>
      </c>
      <c r="E75" s="549">
        <f>IF(C75=0,"NA",e_donor_tank_vol)</f>
        <v>53</v>
      </c>
      <c r="F75" s="1" t="str">
        <f>IF(C75=0,"","gal")</f>
        <v>gal</v>
      </c>
      <c r="G75" s="549">
        <f>IF(C75=0,"NA",IF(curve=1,e_donor_tank_vol,VLOOKUP(e_donor_tank_vol,ss_cst_cost_cl,2)))</f>
        <v>53</v>
      </c>
      <c r="H75" s="510" t="str">
        <f>IF(C75=0,"","gal")</f>
        <v>gal</v>
      </c>
      <c r="I75" s="686">
        <f>IF(C75=0,"NA",IF(curve=1,ss_e_donor_st_eq,VLOOKUP(e_donor_tank_vol,ss_cst_cost_cl,3)))</f>
        <v>1031.8046719878387</v>
      </c>
      <c r="J75" s="356">
        <f>IF(OR(C75=0,I75="contact vendor"),"--",C75*I75)</f>
        <v>1031.8046719878387</v>
      </c>
      <c r="K75" s="195">
        <f>IF(C75=0,"NA",VLOOKUP(e_donor_tank_vol,ss_cst_cost_cl,IF(ss_cat="large",4,5)))</f>
        <v>30</v>
      </c>
      <c r="L75" s="354">
        <v>0</v>
      </c>
      <c r="M75" s="5" t="str">
        <f>$B$67&amp;" - "&amp;$B$72&amp;" - "&amp;B75</f>
        <v>Tanks - Electron Donor Storage Tanks - Stainless Steel</v>
      </c>
      <c r="N75" s="694">
        <v>3</v>
      </c>
      <c r="O75" s="694">
        <v>3</v>
      </c>
      <c r="P75" s="694">
        <v>1</v>
      </c>
      <c r="Q75" s="694">
        <v>3</v>
      </c>
      <c r="R75" s="694">
        <v>3</v>
      </c>
      <c r="S75" s="694">
        <v>1</v>
      </c>
      <c r="T75" s="694">
        <v>3</v>
      </c>
      <c r="U75" s="694">
        <v>3</v>
      </c>
      <c r="V75" s="694">
        <v>1</v>
      </c>
      <c r="W75" s="694">
        <f t="shared" si="0"/>
        <v>0</v>
      </c>
      <c r="X75">
        <f t="shared" si="1"/>
        <v>0</v>
      </c>
      <c r="Y75" s="1"/>
    </row>
    <row r="76" spans="1:25" s="773" customFormat="1" x14ac:dyDescent="0.2">
      <c r="A76" s="320" t="s">
        <v>4143</v>
      </c>
      <c r="B76" s="1" t="s">
        <v>4145</v>
      </c>
      <c r="C76" s="555">
        <f>IF(OR(include_sec_cont=0,e_donor_tanks=0),0,e_donor_st_curb_concrete)</f>
        <v>1</v>
      </c>
      <c r="D76" s="355" t="s">
        <v>2458</v>
      </c>
      <c r="E76" s="649" t="s">
        <v>590</v>
      </c>
      <c r="F76" s="30"/>
      <c r="G76" s="649" t="s">
        <v>590</v>
      </c>
      <c r="H76" s="30"/>
      <c r="I76" s="357">
        <f>IF(C76=0,"NA",VLOOKUP(0,conc_basin_cost_cl,3))</f>
        <v>739.60558874747949</v>
      </c>
      <c r="J76" s="353">
        <f>IF(C76=0,"--",IF(I76="contact vendor","--",C76*I76))</f>
        <v>739.60558874747949</v>
      </c>
      <c r="K76" s="352">
        <f>IF(C76=0,"NA",VLOOKUP(0,conc_basin_cost_cl,IF(ss_cat="large",4,5)))</f>
        <v>37</v>
      </c>
      <c r="L76" s="354">
        <v>1</v>
      </c>
      <c r="M76" s="5" t="str">
        <f>$B$67&amp;" - "&amp;$B$72&amp;" - "&amp;B76</f>
        <v>Tanks - Electron Donor Storage Tanks - Secondary Containment - Concrete Curbing</v>
      </c>
      <c r="N76" s="694">
        <v>1</v>
      </c>
      <c r="O76" s="694">
        <v>1</v>
      </c>
      <c r="P76" s="694">
        <v>1</v>
      </c>
      <c r="Q76" s="694">
        <v>1</v>
      </c>
      <c r="R76" s="694">
        <v>1</v>
      </c>
      <c r="S76" s="694">
        <v>1</v>
      </c>
      <c r="T76" s="694">
        <v>1</v>
      </c>
      <c r="U76" s="694">
        <v>1</v>
      </c>
      <c r="V76" s="694">
        <v>1</v>
      </c>
      <c r="W76" s="694">
        <f>IF(ISERROR(K76*L76),0,IF(K76&lt;1,0,L76))</f>
        <v>1</v>
      </c>
      <c r="X76">
        <f>IF(W76,J76/K76,0)</f>
        <v>19.989340236418364</v>
      </c>
      <c r="Y76" s="1"/>
    </row>
    <row r="77" spans="1:25" s="773" customFormat="1" x14ac:dyDescent="0.2">
      <c r="A77" s="320" t="s">
        <v>4144</v>
      </c>
      <c r="B77" s="1" t="s">
        <v>4146</v>
      </c>
      <c r="C77" s="555">
        <f>IF(OR(include_sec_cont=0,e_donor_tanks=0),0,e_donor_st_coating_gal)</f>
        <v>1</v>
      </c>
      <c r="D77" s="355" t="s">
        <v>1332</v>
      </c>
      <c r="E77" s="649" t="s">
        <v>590</v>
      </c>
      <c r="F77" s="30"/>
      <c r="G77" s="649" t="s">
        <v>590</v>
      </c>
      <c r="H77" s="30"/>
      <c r="I77" s="357">
        <f>IF(C77=0,"NA",VLOOKUP(0,conc_coating_cost_cl,3))</f>
        <v>389.13</v>
      </c>
      <c r="J77" s="353">
        <f>IF(C77=0,"--",IF(I77="contact vendor","--",C77*I77))</f>
        <v>389.13</v>
      </c>
      <c r="K77" s="352">
        <f>IF(C77=0,"NA",VLOOKUP(0,conc_coating_cost_cl,IF(ss_cat="large",4,5)))</f>
        <v>10</v>
      </c>
      <c r="L77" s="354">
        <v>1</v>
      </c>
      <c r="M77" s="5" t="str">
        <f>$B$67&amp;" - "&amp;$B$72&amp;" - "&amp;B77</f>
        <v>Tanks - Electron Donor Storage Tanks - Secondary Containment - Chemical Resistant Coating</v>
      </c>
      <c r="N77" s="694">
        <v>1</v>
      </c>
      <c r="O77" s="694">
        <v>1</v>
      </c>
      <c r="P77" s="694">
        <v>1</v>
      </c>
      <c r="Q77" s="694">
        <v>1</v>
      </c>
      <c r="R77" s="694">
        <v>1</v>
      </c>
      <c r="S77" s="694">
        <v>1</v>
      </c>
      <c r="T77" s="694">
        <v>1</v>
      </c>
      <c r="U77" s="694">
        <v>1</v>
      </c>
      <c r="V77" s="694">
        <v>1</v>
      </c>
      <c r="W77" s="694">
        <f>IF(ISERROR(K77*L77),0,IF(K77&lt;1,0,L77))</f>
        <v>1</v>
      </c>
      <c r="X77">
        <f>IF(W77,J77/K77,0)</f>
        <v>38.912999999999997</v>
      </c>
      <c r="Y77" s="1"/>
    </row>
    <row r="78" spans="1:25" x14ac:dyDescent="0.2">
      <c r="A78" s="473">
        <v>3.3</v>
      </c>
      <c r="B78" s="13" t="s">
        <v>2041</v>
      </c>
      <c r="C78" s="554"/>
      <c r="D78" s="272"/>
      <c r="E78" s="283"/>
      <c r="F78" s="511"/>
      <c r="G78" s="529"/>
      <c r="H78" s="511"/>
      <c r="I78" s="284"/>
      <c r="J78" s="283"/>
      <c r="K78" s="283"/>
      <c r="L78" s="192"/>
      <c r="M78" s="5"/>
      <c r="N78" s="695"/>
      <c r="O78" s="695"/>
      <c r="P78" s="695"/>
      <c r="Q78" s="695"/>
      <c r="R78" s="695"/>
      <c r="S78" s="695"/>
      <c r="T78" s="695"/>
      <c r="U78" s="695"/>
      <c r="V78" s="695"/>
      <c r="W78" s="694">
        <f t="shared" si="0"/>
        <v>0</v>
      </c>
      <c r="X78">
        <f t="shared" si="1"/>
        <v>0</v>
      </c>
      <c r="Y78"/>
    </row>
    <row r="79" spans="1:25" s="773" customFormat="1" x14ac:dyDescent="0.2">
      <c r="A79" s="320" t="s">
        <v>2224</v>
      </c>
      <c r="B79" s="1" t="s">
        <v>3928</v>
      </c>
      <c r="C79" s="555">
        <f>NH4Cl_tanks</f>
        <v>0</v>
      </c>
      <c r="D79" s="355" t="s">
        <v>606</v>
      </c>
      <c r="E79" s="549" t="str">
        <f>IF(C79=0,"NA",NH4Cl_tank_vol)</f>
        <v>NA</v>
      </c>
      <c r="F79" s="1" t="str">
        <f>IF(C79=0,"","gal")</f>
        <v/>
      </c>
      <c r="G79" s="549" t="str">
        <f>IF(C79=0,"NA",IF(curve=1,NH4Cl_tank_vol,VLOOKUP(NH4Cl_tank_vol,pl_cst_cost_cl,2)))</f>
        <v>NA</v>
      </c>
      <c r="H79" s="510" t="str">
        <f>IF(C79=0,"","gal")</f>
        <v/>
      </c>
      <c r="I79" s="686" t="str">
        <f>IF(C79=0,"NA",IF(curve=1,pl_NH4Cl_st_eq,VLOOKUP(NH4Cl_tank_vol,pl_cst_cost_cl,3)))</f>
        <v>NA</v>
      </c>
      <c r="J79" s="356" t="str">
        <f>IF(OR(C79=0,I79="contact vendor"),"--",C79*I79)</f>
        <v>--</v>
      </c>
      <c r="K79" s="195" t="str">
        <f>IF(C79=0,"NA",VLOOKUP(NH4Cl_tank_vol,pl_cst_cost_cl,IF(ss_cat="large",4,5)))</f>
        <v>NA</v>
      </c>
      <c r="L79" s="354"/>
      <c r="M79" s="5" t="str">
        <f>$B$67&amp;" - "&amp;$B$78&amp;" - "&amp;B79</f>
        <v>Tanks - Ammonium Chloride Storage Tanks - Plastic/XLPE</v>
      </c>
      <c r="N79" s="694">
        <v>1</v>
      </c>
      <c r="O79" s="694">
        <v>2</v>
      </c>
      <c r="P79" s="694">
        <v>3</v>
      </c>
      <c r="Q79" s="694">
        <v>1</v>
      </c>
      <c r="R79" s="694">
        <v>2</v>
      </c>
      <c r="S79" s="694">
        <v>3</v>
      </c>
      <c r="T79" s="694">
        <v>1</v>
      </c>
      <c r="U79" s="694">
        <v>2</v>
      </c>
      <c r="V79" s="694">
        <v>3</v>
      </c>
      <c r="W79" s="694">
        <f t="shared" si="0"/>
        <v>0</v>
      </c>
      <c r="X79">
        <f t="shared" si="1"/>
        <v>0</v>
      </c>
      <c r="Y79" s="1"/>
    </row>
    <row r="80" spans="1:25" s="773" customFormat="1" x14ac:dyDescent="0.2">
      <c r="A80" s="320" t="s">
        <v>2224</v>
      </c>
      <c r="B80" s="1" t="s">
        <v>1425</v>
      </c>
      <c r="C80" s="555">
        <f>NH4Cl_tanks</f>
        <v>0</v>
      </c>
      <c r="D80" s="355" t="s">
        <v>606</v>
      </c>
      <c r="E80" s="549" t="str">
        <f>IF(C80=0,"NA",NH4Cl_tank_vol)</f>
        <v>NA</v>
      </c>
      <c r="F80" s="1" t="str">
        <f>IF(C80=0,"","gal")</f>
        <v/>
      </c>
      <c r="G80" s="549" t="str">
        <f>IF(C80=0,"NA",IF(curve=1,NH4Cl_tank_vol,VLOOKUP(NH4Cl_tank_vol,fg_cst_cost_cl,2)))</f>
        <v>NA</v>
      </c>
      <c r="H80" s="510" t="str">
        <f>IF(C80=0,"","gal")</f>
        <v/>
      </c>
      <c r="I80" s="686" t="str">
        <f>IF(C80=0,"NA",IF(curve=1,fg_NH4Cl_st_eq,VLOOKUP(NH4Cl_tank_vol,fg_cst_cost_cl,3)))</f>
        <v>NA</v>
      </c>
      <c r="J80" s="356" t="str">
        <f>IF(OR(C80=0,I80="contact vendor"),"--",C80*I80)</f>
        <v>--</v>
      </c>
      <c r="K80" s="195" t="str">
        <f>IF(C80=0,"NA",VLOOKUP(NH4Cl_tank_vol,fg_cst_cost_cl,IF(ss_cat="large",4,5)))</f>
        <v>NA</v>
      </c>
      <c r="L80" s="354"/>
      <c r="M80" s="5" t="str">
        <f>$B$67&amp;" - "&amp;$B$78&amp;" - "&amp;B80</f>
        <v>Tanks - Ammonium Chloride Storage Tanks - Fiberglass</v>
      </c>
      <c r="N80" s="694">
        <v>2</v>
      </c>
      <c r="O80" s="694">
        <v>1</v>
      </c>
      <c r="P80" s="694">
        <v>2</v>
      </c>
      <c r="Q80" s="694">
        <v>2</v>
      </c>
      <c r="R80" s="694">
        <v>1</v>
      </c>
      <c r="S80" s="694">
        <v>2</v>
      </c>
      <c r="T80" s="694">
        <v>2</v>
      </c>
      <c r="U80" s="694">
        <v>1</v>
      </c>
      <c r="V80" s="694">
        <v>2</v>
      </c>
      <c r="W80" s="694">
        <f t="shared" si="0"/>
        <v>0</v>
      </c>
      <c r="X80">
        <f t="shared" si="1"/>
        <v>0</v>
      </c>
      <c r="Y80" s="1"/>
    </row>
    <row r="81" spans="1:25" s="773" customFormat="1" x14ac:dyDescent="0.2">
      <c r="A81" s="320" t="s">
        <v>2224</v>
      </c>
      <c r="B81" s="1" t="s">
        <v>1421</v>
      </c>
      <c r="C81" s="555">
        <f>NH4Cl_tanks</f>
        <v>0</v>
      </c>
      <c r="D81" s="355" t="s">
        <v>606</v>
      </c>
      <c r="E81" s="549" t="str">
        <f>IF(C81=0,"NA",NH4Cl_tank_vol)</f>
        <v>NA</v>
      </c>
      <c r="F81" s="1" t="str">
        <f>IF(C81=0,"","gal")</f>
        <v/>
      </c>
      <c r="G81" s="549" t="str">
        <f>IF(C81=0,"NA",IF(curve=1,NH4Cl_tank_vol,VLOOKUP(NH4Cl_tank_vol,ss_cst_cost_cl,2)))</f>
        <v>NA</v>
      </c>
      <c r="H81" s="510" t="str">
        <f>IF(C81=0,"","gal")</f>
        <v/>
      </c>
      <c r="I81" s="686" t="str">
        <f>IF(C81=0,"NA",IF(curve=1,ss_NH4Cl_st_eq,VLOOKUP(NH4Cl_tank_vol,ss_cst_cost_cl,3)))</f>
        <v>NA</v>
      </c>
      <c r="J81" s="356" t="str">
        <f>IF(OR(C81=0,I81="contact vendor"),"--",C81*I81)</f>
        <v>--</v>
      </c>
      <c r="K81" s="195" t="str">
        <f>IF(C81=0,"NA",VLOOKUP(NH4Cl_tank_vol,ss_cst_cost_cl,IF(ss_cat="large",4,5)))</f>
        <v>NA</v>
      </c>
      <c r="L81" s="354"/>
      <c r="M81" s="5" t="str">
        <f>$B$67&amp;" - "&amp;$B$78&amp;" - "&amp;B81</f>
        <v>Tanks - Ammonium Chloride Storage Tanks - Stainless Steel</v>
      </c>
      <c r="N81" s="694">
        <v>3</v>
      </c>
      <c r="O81" s="694">
        <v>3</v>
      </c>
      <c r="P81" s="694">
        <v>1</v>
      </c>
      <c r="Q81" s="694">
        <v>3</v>
      </c>
      <c r="R81" s="694">
        <v>3</v>
      </c>
      <c r="S81" s="694">
        <v>1</v>
      </c>
      <c r="T81" s="694">
        <v>3</v>
      </c>
      <c r="U81" s="694">
        <v>3</v>
      </c>
      <c r="V81" s="694">
        <v>1</v>
      </c>
      <c r="W81" s="694">
        <f t="shared" si="0"/>
        <v>0</v>
      </c>
      <c r="X81">
        <f t="shared" si="1"/>
        <v>0</v>
      </c>
      <c r="Y81" s="1"/>
    </row>
    <row r="82" spans="1:25" s="773" customFormat="1" x14ac:dyDescent="0.2">
      <c r="A82" s="320" t="s">
        <v>4147</v>
      </c>
      <c r="B82" s="1" t="s">
        <v>4145</v>
      </c>
      <c r="C82" s="555">
        <f>IF(OR(include_sec_cont=0,NH4Cl_tanks=0),0,NH4Cl_st_curb_concrete)</f>
        <v>0</v>
      </c>
      <c r="D82" s="355" t="s">
        <v>2458</v>
      </c>
      <c r="E82" s="649" t="s">
        <v>590</v>
      </c>
      <c r="F82" s="30"/>
      <c r="G82" s="649" t="s">
        <v>590</v>
      </c>
      <c r="H82" s="30"/>
      <c r="I82" s="357" t="str">
        <f>IF(C82=0,"NA",VLOOKUP(0,conc_basin_cost_cl,3))</f>
        <v>NA</v>
      </c>
      <c r="J82" s="353" t="str">
        <f>IF(C82=0,"--",IF(I82="contact vendor","--",C82*I82))</f>
        <v>--</v>
      </c>
      <c r="K82" s="352" t="str">
        <f>IF(C82=0,"NA",VLOOKUP(0,conc_basin_cost_cl,IF(ss_cat="large",4,5)))</f>
        <v>NA</v>
      </c>
      <c r="L82" s="354"/>
      <c r="M82" s="5" t="str">
        <f>$B$67&amp;" - "&amp;$B$78&amp;" - "&amp;B82</f>
        <v>Tanks - Ammonium Chloride Storage Tanks - Secondary Containment - Concrete Curbing</v>
      </c>
      <c r="N82" s="694">
        <v>1</v>
      </c>
      <c r="O82" s="694">
        <v>1</v>
      </c>
      <c r="P82" s="694">
        <v>1</v>
      </c>
      <c r="Q82" s="694">
        <v>1</v>
      </c>
      <c r="R82" s="694">
        <v>1</v>
      </c>
      <c r="S82" s="694">
        <v>1</v>
      </c>
      <c r="T82" s="694">
        <v>1</v>
      </c>
      <c r="U82" s="694">
        <v>1</v>
      </c>
      <c r="V82" s="694">
        <v>1</v>
      </c>
      <c r="W82" s="694">
        <f t="shared" si="0"/>
        <v>0</v>
      </c>
      <c r="X82">
        <f t="shared" si="1"/>
        <v>0</v>
      </c>
      <c r="Y82" s="1"/>
    </row>
    <row r="83" spans="1:25" s="773" customFormat="1" x14ac:dyDescent="0.2">
      <c r="A83" s="320" t="s">
        <v>4148</v>
      </c>
      <c r="B83" s="1" t="s">
        <v>4146</v>
      </c>
      <c r="C83" s="555">
        <f>IF(OR(include_sec_cont=0,NH4Cl_tanks=0),0,NH4Cl_st_coating_gal)</f>
        <v>0</v>
      </c>
      <c r="D83" s="355" t="s">
        <v>1332</v>
      </c>
      <c r="E83" s="649" t="s">
        <v>590</v>
      </c>
      <c r="F83" s="30"/>
      <c r="G83" s="649" t="s">
        <v>590</v>
      </c>
      <c r="H83" s="30"/>
      <c r="I83" s="357" t="str">
        <f>IF(C83=0,"NA",VLOOKUP(0,conc_coating_cost_cl,3))</f>
        <v>NA</v>
      </c>
      <c r="J83" s="353" t="str">
        <f>IF(C83=0,"--",IF(I83="contact vendor","--",C83*I83))</f>
        <v>--</v>
      </c>
      <c r="K83" s="352" t="str">
        <f>IF(C83=0,"NA",VLOOKUP(0,conc_coating_cost_cl,IF(ss_cat="large",4,5)))</f>
        <v>NA</v>
      </c>
      <c r="L83" s="354"/>
      <c r="M83" s="5" t="str">
        <f>$B$67&amp;" - "&amp;$B$78&amp;" - "&amp;B83</f>
        <v>Tanks - Ammonium Chloride Storage Tanks - Secondary Containment - Chemical Resistant Coating</v>
      </c>
      <c r="N83" s="694">
        <v>1</v>
      </c>
      <c r="O83" s="694">
        <v>1</v>
      </c>
      <c r="P83" s="694">
        <v>1</v>
      </c>
      <c r="Q83" s="694">
        <v>1</v>
      </c>
      <c r="R83" s="694">
        <v>1</v>
      </c>
      <c r="S83" s="694">
        <v>1</v>
      </c>
      <c r="T83" s="694">
        <v>1</v>
      </c>
      <c r="U83" s="694">
        <v>1</v>
      </c>
      <c r="V83" s="694">
        <v>1</v>
      </c>
      <c r="W83" s="694">
        <f t="shared" si="0"/>
        <v>0</v>
      </c>
      <c r="X83">
        <f t="shared" si="1"/>
        <v>0</v>
      </c>
      <c r="Y83" s="1"/>
    </row>
    <row r="84" spans="1:25" x14ac:dyDescent="0.2">
      <c r="A84" s="537" t="s">
        <v>2225</v>
      </c>
      <c r="B84" s="13" t="s">
        <v>2040</v>
      </c>
      <c r="C84" s="554"/>
      <c r="D84" s="272"/>
      <c r="E84" s="283"/>
      <c r="F84" s="511"/>
      <c r="G84" s="529"/>
      <c r="H84" s="511"/>
      <c r="I84" s="284"/>
      <c r="J84" s="283"/>
      <c r="K84" s="283"/>
      <c r="L84" s="192"/>
      <c r="M84" s="5"/>
      <c r="N84" s="695"/>
      <c r="O84" s="695"/>
      <c r="P84" s="695"/>
      <c r="Q84" s="695"/>
      <c r="R84" s="695"/>
      <c r="S84" s="695"/>
      <c r="T84" s="695"/>
      <c r="U84" s="695"/>
      <c r="V84" s="695"/>
      <c r="W84" s="694">
        <f t="shared" si="0"/>
        <v>0</v>
      </c>
      <c r="X84">
        <f t="shared" si="1"/>
        <v>0</v>
      </c>
      <c r="Y84"/>
    </row>
    <row r="85" spans="1:25" s="773" customFormat="1" x14ac:dyDescent="0.2">
      <c r="A85" s="320" t="s">
        <v>2226</v>
      </c>
      <c r="B85" s="1" t="s">
        <v>3928</v>
      </c>
      <c r="C85" s="555">
        <f>H3PO4_tanks</f>
        <v>1</v>
      </c>
      <c r="D85" s="355" t="s">
        <v>606</v>
      </c>
      <c r="E85" s="549">
        <f>IF(C85=0,"NA",H3PO4_tank_vol)</f>
        <v>3</v>
      </c>
      <c r="F85" s="1" t="str">
        <f>IF(C85=0,"","gal")</f>
        <v>gal</v>
      </c>
      <c r="G85" s="549">
        <f>IF(C85=0,"NA",IF(curve=1,H3PO4_tank_vol,VLOOKUP(H3PO4_tank_vol,pl_cst_cost_cl,2)))</f>
        <v>3</v>
      </c>
      <c r="H85" s="510" t="str">
        <f>IF(C85=0,"","gal")</f>
        <v>gal</v>
      </c>
      <c r="I85" s="686">
        <f>IF(C85=0,"NA",IF(curve=1,pl_H3PO4_st_eq,VLOOKUP(H3PO4_tank_vol,pl_cst_cost_cl,3)))</f>
        <v>714.21687895899993</v>
      </c>
      <c r="J85" s="356">
        <f>IF(OR(C85=0,I85="contact vendor"),"--",C85*I85)</f>
        <v>714.21687895899993</v>
      </c>
      <c r="K85" s="195">
        <f>IF(C85=0,"NA",VLOOKUP(H3PO4_tank_vol,pl_cst_cost_cl,IF(ss_cat="large",4,5)))</f>
        <v>7</v>
      </c>
      <c r="L85" s="354">
        <v>1</v>
      </c>
      <c r="M85" s="5" t="str">
        <f>$B$67&amp;" - "&amp;$B$84&amp;" - "&amp;B85</f>
        <v>Tanks - Phosphoric Acid Storage Tanks - Plastic/XLPE</v>
      </c>
      <c r="N85" s="694">
        <v>1</v>
      </c>
      <c r="O85" s="694">
        <v>2</v>
      </c>
      <c r="P85" s="694">
        <v>2</v>
      </c>
      <c r="Q85" s="694">
        <v>1</v>
      </c>
      <c r="R85" s="694">
        <v>2</v>
      </c>
      <c r="S85" s="694">
        <v>2</v>
      </c>
      <c r="T85" s="694">
        <v>1</v>
      </c>
      <c r="U85" s="694">
        <v>2</v>
      </c>
      <c r="V85" s="694">
        <v>2</v>
      </c>
      <c r="W85" s="694">
        <f t="shared" si="0"/>
        <v>1</v>
      </c>
      <c r="X85">
        <f t="shared" si="1"/>
        <v>102.03098270842857</v>
      </c>
      <c r="Y85" s="1"/>
    </row>
    <row r="86" spans="1:25" s="773" customFormat="1" x14ac:dyDescent="0.2">
      <c r="A86" s="320" t="s">
        <v>2226</v>
      </c>
      <c r="B86" s="1" t="s">
        <v>1425</v>
      </c>
      <c r="C86" s="555">
        <f>H3PO4_tanks</f>
        <v>1</v>
      </c>
      <c r="D86" s="355" t="s">
        <v>606</v>
      </c>
      <c r="E86" s="549">
        <f>IF(C86=0,"NA",H3PO4_tank_vol)</f>
        <v>3</v>
      </c>
      <c r="F86" s="1" t="str">
        <f>IF(C86=0,"","gal")</f>
        <v>gal</v>
      </c>
      <c r="G86" s="549">
        <f>IF(C86=0,"NA",IF(curve=1,H3PO4_tank_vol,VLOOKUP(H3PO4_tank_vol,fg_cst_cost_cl,2)))</f>
        <v>3</v>
      </c>
      <c r="H86" s="510" t="str">
        <f>IF(C86=0,"","gal")</f>
        <v>gal</v>
      </c>
      <c r="I86" s="686">
        <f>IF(C86=0,"NA",IF(curve=1,fg_H3PO4_st_eq,VLOOKUP(H3PO4_day_vol,fg_cst_cost_cl,3)))</f>
        <v>475.30091857338863</v>
      </c>
      <c r="J86" s="356">
        <f>IF(OR(C86=0,I86="contact vendor"),"--",C86*I86)</f>
        <v>475.30091857338863</v>
      </c>
      <c r="K86" s="195">
        <f>IF(C86=0,"NA",VLOOKUP(H3PO4_tank_vol,fg_cst_cost_cl,IF(ss_cat="large",4,5)))</f>
        <v>7</v>
      </c>
      <c r="L86" s="354">
        <v>0</v>
      </c>
      <c r="M86" s="5" t="str">
        <f>$B$67&amp;" - "&amp;$B$84&amp;" - "&amp;B86</f>
        <v>Tanks - Phosphoric Acid Storage Tanks - Fiberglass</v>
      </c>
      <c r="N86" s="694">
        <v>2</v>
      </c>
      <c r="O86" s="694">
        <v>1</v>
      </c>
      <c r="P86" s="694">
        <v>1</v>
      </c>
      <c r="Q86" s="694">
        <v>2</v>
      </c>
      <c r="R86" s="694">
        <v>1</v>
      </c>
      <c r="S86" s="694">
        <v>1</v>
      </c>
      <c r="T86" s="694">
        <v>2</v>
      </c>
      <c r="U86" s="694">
        <v>1</v>
      </c>
      <c r="V86" s="694">
        <v>1</v>
      </c>
      <c r="W86" s="694">
        <f t="shared" si="0"/>
        <v>0</v>
      </c>
      <c r="X86">
        <f t="shared" si="1"/>
        <v>0</v>
      </c>
      <c r="Y86" s="1"/>
    </row>
    <row r="87" spans="1:25" s="773" customFormat="1" x14ac:dyDescent="0.2">
      <c r="A87" s="320" t="s">
        <v>4149</v>
      </c>
      <c r="B87" s="1" t="s">
        <v>4145</v>
      </c>
      <c r="C87" s="555">
        <f>IF(OR(include_sec_cont=0,H3PO4_tanks=0),0,H3PO4_st_curb_concrete)</f>
        <v>1</v>
      </c>
      <c r="D87" s="355" t="s">
        <v>2458</v>
      </c>
      <c r="E87" s="649" t="s">
        <v>590</v>
      </c>
      <c r="F87" s="30"/>
      <c r="G87" s="649" t="s">
        <v>590</v>
      </c>
      <c r="H87" s="30"/>
      <c r="I87" s="357">
        <f>IF(C87=0,"NA",VLOOKUP(0,conc_basin_cost_cl,3))</f>
        <v>739.60558874747949</v>
      </c>
      <c r="J87" s="353">
        <f>IF(C87=0,"--",IF(I87="contact vendor","--",C87*I87))</f>
        <v>739.60558874747949</v>
      </c>
      <c r="K87" s="352">
        <f>IF(C87=0,"NA",VLOOKUP(0,conc_basin_cost_cl,IF(ss_cat="large",4,5)))</f>
        <v>37</v>
      </c>
      <c r="L87" s="354">
        <v>1</v>
      </c>
      <c r="M87" s="5" t="str">
        <f t="shared" ref="M87:M88" si="6">$B$67&amp;" - "&amp;$B$84&amp;" - "&amp;B87</f>
        <v>Tanks - Phosphoric Acid Storage Tanks - Secondary Containment - Concrete Curbing</v>
      </c>
      <c r="N87" s="694">
        <v>1</v>
      </c>
      <c r="O87" s="694">
        <v>1</v>
      </c>
      <c r="P87" s="694">
        <v>1</v>
      </c>
      <c r="Q87" s="694">
        <v>1</v>
      </c>
      <c r="R87" s="694">
        <v>1</v>
      </c>
      <c r="S87" s="694">
        <v>1</v>
      </c>
      <c r="T87" s="694">
        <v>1</v>
      </c>
      <c r="U87" s="694">
        <v>1</v>
      </c>
      <c r="V87" s="694">
        <v>1</v>
      </c>
      <c r="W87" s="694">
        <f>IF(ISERROR(K87*L87),0,IF(K87&lt;1,0,L87))</f>
        <v>1</v>
      </c>
      <c r="X87">
        <f>IF(W87,J87/K87,0)</f>
        <v>19.989340236418364</v>
      </c>
      <c r="Y87" s="1"/>
    </row>
    <row r="88" spans="1:25" s="773" customFormat="1" x14ac:dyDescent="0.2">
      <c r="A88" s="320" t="s">
        <v>4150</v>
      </c>
      <c r="B88" s="1" t="s">
        <v>4146</v>
      </c>
      <c r="C88" s="555">
        <f>IF(OR(include_sec_cont=0,H3PO4_tanks=0),0,H3PO4_st_coating_gal)</f>
        <v>1</v>
      </c>
      <c r="D88" s="355" t="s">
        <v>1332</v>
      </c>
      <c r="E88" s="649" t="s">
        <v>590</v>
      </c>
      <c r="F88" s="30"/>
      <c r="G88" s="649" t="s">
        <v>590</v>
      </c>
      <c r="H88" s="30"/>
      <c r="I88" s="357">
        <f>IF(C88=0,"NA",VLOOKUP(0,conc_coating_cost_cl,3))</f>
        <v>389.13</v>
      </c>
      <c r="J88" s="353">
        <f>IF(C88=0,"--",IF(I88="contact vendor","--",C88*I88))</f>
        <v>389.13</v>
      </c>
      <c r="K88" s="352">
        <f>IF(C88=0,"NA",VLOOKUP(0,conc_coating_cost_cl,IF(ss_cat="large",4,5)))</f>
        <v>10</v>
      </c>
      <c r="L88" s="354">
        <v>1</v>
      </c>
      <c r="M88" s="5" t="str">
        <f t="shared" si="6"/>
        <v>Tanks - Phosphoric Acid Storage Tanks - Secondary Containment - Chemical Resistant Coating</v>
      </c>
      <c r="N88" s="694">
        <v>1</v>
      </c>
      <c r="O88" s="694">
        <v>1</v>
      </c>
      <c r="P88" s="694">
        <v>1</v>
      </c>
      <c r="Q88" s="694">
        <v>1</v>
      </c>
      <c r="R88" s="694">
        <v>1</v>
      </c>
      <c r="S88" s="694">
        <v>1</v>
      </c>
      <c r="T88" s="694">
        <v>1</v>
      </c>
      <c r="U88" s="694">
        <v>1</v>
      </c>
      <c r="V88" s="694">
        <v>1</v>
      </c>
      <c r="W88" s="694">
        <f>IF(ISERROR(K88*L88),0,IF(K88&lt;1,0,L88))</f>
        <v>1</v>
      </c>
      <c r="X88">
        <f>IF(W88,J88/K88,0)</f>
        <v>38.912999999999997</v>
      </c>
      <c r="Y88" s="1"/>
    </row>
    <row r="89" spans="1:25" x14ac:dyDescent="0.2">
      <c r="A89" s="473">
        <v>3.5</v>
      </c>
      <c r="B89" s="13" t="s">
        <v>943</v>
      </c>
      <c r="C89" s="554"/>
      <c r="D89" s="272"/>
      <c r="E89" s="283"/>
      <c r="F89" s="511"/>
      <c r="G89" s="529"/>
      <c r="H89" s="511"/>
      <c r="I89" s="284"/>
      <c r="J89" s="283"/>
      <c r="K89" s="283"/>
      <c r="L89" s="192"/>
      <c r="M89" s="5"/>
      <c r="N89" s="695"/>
      <c r="O89" s="695"/>
      <c r="P89" s="695"/>
      <c r="Q89" s="695"/>
      <c r="R89" s="695"/>
      <c r="S89" s="695"/>
      <c r="T89" s="695"/>
      <c r="U89" s="695"/>
      <c r="V89" s="695"/>
      <c r="W89" s="694">
        <f t="shared" si="0"/>
        <v>0</v>
      </c>
      <c r="X89">
        <f t="shared" si="1"/>
        <v>0</v>
      </c>
      <c r="Y89"/>
    </row>
    <row r="90" spans="1:25" s="773" customFormat="1" x14ac:dyDescent="0.2">
      <c r="A90" s="320" t="s">
        <v>2227</v>
      </c>
      <c r="B90" s="1" t="s">
        <v>3928</v>
      </c>
      <c r="C90" s="555">
        <f>e_donor_day_tanks</f>
        <v>1</v>
      </c>
      <c r="D90" s="355" t="s">
        <v>606</v>
      </c>
      <c r="E90" s="549">
        <f>IF(C90=0,"NA",e_donor_day_tank_vol)</f>
        <v>22</v>
      </c>
      <c r="F90" s="1" t="str">
        <f>IF(C90=0,"","gal")</f>
        <v>gal</v>
      </c>
      <c r="G90" s="549">
        <f>IF(C90=0,"NA",IF(curve=1,e_donor_day_tank_vol,VLOOKUP(e_donor_day_tank_vol,pl_cst_cost_cl,2)))</f>
        <v>22</v>
      </c>
      <c r="H90" s="510" t="str">
        <f>IF(C90=0,"","gal")</f>
        <v>gal</v>
      </c>
      <c r="I90" s="686">
        <f>IF(C90=0,"NA",IF(curve=1,pl_e_donor_day_eq,VLOOKUP(e_donor_day_tank_vol,pl_cst_cost_cl,3)))</f>
        <v>735.683370685</v>
      </c>
      <c r="J90" s="356">
        <f>IF(OR(C90=0,I90="contact vendor"),"--",C90*I90)</f>
        <v>735.683370685</v>
      </c>
      <c r="K90" s="195">
        <f>IF(C90=0,"NA",VLOOKUP(e_donor_day_tank_vol,pl_cst_cost_cl,IF(ss_cat="large",4,5)))</f>
        <v>7</v>
      </c>
      <c r="L90" s="354">
        <v>1</v>
      </c>
      <c r="M90" s="5" t="str">
        <f>$B$67&amp;" - "&amp;$B$89&amp;" - "&amp;B90</f>
        <v>Tanks - Electron Donor Day Tanks - Plastic/XLPE</v>
      </c>
      <c r="N90" s="694">
        <v>1</v>
      </c>
      <c r="O90" s="694">
        <v>2</v>
      </c>
      <c r="P90" s="694">
        <v>3</v>
      </c>
      <c r="Q90" s="694">
        <v>1</v>
      </c>
      <c r="R90" s="694">
        <v>2</v>
      </c>
      <c r="S90" s="694">
        <v>3</v>
      </c>
      <c r="T90" s="694">
        <v>1</v>
      </c>
      <c r="U90" s="694">
        <v>2</v>
      </c>
      <c r="V90" s="694">
        <v>3</v>
      </c>
      <c r="W90" s="694">
        <f t="shared" si="0"/>
        <v>1</v>
      </c>
      <c r="X90">
        <f t="shared" si="1"/>
        <v>105.09762438357143</v>
      </c>
      <c r="Y90" s="1"/>
    </row>
    <row r="91" spans="1:25" s="773" customFormat="1" x14ac:dyDescent="0.2">
      <c r="A91" s="320" t="s">
        <v>2227</v>
      </c>
      <c r="B91" s="1" t="s">
        <v>1425</v>
      </c>
      <c r="C91" s="555">
        <f>e_donor_day_tanks</f>
        <v>1</v>
      </c>
      <c r="D91" s="355" t="s">
        <v>606</v>
      </c>
      <c r="E91" s="549">
        <f>IF(C91=0,"NA",e_donor_day_tank_vol)</f>
        <v>22</v>
      </c>
      <c r="F91" s="1" t="str">
        <f>IF(C91=0,"","gal")</f>
        <v>gal</v>
      </c>
      <c r="G91" s="549">
        <f>IF(C91=0,"NA",IF(curve=1,e_donor_day_tank_vol,VLOOKUP(e_donor_day_tank_vol,fg_cst_cost_cl,2)))</f>
        <v>22</v>
      </c>
      <c r="H91" s="510" t="str">
        <f>IF(C91=0,"","gal")</f>
        <v>gal</v>
      </c>
      <c r="I91" s="686">
        <f>IF(C91=0,"NA",IF(curve=1,fg_e_donor_day_eq,VLOOKUP(e_donor_day_tank_vol,fg_cst_cost_cl,3)))</f>
        <v>1425.8557096388986</v>
      </c>
      <c r="J91" s="356">
        <f>IF(OR(C91=0,I91="contact vendor"),"--",C91*I91)</f>
        <v>1425.8557096388986</v>
      </c>
      <c r="K91" s="195">
        <f>IF(C91=0,"NA",VLOOKUP(e_donor_day_tank_vol,fg_cst_cost_cl,IF(ss_cat="large",4,5)))</f>
        <v>7</v>
      </c>
      <c r="L91" s="354">
        <v>0</v>
      </c>
      <c r="M91" s="5" t="str">
        <f>$B$67&amp;" - "&amp;$B$89&amp;" - "&amp;B91</f>
        <v>Tanks - Electron Donor Day Tanks - Fiberglass</v>
      </c>
      <c r="N91" s="694">
        <v>2</v>
      </c>
      <c r="O91" s="694">
        <v>1</v>
      </c>
      <c r="P91" s="694">
        <v>2</v>
      </c>
      <c r="Q91" s="694">
        <v>2</v>
      </c>
      <c r="R91" s="694">
        <v>1</v>
      </c>
      <c r="S91" s="694">
        <v>2</v>
      </c>
      <c r="T91" s="694">
        <v>2</v>
      </c>
      <c r="U91" s="694">
        <v>1</v>
      </c>
      <c r="V91" s="694">
        <v>2</v>
      </c>
      <c r="W91" s="694">
        <f t="shared" si="0"/>
        <v>0</v>
      </c>
      <c r="X91">
        <f t="shared" si="1"/>
        <v>0</v>
      </c>
      <c r="Y91" s="1"/>
    </row>
    <row r="92" spans="1:25" s="773" customFormat="1" x14ac:dyDescent="0.2">
      <c r="A92" s="320" t="s">
        <v>2227</v>
      </c>
      <c r="B92" s="1" t="s">
        <v>1421</v>
      </c>
      <c r="C92" s="555">
        <f>e_donor_day_tanks</f>
        <v>1</v>
      </c>
      <c r="D92" s="355" t="s">
        <v>606</v>
      </c>
      <c r="E92" s="549">
        <f>IF(C92=0,"NA",e_donor_day_tank_vol)</f>
        <v>22</v>
      </c>
      <c r="F92" s="1" t="str">
        <f>IF(C92=0,"","gal")</f>
        <v>gal</v>
      </c>
      <c r="G92" s="549">
        <f>IF(C92=0,"NA",IF(curve=1,e_donor_day_tank_vol,VLOOKUP(e_donor_day_tank_vol,ss_cst_cost_cl,2)))</f>
        <v>22</v>
      </c>
      <c r="H92" s="510" t="str">
        <f>IF(C92=0,"","gal")</f>
        <v>gal</v>
      </c>
      <c r="I92" s="686">
        <f>IF(C92=0,"NA",IF(curve=1,ss_e_donor_day_eq,VLOOKUP(e_donor_day_tank_vol,ss_cst_cost_cl,3)))</f>
        <v>543.37826631653206</v>
      </c>
      <c r="J92" s="356">
        <f>IF(OR(C92=0,I92="contact vendor"),"--",C92*I92)</f>
        <v>543.37826631653206</v>
      </c>
      <c r="K92" s="195">
        <f>IF(C92=0,"NA",VLOOKUP(e_donor_day_tank_vol,ss_cst_cost_cl,IF(ss_cat="large",4,5)))</f>
        <v>30</v>
      </c>
      <c r="L92" s="354">
        <v>0</v>
      </c>
      <c r="M92" s="5" t="str">
        <f>$B$67&amp;" - "&amp;$B$89&amp;" - "&amp;B92</f>
        <v>Tanks - Electron Donor Day Tanks - Stainless Steel</v>
      </c>
      <c r="N92" s="694">
        <v>3</v>
      </c>
      <c r="O92" s="694">
        <v>3</v>
      </c>
      <c r="P92" s="694">
        <v>1</v>
      </c>
      <c r="Q92" s="694">
        <v>3</v>
      </c>
      <c r="R92" s="694">
        <v>3</v>
      </c>
      <c r="S92" s="694">
        <v>1</v>
      </c>
      <c r="T92" s="694">
        <v>3</v>
      </c>
      <c r="U92" s="694">
        <v>3</v>
      </c>
      <c r="V92" s="694">
        <v>1</v>
      </c>
      <c r="W92" s="694">
        <f t="shared" si="0"/>
        <v>0</v>
      </c>
      <c r="X92">
        <f t="shared" si="1"/>
        <v>0</v>
      </c>
      <c r="Y92" s="1"/>
    </row>
    <row r="93" spans="1:25" s="773" customFormat="1" x14ac:dyDescent="0.2">
      <c r="A93" s="320" t="s">
        <v>4151</v>
      </c>
      <c r="B93" s="1" t="s">
        <v>4145</v>
      </c>
      <c r="C93" s="555">
        <f>IF(OR(include_sec_cont=0,e_donor_day_tanks=0),0,e_donor_dt_curb_concrete)</f>
        <v>1</v>
      </c>
      <c r="D93" s="355" t="s">
        <v>2458</v>
      </c>
      <c r="E93" s="649" t="s">
        <v>590</v>
      </c>
      <c r="F93" s="30"/>
      <c r="G93" s="649" t="s">
        <v>590</v>
      </c>
      <c r="H93" s="30"/>
      <c r="I93" s="357">
        <f>IF(C93=0,"NA",VLOOKUP(0,conc_basin_cost_cl,3))</f>
        <v>739.60558874747949</v>
      </c>
      <c r="J93" s="353">
        <f>IF(C93=0,"--",IF(I93="contact vendor","--",C93*I93))</f>
        <v>739.60558874747949</v>
      </c>
      <c r="K93" s="352">
        <f>IF(C93=0,"NA",VLOOKUP(0,conc_basin_cost_cl,IF(ss_cat="large",4,5)))</f>
        <v>37</v>
      </c>
      <c r="L93" s="354">
        <v>1</v>
      </c>
      <c r="M93" s="5" t="str">
        <f>$B$67&amp;" - "&amp;$B$89&amp;" - "&amp;B93</f>
        <v>Tanks - Electron Donor Day Tanks - Secondary Containment - Concrete Curbing</v>
      </c>
      <c r="N93" s="694">
        <v>1</v>
      </c>
      <c r="O93" s="694">
        <v>1</v>
      </c>
      <c r="P93" s="694">
        <v>1</v>
      </c>
      <c r="Q93" s="694">
        <v>1</v>
      </c>
      <c r="R93" s="694">
        <v>1</v>
      </c>
      <c r="S93" s="694">
        <v>1</v>
      </c>
      <c r="T93" s="694">
        <v>1</v>
      </c>
      <c r="U93" s="694">
        <v>1</v>
      </c>
      <c r="V93" s="694">
        <v>1</v>
      </c>
      <c r="W93" s="694">
        <f>IF(ISERROR(K93*L93),0,IF(K93&lt;1,0,L93))</f>
        <v>1</v>
      </c>
      <c r="X93">
        <f>IF(W93,J93/K93,0)</f>
        <v>19.989340236418364</v>
      </c>
      <c r="Y93" s="1"/>
    </row>
    <row r="94" spans="1:25" s="773" customFormat="1" x14ac:dyDescent="0.2">
      <c r="A94" s="320" t="s">
        <v>4152</v>
      </c>
      <c r="B94" s="1" t="s">
        <v>4146</v>
      </c>
      <c r="C94" s="555">
        <f>IF(OR(include_sec_cont=0,e_donor_day_tanks=0),0,e_donor_dt_coating_gal)</f>
        <v>1</v>
      </c>
      <c r="D94" s="355" t="s">
        <v>1332</v>
      </c>
      <c r="E94" s="649" t="s">
        <v>590</v>
      </c>
      <c r="F94" s="30"/>
      <c r="G94" s="649" t="s">
        <v>590</v>
      </c>
      <c r="H94" s="30"/>
      <c r="I94" s="357">
        <f>IF(C94=0,"NA",VLOOKUP(0,conc_coating_cost_cl,3))</f>
        <v>389.13</v>
      </c>
      <c r="J94" s="353">
        <f>IF(C94=0,"--",IF(I94="contact vendor","--",C94*I94))</f>
        <v>389.13</v>
      </c>
      <c r="K94" s="352">
        <f>IF(C94=0,"NA",VLOOKUP(0,conc_coating_cost_cl,IF(ss_cat="large",4,5)))</f>
        <v>10</v>
      </c>
      <c r="L94" s="354">
        <v>1</v>
      </c>
      <c r="M94" s="5" t="str">
        <f>$B$67&amp;" - "&amp;$B$89&amp;" - "&amp;B94</f>
        <v>Tanks - Electron Donor Day Tanks - Secondary Containment - Chemical Resistant Coating</v>
      </c>
      <c r="N94" s="694">
        <v>1</v>
      </c>
      <c r="O94" s="694">
        <v>1</v>
      </c>
      <c r="P94" s="694">
        <v>1</v>
      </c>
      <c r="Q94" s="694">
        <v>1</v>
      </c>
      <c r="R94" s="694">
        <v>1</v>
      </c>
      <c r="S94" s="694">
        <v>1</v>
      </c>
      <c r="T94" s="694">
        <v>1</v>
      </c>
      <c r="U94" s="694">
        <v>1</v>
      </c>
      <c r="V94" s="694">
        <v>1</v>
      </c>
      <c r="W94" s="694">
        <f>IF(ISERROR(K94*L94),0,IF(K94&lt;1,0,L94))</f>
        <v>1</v>
      </c>
      <c r="X94">
        <f>IF(W94,J94/K94,0)</f>
        <v>38.912999999999997</v>
      </c>
      <c r="Y94" s="1"/>
    </row>
    <row r="95" spans="1:25" x14ac:dyDescent="0.2">
      <c r="A95" s="473">
        <v>3.6</v>
      </c>
      <c r="B95" s="13" t="s">
        <v>944</v>
      </c>
      <c r="C95" s="554"/>
      <c r="D95" s="272"/>
      <c r="E95" s="283"/>
      <c r="F95" s="511"/>
      <c r="G95" s="529"/>
      <c r="H95" s="511"/>
      <c r="I95" s="284"/>
      <c r="J95" s="283"/>
      <c r="K95" s="283"/>
      <c r="L95" s="192"/>
      <c r="M95" s="5"/>
      <c r="N95" s="695"/>
      <c r="O95" s="695"/>
      <c r="P95" s="695"/>
      <c r="Q95" s="695"/>
      <c r="R95" s="695"/>
      <c r="S95" s="695"/>
      <c r="T95" s="695"/>
      <c r="U95" s="695"/>
      <c r="V95" s="695"/>
      <c r="W95" s="694">
        <f t="shared" si="0"/>
        <v>0</v>
      </c>
      <c r="X95">
        <f t="shared" si="1"/>
        <v>0</v>
      </c>
      <c r="Y95"/>
    </row>
    <row r="96" spans="1:25" s="773" customFormat="1" x14ac:dyDescent="0.2">
      <c r="A96" s="320" t="s">
        <v>2228</v>
      </c>
      <c r="B96" s="1" t="s">
        <v>3928</v>
      </c>
      <c r="C96" s="555">
        <f>NH4Cl_day_tanks</f>
        <v>0</v>
      </c>
      <c r="D96" s="355" t="s">
        <v>606</v>
      </c>
      <c r="E96" s="549" t="str">
        <f>IF(C96=0,"NA",NH4Cl_day_tank_vol)</f>
        <v>NA</v>
      </c>
      <c r="F96" s="1" t="str">
        <f>IF(C96=0,"","gal")</f>
        <v/>
      </c>
      <c r="G96" s="549" t="str">
        <f>IF(C96=0,"NA",IF(curve=1,NH4Cl_day_tank_vol,VLOOKUP(NH4Cl_day_tank_vol,pl_cst_cost_cl,2)))</f>
        <v>NA</v>
      </c>
      <c r="H96" s="510" t="str">
        <f>IF(C96=0,"","gal")</f>
        <v/>
      </c>
      <c r="I96" s="686" t="str">
        <f>IF(C96=0,"NA",IF(curve=1,pl_NH4Cl_day_eq,VLOOKUP(NH4Cl_day_tank_vol,pl_cst_cost_cl,3)))</f>
        <v>NA</v>
      </c>
      <c r="J96" s="356" t="str">
        <f>IF(OR(C96=0,I96="contact vendor"),"--",C96*I96)</f>
        <v>--</v>
      </c>
      <c r="K96" s="195" t="str">
        <f>IF(C96=0,"NA",VLOOKUP(NH4Cl_day_tank_vol,pl_cst_cost_cl,IF(ss_cat="large",4,5)))</f>
        <v>NA</v>
      </c>
      <c r="L96" s="354"/>
      <c r="M96" s="5" t="str">
        <f>$B$67&amp;" - "&amp;$B$95&amp;" - "&amp;B96</f>
        <v>Tanks - Ammonium Chloride Day Tanks - Plastic/XLPE</v>
      </c>
      <c r="N96" s="694">
        <v>1</v>
      </c>
      <c r="O96" s="694">
        <v>2</v>
      </c>
      <c r="P96" s="694">
        <v>3</v>
      </c>
      <c r="Q96" s="694">
        <v>1</v>
      </c>
      <c r="R96" s="694">
        <v>2</v>
      </c>
      <c r="S96" s="694">
        <v>3</v>
      </c>
      <c r="T96" s="694">
        <v>1</v>
      </c>
      <c r="U96" s="694">
        <v>2</v>
      </c>
      <c r="V96" s="694">
        <v>3</v>
      </c>
      <c r="W96" s="694">
        <f t="shared" si="0"/>
        <v>0</v>
      </c>
      <c r="X96">
        <f t="shared" si="1"/>
        <v>0</v>
      </c>
      <c r="Y96" s="1"/>
    </row>
    <row r="97" spans="1:25" s="773" customFormat="1" x14ac:dyDescent="0.2">
      <c r="A97" s="320" t="s">
        <v>2228</v>
      </c>
      <c r="B97" s="1" t="s">
        <v>1425</v>
      </c>
      <c r="C97" s="555">
        <f>NH4Cl_day_tanks</f>
        <v>0</v>
      </c>
      <c r="D97" s="355" t="s">
        <v>606</v>
      </c>
      <c r="E97" s="549" t="str">
        <f>IF(C97=0,"NA",NH4Cl_day_tank_vol)</f>
        <v>NA</v>
      </c>
      <c r="F97" s="1" t="str">
        <f>IF(C97=0,"","gal")</f>
        <v/>
      </c>
      <c r="G97" s="549" t="str">
        <f>IF(C97=0,"NA",IF(curve=1,NH4Cl_day_tank_vol,VLOOKUP(NH4Cl_day_tank_vol,fg_cst_cost_cl,2)))</f>
        <v>NA</v>
      </c>
      <c r="H97" s="510" t="str">
        <f>IF(C97=0,"","gal")</f>
        <v/>
      </c>
      <c r="I97" s="686" t="str">
        <f>IF(C97=0,"NA",IF(curve=1,fg_NH4Cl_day_eq,VLOOKUP(NH4Cl_day_tank_vol,fg_cst_cost_cl,3)))</f>
        <v>NA</v>
      </c>
      <c r="J97" s="356" t="str">
        <f>IF(OR(C97=0,I97="contact vendor"),"--",C97*I97)</f>
        <v>--</v>
      </c>
      <c r="K97" s="195" t="str">
        <f>IF(C97=0,"NA",VLOOKUP(NH4Cl_day_tank_vol,fg_cst_cost_cl,IF(ss_cat="large",4,5)))</f>
        <v>NA</v>
      </c>
      <c r="L97" s="354"/>
      <c r="M97" s="5" t="str">
        <f>$B$67&amp;" - "&amp;$B$95&amp;" - "&amp;B97</f>
        <v>Tanks - Ammonium Chloride Day Tanks - Fiberglass</v>
      </c>
      <c r="N97" s="694">
        <v>2</v>
      </c>
      <c r="O97" s="694">
        <v>1</v>
      </c>
      <c r="P97" s="694">
        <v>2</v>
      </c>
      <c r="Q97" s="694">
        <v>2</v>
      </c>
      <c r="R97" s="694">
        <v>1</v>
      </c>
      <c r="S97" s="694">
        <v>2</v>
      </c>
      <c r="T97" s="694">
        <v>2</v>
      </c>
      <c r="U97" s="694">
        <v>1</v>
      </c>
      <c r="V97" s="694">
        <v>2</v>
      </c>
      <c r="W97" s="694">
        <f t="shared" si="0"/>
        <v>0</v>
      </c>
      <c r="X97">
        <f t="shared" si="1"/>
        <v>0</v>
      </c>
      <c r="Y97" s="1"/>
    </row>
    <row r="98" spans="1:25" s="773" customFormat="1" x14ac:dyDescent="0.2">
      <c r="A98" s="320" t="s">
        <v>2228</v>
      </c>
      <c r="B98" s="1" t="s">
        <v>1421</v>
      </c>
      <c r="C98" s="555">
        <f>NH4Cl_day_tanks</f>
        <v>0</v>
      </c>
      <c r="D98" s="355" t="s">
        <v>606</v>
      </c>
      <c r="E98" s="549" t="str">
        <f>IF(C98=0,"NA",NH4Cl_day_tank_vol)</f>
        <v>NA</v>
      </c>
      <c r="F98" s="1" t="str">
        <f>IF(C98=0,"","gal")</f>
        <v/>
      </c>
      <c r="G98" s="549" t="str">
        <f>IF(C98=0,"NA",IF(curve=1,NH4Cl_day_tank_vol,VLOOKUP(NH4Cl_day_tank_vol,ss_cst_cost_cl,2)))</f>
        <v>NA</v>
      </c>
      <c r="H98" s="510" t="str">
        <f>IF(C98=0,"","gal")</f>
        <v/>
      </c>
      <c r="I98" s="686" t="str">
        <f>IF(C98=0,"NA",IF(curve=1,ss_NH4Cl_day_eq,VLOOKUP(NH4Cl_day_tank_vol,ss_cst_cost_cl,3)))</f>
        <v>NA</v>
      </c>
      <c r="J98" s="356" t="str">
        <f>IF(OR(C98=0,I98="contact vendor"),"--",C98*I98)</f>
        <v>--</v>
      </c>
      <c r="K98" s="195" t="str">
        <f>IF(C98=0,"NA",VLOOKUP(NH4Cl_day_tank_vol,ss_cst_cost_cl,IF(ss_cat="large",4,5)))</f>
        <v>NA</v>
      </c>
      <c r="L98" s="354"/>
      <c r="M98" s="5" t="str">
        <f>$B$67&amp;" - "&amp;$B$95&amp;" - "&amp;B98</f>
        <v>Tanks - Ammonium Chloride Day Tanks - Stainless Steel</v>
      </c>
      <c r="N98" s="694">
        <v>3</v>
      </c>
      <c r="O98" s="694">
        <v>3</v>
      </c>
      <c r="P98" s="694">
        <v>1</v>
      </c>
      <c r="Q98" s="694">
        <v>3</v>
      </c>
      <c r="R98" s="694">
        <v>3</v>
      </c>
      <c r="S98" s="694">
        <v>1</v>
      </c>
      <c r="T98" s="694">
        <v>3</v>
      </c>
      <c r="U98" s="694">
        <v>3</v>
      </c>
      <c r="V98" s="694">
        <v>1</v>
      </c>
      <c r="W98" s="694">
        <f t="shared" si="0"/>
        <v>0</v>
      </c>
      <c r="X98">
        <f t="shared" si="1"/>
        <v>0</v>
      </c>
      <c r="Y98" s="1"/>
    </row>
    <row r="99" spans="1:25" s="773" customFormat="1" x14ac:dyDescent="0.2">
      <c r="A99" s="320" t="s">
        <v>4153</v>
      </c>
      <c r="B99" s="1" t="s">
        <v>4145</v>
      </c>
      <c r="C99" s="555">
        <f>IF(OR(include_sec_cont=0,NH4Cl_day_tanks=0),0,NH4Cl_dt_curb_concrete)</f>
        <v>0</v>
      </c>
      <c r="D99" s="355" t="s">
        <v>2458</v>
      </c>
      <c r="E99" s="649" t="s">
        <v>590</v>
      </c>
      <c r="F99" s="30"/>
      <c r="G99" s="649" t="s">
        <v>590</v>
      </c>
      <c r="H99" s="30"/>
      <c r="I99" s="357" t="str">
        <f>IF(C99=0,"NA",VLOOKUP(0,conc_basin_cost_cl,3))</f>
        <v>NA</v>
      </c>
      <c r="J99" s="353" t="str">
        <f>IF(C99=0,"--",IF(I99="contact vendor","--",C99*I99))</f>
        <v>--</v>
      </c>
      <c r="K99" s="352" t="str">
        <f>IF(C99=0,"NA",VLOOKUP(0,conc_basin_cost_cl,IF(ss_cat="large",4,5)))</f>
        <v>NA</v>
      </c>
      <c r="L99" s="354"/>
      <c r="M99" s="5" t="str">
        <f>$B$67&amp;" - "&amp;$B$95&amp;" - "&amp;B99</f>
        <v>Tanks - Ammonium Chloride Day Tanks - Secondary Containment - Concrete Curbing</v>
      </c>
      <c r="N99" s="694">
        <v>1</v>
      </c>
      <c r="O99" s="694">
        <v>1</v>
      </c>
      <c r="P99" s="694">
        <v>1</v>
      </c>
      <c r="Q99" s="694">
        <v>1</v>
      </c>
      <c r="R99" s="694">
        <v>1</v>
      </c>
      <c r="S99" s="694">
        <v>1</v>
      </c>
      <c r="T99" s="694">
        <v>1</v>
      </c>
      <c r="U99" s="694">
        <v>1</v>
      </c>
      <c r="V99" s="694">
        <v>1</v>
      </c>
      <c r="W99" s="694">
        <f>IF(ISERROR(K99*L99),0,IF(K99&lt;1,0,L99))</f>
        <v>0</v>
      </c>
      <c r="X99">
        <f>IF(W99,J99/K99,0)</f>
        <v>0</v>
      </c>
      <c r="Y99" s="1"/>
    </row>
    <row r="100" spans="1:25" s="773" customFormat="1" x14ac:dyDescent="0.2">
      <c r="A100" s="320" t="s">
        <v>4154</v>
      </c>
      <c r="B100" s="1" t="s">
        <v>4146</v>
      </c>
      <c r="C100" s="555">
        <f>IF(OR(include_sec_cont=0,NH4Cl_day_tanks=0),0,NH4Cl_dt_coating_gal)</f>
        <v>0</v>
      </c>
      <c r="D100" s="355" t="s">
        <v>1332</v>
      </c>
      <c r="E100" s="649" t="s">
        <v>590</v>
      </c>
      <c r="F100" s="30"/>
      <c r="G100" s="649" t="s">
        <v>590</v>
      </c>
      <c r="H100" s="30"/>
      <c r="I100" s="357" t="str">
        <f>IF(C100=0,"NA",VLOOKUP(0,conc_coating_cost_cl,3))</f>
        <v>NA</v>
      </c>
      <c r="J100" s="353" t="str">
        <f>IF(C100=0,"--",IF(I100="contact vendor","--",C100*I100))</f>
        <v>--</v>
      </c>
      <c r="K100" s="352" t="str">
        <f>IF(C100=0,"NA",VLOOKUP(0,conc_coating_cost_cl,IF(ss_cat="large",4,5)))</f>
        <v>NA</v>
      </c>
      <c r="L100" s="354"/>
      <c r="M100" s="5" t="str">
        <f>$B$67&amp;" - "&amp;$B$95&amp;" - "&amp;B100</f>
        <v>Tanks - Ammonium Chloride Day Tanks - Secondary Containment - Chemical Resistant Coating</v>
      </c>
      <c r="N100" s="694">
        <v>1</v>
      </c>
      <c r="O100" s="694">
        <v>1</v>
      </c>
      <c r="P100" s="694">
        <v>1</v>
      </c>
      <c r="Q100" s="694">
        <v>1</v>
      </c>
      <c r="R100" s="694">
        <v>1</v>
      </c>
      <c r="S100" s="694">
        <v>1</v>
      </c>
      <c r="T100" s="694">
        <v>1</v>
      </c>
      <c r="U100" s="694">
        <v>1</v>
      </c>
      <c r="V100" s="694">
        <v>1</v>
      </c>
      <c r="W100" s="694">
        <f>IF(ISERROR(K100*L100),0,IF(K100&lt;1,0,L100))</f>
        <v>0</v>
      </c>
      <c r="X100">
        <f>IF(W100,J100/K100,0)</f>
        <v>0</v>
      </c>
      <c r="Y100" s="1"/>
    </row>
    <row r="101" spans="1:25" x14ac:dyDescent="0.2">
      <c r="A101" s="473">
        <v>3.7</v>
      </c>
      <c r="B101" s="13" t="s">
        <v>945</v>
      </c>
      <c r="C101" s="554"/>
      <c r="D101" s="272"/>
      <c r="E101" s="283"/>
      <c r="F101" s="511"/>
      <c r="G101" s="529"/>
      <c r="H101" s="511"/>
      <c r="I101" s="284"/>
      <c r="J101" s="283"/>
      <c r="K101" s="283"/>
      <c r="L101" s="192"/>
      <c r="M101" s="5"/>
      <c r="N101" s="695"/>
      <c r="O101" s="695"/>
      <c r="P101" s="695"/>
      <c r="Q101" s="695"/>
      <c r="R101" s="695"/>
      <c r="S101" s="695"/>
      <c r="T101" s="695"/>
      <c r="U101" s="695"/>
      <c r="V101" s="695"/>
      <c r="W101" s="694">
        <f t="shared" si="0"/>
        <v>0</v>
      </c>
      <c r="X101">
        <f t="shared" si="1"/>
        <v>0</v>
      </c>
      <c r="Y101"/>
    </row>
    <row r="102" spans="1:25" s="773" customFormat="1" x14ac:dyDescent="0.2">
      <c r="A102" s="320" t="s">
        <v>954</v>
      </c>
      <c r="B102" s="1" t="s">
        <v>3928</v>
      </c>
      <c r="C102" s="555">
        <f>H3PO4_day_tanks</f>
        <v>0</v>
      </c>
      <c r="D102" s="355" t="s">
        <v>606</v>
      </c>
      <c r="E102" s="549" t="str">
        <f>IF(C102=0,"NA",H3PO4_day_tank_vol)</f>
        <v>NA</v>
      </c>
      <c r="F102" s="1" t="str">
        <f>IF(C102=0,"","gal")</f>
        <v/>
      </c>
      <c r="G102" s="549" t="str">
        <f>IF(C102=0,"NA",IF(curve=1,H3PO4_day_tank_vol,VLOOKUP(H3PO4_day_tank_vol,pl_cst_cost_cl,2)))</f>
        <v>NA</v>
      </c>
      <c r="H102" s="510" t="str">
        <f>IF(C102=0,"","gal")</f>
        <v/>
      </c>
      <c r="I102" s="686" t="str">
        <f>IF(C102=0,"NA",IF(curve=1,pl_H3PO4_day_eq,VLOOKUP(H3PO4_day_tank_vol,pl_cst_cost_cl,3)))</f>
        <v>NA</v>
      </c>
      <c r="J102" s="356" t="str">
        <f>IF(OR(C102=0,I102="contact vendor"),"--",C102*I102)</f>
        <v>--</v>
      </c>
      <c r="K102" s="195" t="str">
        <f>IF(C102=0,"NA",VLOOKUP(H3PO4_day_tank_vol,pl_cst_cost_cl,IF(ss_cat="large",4,5)))</f>
        <v>NA</v>
      </c>
      <c r="L102" s="354"/>
      <c r="M102" s="5" t="str">
        <f>$B$67&amp;" - "&amp;$B$101&amp;" - "&amp;B102</f>
        <v>Tanks - Phosphoric Acid Day Tanks - Plastic/XLPE</v>
      </c>
      <c r="N102" s="694">
        <v>1</v>
      </c>
      <c r="O102" s="694">
        <v>2</v>
      </c>
      <c r="P102" s="694">
        <v>2</v>
      </c>
      <c r="Q102" s="694">
        <v>1</v>
      </c>
      <c r="R102" s="694">
        <v>2</v>
      </c>
      <c r="S102" s="694">
        <v>2</v>
      </c>
      <c r="T102" s="694">
        <v>1</v>
      </c>
      <c r="U102" s="694">
        <v>2</v>
      </c>
      <c r="V102" s="694">
        <v>2</v>
      </c>
      <c r="W102" s="694">
        <f t="shared" si="0"/>
        <v>0</v>
      </c>
      <c r="X102">
        <f t="shared" si="1"/>
        <v>0</v>
      </c>
      <c r="Y102" s="1"/>
    </row>
    <row r="103" spans="1:25" s="773" customFormat="1" x14ac:dyDescent="0.2">
      <c r="A103" s="320" t="s">
        <v>954</v>
      </c>
      <c r="B103" s="1" t="s">
        <v>1425</v>
      </c>
      <c r="C103" s="555">
        <f>H3PO4_day_tanks</f>
        <v>0</v>
      </c>
      <c r="D103" s="355" t="s">
        <v>606</v>
      </c>
      <c r="E103" s="549" t="str">
        <f>IF(C103=0,"NA",H3PO4_day_tank_vol)</f>
        <v>NA</v>
      </c>
      <c r="F103" s="1" t="str">
        <f>IF(C103=0,"","gal")</f>
        <v/>
      </c>
      <c r="G103" s="549" t="str">
        <f>IF(C103=0,"NA",IF(curve=1,H3PO4_tank_vol,VLOOKUP(H3PO4_tank_vol,fg_cst_cost_cl,2)))</f>
        <v>NA</v>
      </c>
      <c r="H103" s="510" t="str">
        <f>IF(C103=0,"","gal")</f>
        <v/>
      </c>
      <c r="I103" s="686" t="str">
        <f>IF(C103=0,"NA",IF(curve=1,fg_H3PO4_day_eq,VLOOKUP(H3PO4_day_tank_vol,fg_cst_cost_cl,3)))</f>
        <v>NA</v>
      </c>
      <c r="J103" s="356" t="str">
        <f>IF(OR(C103=0,I103="contact vendor"),"--",C103*I103)</f>
        <v>--</v>
      </c>
      <c r="K103" s="195" t="str">
        <f>IF(C103=0,"NA",VLOOKUP(H3PO4_day_tank_vol,fg_cst_cost_cl,IF(ss_cat="large",4,5)))</f>
        <v>NA</v>
      </c>
      <c r="L103" s="354"/>
      <c r="M103" s="5" t="str">
        <f>$B$67&amp;" - "&amp;$B$101&amp;" - "&amp;B103</f>
        <v>Tanks - Phosphoric Acid Day Tanks - Fiberglass</v>
      </c>
      <c r="N103" s="694">
        <v>2</v>
      </c>
      <c r="O103" s="694">
        <v>1</v>
      </c>
      <c r="P103" s="694">
        <v>1</v>
      </c>
      <c r="Q103" s="694">
        <v>2</v>
      </c>
      <c r="R103" s="694">
        <v>1</v>
      </c>
      <c r="S103" s="694">
        <v>1</v>
      </c>
      <c r="T103" s="694">
        <v>2</v>
      </c>
      <c r="U103" s="694">
        <v>1</v>
      </c>
      <c r="V103" s="694">
        <v>1</v>
      </c>
      <c r="W103" s="694">
        <f t="shared" si="0"/>
        <v>0</v>
      </c>
      <c r="X103">
        <f t="shared" si="1"/>
        <v>0</v>
      </c>
      <c r="Y103" s="1"/>
    </row>
    <row r="104" spans="1:25" s="773" customFormat="1" x14ac:dyDescent="0.2">
      <c r="A104" s="320" t="s">
        <v>4155</v>
      </c>
      <c r="B104" s="1" t="s">
        <v>4145</v>
      </c>
      <c r="C104" s="555">
        <f>IF(OR(include_sec_cont=0,H3PO4_day_tanks=0),0,H3PO4_dt_curb_concrete)</f>
        <v>0</v>
      </c>
      <c r="D104" s="355" t="s">
        <v>2458</v>
      </c>
      <c r="E104" s="649" t="s">
        <v>590</v>
      </c>
      <c r="F104" s="30"/>
      <c r="G104" s="649" t="s">
        <v>590</v>
      </c>
      <c r="H104" s="30"/>
      <c r="I104" s="357" t="str">
        <f>IF(C104=0,"NA",VLOOKUP(0,conc_basin_cost_cl,3))</f>
        <v>NA</v>
      </c>
      <c r="J104" s="353" t="str">
        <f>IF(C104=0,"--",IF(I104="contact vendor","--",C104*I104))</f>
        <v>--</v>
      </c>
      <c r="K104" s="352" t="str">
        <f>IF(C104=0,"NA",VLOOKUP(0,conc_basin_cost_cl,IF(ss_cat="large",4,5)))</f>
        <v>NA</v>
      </c>
      <c r="L104" s="354"/>
      <c r="M104" s="5" t="str">
        <f>$B$67&amp;" - "&amp;$B$101&amp;" - "&amp;B104</f>
        <v>Tanks - Phosphoric Acid Day Tanks - Secondary Containment - Concrete Curbing</v>
      </c>
      <c r="N104" s="694">
        <v>1</v>
      </c>
      <c r="O104" s="694">
        <v>1</v>
      </c>
      <c r="P104" s="694">
        <v>1</v>
      </c>
      <c r="Q104" s="694">
        <v>1</v>
      </c>
      <c r="R104" s="694">
        <v>1</v>
      </c>
      <c r="S104" s="694">
        <v>1</v>
      </c>
      <c r="T104" s="694">
        <v>1</v>
      </c>
      <c r="U104" s="694">
        <v>1</v>
      </c>
      <c r="V104" s="694">
        <v>1</v>
      </c>
      <c r="W104" s="694">
        <f>IF(ISERROR(K104*L104),0,IF(K104&lt;1,0,L104))</f>
        <v>0</v>
      </c>
      <c r="X104">
        <f>IF(W104,J104/K104,0)</f>
        <v>0</v>
      </c>
      <c r="Y104" s="1"/>
    </row>
    <row r="105" spans="1:25" s="773" customFormat="1" x14ac:dyDescent="0.2">
      <c r="A105" s="320" t="s">
        <v>4156</v>
      </c>
      <c r="B105" s="1" t="s">
        <v>4146</v>
      </c>
      <c r="C105" s="555">
        <f>IF(OR(include_sec_cont=0,H3PO4_day_tanks=0),0,H3PO4_dt_coating_gal)</f>
        <v>0</v>
      </c>
      <c r="D105" s="355" t="s">
        <v>1332</v>
      </c>
      <c r="E105" s="649" t="s">
        <v>590</v>
      </c>
      <c r="F105" s="30"/>
      <c r="G105" s="649" t="s">
        <v>590</v>
      </c>
      <c r="H105" s="30"/>
      <c r="I105" s="357" t="str">
        <f>IF(C105=0,"NA",VLOOKUP(0,conc_coating_cost_cl,3))</f>
        <v>NA</v>
      </c>
      <c r="J105" s="353" t="str">
        <f>IF(C105=0,"--",IF(I105="contact vendor","--",C105*I105))</f>
        <v>--</v>
      </c>
      <c r="K105" s="352" t="str">
        <f>IF(C105=0,"NA",VLOOKUP(0,conc_coating_cost_cl,IF(ss_cat="large",4,5)))</f>
        <v>NA</v>
      </c>
      <c r="L105" s="354"/>
      <c r="M105" s="5" t="str">
        <f>$B$67&amp;" - "&amp;$B$101&amp;" - "&amp;B105</f>
        <v>Tanks - Phosphoric Acid Day Tanks - Secondary Containment - Chemical Resistant Coating</v>
      </c>
      <c r="N105" s="694">
        <v>1</v>
      </c>
      <c r="O105" s="694">
        <v>1</v>
      </c>
      <c r="P105" s="694">
        <v>1</v>
      </c>
      <c r="Q105" s="694">
        <v>1</v>
      </c>
      <c r="R105" s="694">
        <v>1</v>
      </c>
      <c r="S105" s="694">
        <v>1</v>
      </c>
      <c r="T105" s="694">
        <v>1</v>
      </c>
      <c r="U105" s="694">
        <v>1</v>
      </c>
      <c r="V105" s="694">
        <v>1</v>
      </c>
      <c r="W105" s="694">
        <f>IF(ISERROR(K105*L105),0,IF(K105&lt;1,0,L105))</f>
        <v>0</v>
      </c>
      <c r="X105">
        <f>IF(W105,J105/K105,0)</f>
        <v>0</v>
      </c>
      <c r="Y105" s="1"/>
    </row>
    <row r="106" spans="1:25" x14ac:dyDescent="0.2">
      <c r="A106" s="473">
        <v>3.8</v>
      </c>
      <c r="B106" s="86" t="s">
        <v>650</v>
      </c>
      <c r="C106" s="556"/>
      <c r="D106" s="180"/>
      <c r="E106" s="530"/>
      <c r="F106" s="512"/>
      <c r="G106" s="530"/>
      <c r="H106" s="512"/>
      <c r="I106" s="370"/>
      <c r="J106" s="181"/>
      <c r="K106" s="283"/>
      <c r="L106" s="192"/>
      <c r="M106" s="35"/>
      <c r="N106" s="694"/>
      <c r="O106" s="695"/>
      <c r="P106" s="694"/>
      <c r="Q106" s="694"/>
      <c r="R106" s="695"/>
      <c r="S106" s="694"/>
      <c r="T106" s="694"/>
      <c r="U106" s="695"/>
      <c r="V106" s="694"/>
      <c r="W106" s="694">
        <f t="shared" si="0"/>
        <v>0</v>
      </c>
      <c r="X106">
        <f t="shared" si="1"/>
        <v>0</v>
      </c>
      <c r="Y106"/>
    </row>
    <row r="107" spans="1:25" s="773" customFormat="1" x14ac:dyDescent="0.2">
      <c r="A107" s="320" t="s">
        <v>955</v>
      </c>
      <c r="B107" s="138" t="s">
        <v>651</v>
      </c>
      <c r="C107" s="30">
        <f>hbasins</f>
        <v>1</v>
      </c>
      <c r="D107" s="351" t="s">
        <v>606</v>
      </c>
      <c r="E107" s="649">
        <f>IF(hbasins=0,"NA",hbasin_vol)</f>
        <v>4847</v>
      </c>
      <c r="F107" s="1" t="str">
        <f>IF(C107=0,"","gal")</f>
        <v>gal</v>
      </c>
      <c r="G107" s="649">
        <f>IF(hbasins=0,"NA",hbasin_vol)</f>
        <v>4847</v>
      </c>
      <c r="H107" s="1" t="str">
        <f>IF(C107=0,"","gal")</f>
        <v>gal</v>
      </c>
      <c r="I107" s="357">
        <f>IF(hbasins=0,"NA",J107/hbasins)</f>
        <v>25429.232949542162</v>
      </c>
      <c r="J107" s="357">
        <f>IF(hbasins=0,"--",hconc_vol*VLOOKUP(0,conc_basin_cost_cl,3)+hexcavation_vol*VLOOKUP(0,excavate_cost_cl,3)+hbackfill_vol*VLOOKUP(0,backfill_cost_cl,3)+hrailing*VLOOKUP("aluminum railing",metal_cost_cl,3))</f>
        <v>25429.232949542162</v>
      </c>
      <c r="K107" s="195">
        <f>IF(hbasins=0,"NA",VLOOKUP(0,conc_basin_cost_cl,IF(ss_cat="large",4,5)))</f>
        <v>37</v>
      </c>
      <c r="L107" s="354">
        <v>0</v>
      </c>
      <c r="M107" s="35" t="str">
        <f>$B$67&amp;" - "&amp;$B$106&amp;" - "&amp;B107</f>
        <v>Tanks - Residuals Holding Tanks/Basins - Concrete Basins (includes Excavation, Backfill, and Compaction)</v>
      </c>
      <c r="N107" s="694">
        <v>3</v>
      </c>
      <c r="O107" s="694">
        <v>3</v>
      </c>
      <c r="P107" s="694">
        <v>2</v>
      </c>
      <c r="Q107" s="694">
        <v>3</v>
      </c>
      <c r="R107" s="694">
        <v>3</v>
      </c>
      <c r="S107" s="694">
        <v>2</v>
      </c>
      <c r="T107" s="694">
        <v>3</v>
      </c>
      <c r="U107" s="694">
        <v>3</v>
      </c>
      <c r="V107" s="694">
        <v>2</v>
      </c>
      <c r="W107" s="694">
        <f t="shared" si="0"/>
        <v>0</v>
      </c>
      <c r="X107">
        <f t="shared" si="1"/>
        <v>0</v>
      </c>
      <c r="Y107" s="1"/>
    </row>
    <row r="108" spans="1:25" s="773" customFormat="1" x14ac:dyDescent="0.2">
      <c r="A108" s="320" t="s">
        <v>955</v>
      </c>
      <c r="B108" s="1" t="s">
        <v>1292</v>
      </c>
      <c r="C108" s="555">
        <f>htanks</f>
        <v>1</v>
      </c>
      <c r="D108" s="355" t="s">
        <v>606</v>
      </c>
      <c r="E108" s="549">
        <f>IF(C108=0,"NA",htank_vol)</f>
        <v>2892</v>
      </c>
      <c r="F108" s="1" t="str">
        <f>IF(C108=0,"","gal")</f>
        <v>gal</v>
      </c>
      <c r="G108" s="549">
        <f>IF(htanks=0,"NA",IF(curve=1,htank_vol,VLOOKUP(htank_vol,st_bwt_cost_cl,2)))</f>
        <v>2892</v>
      </c>
      <c r="H108" s="510" t="str">
        <f>IF(C108=0,"","gal")</f>
        <v>gal</v>
      </c>
      <c r="I108" s="686">
        <f>IF(htanks=0,0,IF(curve=1,st_ht_eq,VLOOKUP(htank_vol,st_bwt_cost_cl,3)))</f>
        <v>16809.268234681393</v>
      </c>
      <c r="J108" s="356">
        <f>IF(I108="contact vendor","--",C108*I108)</f>
        <v>16809.268234681393</v>
      </c>
      <c r="K108" s="195">
        <f>IF(htanks=0,"NA",VLOOKUP(htank_vol,st_bwt_cost_cl,IF(ss_cat="large",4,5)))</f>
        <v>30</v>
      </c>
      <c r="L108" s="354">
        <v>0</v>
      </c>
      <c r="M108" s="35" t="str">
        <f>$B$67&amp;" - "&amp;$B$106&amp;" - "&amp;B108</f>
        <v>Tanks - Residuals Holding Tanks/Basins - Steel Tanks</v>
      </c>
      <c r="N108" s="694">
        <v>4</v>
      </c>
      <c r="O108" s="694">
        <v>4</v>
      </c>
      <c r="P108" s="694">
        <v>1</v>
      </c>
      <c r="Q108" s="694">
        <v>4</v>
      </c>
      <c r="R108" s="694">
        <v>4</v>
      </c>
      <c r="S108" s="694">
        <v>1</v>
      </c>
      <c r="T108" s="694">
        <v>4</v>
      </c>
      <c r="U108" s="694">
        <v>4</v>
      </c>
      <c r="V108" s="694">
        <v>1</v>
      </c>
      <c r="W108" s="694">
        <f t="shared" si="0"/>
        <v>0</v>
      </c>
      <c r="X108">
        <f t="shared" si="1"/>
        <v>0</v>
      </c>
      <c r="Y108" s="1"/>
    </row>
    <row r="109" spans="1:25" s="773" customFormat="1" x14ac:dyDescent="0.2">
      <c r="A109" s="320" t="s">
        <v>955</v>
      </c>
      <c r="B109" s="1" t="s">
        <v>1294</v>
      </c>
      <c r="C109" s="555">
        <f>htanks</f>
        <v>1</v>
      </c>
      <c r="D109" s="355" t="s">
        <v>606</v>
      </c>
      <c r="E109" s="549">
        <f>IF(C109=0,"NA",htank_vol)</f>
        <v>2892</v>
      </c>
      <c r="F109" s="1" t="str">
        <f>IF(C109=0,"","gal")</f>
        <v>gal</v>
      </c>
      <c r="G109" s="549">
        <f>IF(htanks=0,"NA",IF(curve=1,htank_vol,VLOOKUP(htank_vol,fg_bwt_cost_cl,2)))</f>
        <v>2892</v>
      </c>
      <c r="H109" s="510" t="str">
        <f>IF(C109=0,"","gal")</f>
        <v>gal</v>
      </c>
      <c r="I109" s="686">
        <f>IF(htanks=0,0,IF(curve=1,fg_ht_eq,VLOOKUP(htank_vol,fg_bwt_cost_cl,3)))</f>
        <v>26505.481856548191</v>
      </c>
      <c r="J109" s="356">
        <f>IF(I109="contact vendor","--",C109*I109)</f>
        <v>26505.481856548191</v>
      </c>
      <c r="K109" s="195">
        <f>IF(htanks=0,"NA",VLOOKUP(htank_vol,fg_bwt_cost_cl,IF(ss_cat="large",4,5)))</f>
        <v>20</v>
      </c>
      <c r="L109" s="354">
        <v>0</v>
      </c>
      <c r="M109" s="35" t="str">
        <f>$B$67&amp;" - "&amp;$B$106&amp;" - "&amp;B109</f>
        <v>Tanks - Residuals Holding Tanks/Basins - Fiberglass Tanks</v>
      </c>
      <c r="N109" s="694">
        <v>2</v>
      </c>
      <c r="O109" s="694">
        <v>1</v>
      </c>
      <c r="P109" s="694">
        <v>3</v>
      </c>
      <c r="Q109" s="694">
        <v>2</v>
      </c>
      <c r="R109" s="694">
        <v>1</v>
      </c>
      <c r="S109" s="694">
        <v>3</v>
      </c>
      <c r="T109" s="694">
        <v>2</v>
      </c>
      <c r="U109" s="694">
        <v>1</v>
      </c>
      <c r="V109" s="694">
        <v>3</v>
      </c>
      <c r="W109" s="694">
        <f t="shared" si="0"/>
        <v>0</v>
      </c>
      <c r="X109">
        <f t="shared" si="1"/>
        <v>0</v>
      </c>
      <c r="Y109" s="1"/>
    </row>
    <row r="110" spans="1:25" s="773" customFormat="1" x14ac:dyDescent="0.2">
      <c r="A110" s="320" t="s">
        <v>955</v>
      </c>
      <c r="B110" s="1" t="s">
        <v>3929</v>
      </c>
      <c r="C110" s="555">
        <f>htanks</f>
        <v>1</v>
      </c>
      <c r="D110" s="355" t="s">
        <v>606</v>
      </c>
      <c r="E110" s="549">
        <f>IF(C110=0,"NA",htank_vol)</f>
        <v>2892</v>
      </c>
      <c r="F110" s="1" t="str">
        <f>IF(C110=0,"","gal")</f>
        <v>gal</v>
      </c>
      <c r="G110" s="549">
        <f>IF(htanks=0,"NA",IF(curve=1,htank_vol,VLOOKUP(htank_vol,hdpe_bwt_cost_cl,2)))</f>
        <v>2892</v>
      </c>
      <c r="H110" s="510" t="str">
        <f>IF(C110=0,"","gal")</f>
        <v>gal</v>
      </c>
      <c r="I110" s="686">
        <f>IF(htanks=0,0,IF(curve=1,hdpe_ht_eq,VLOOKUP(htank_vol,hdpe_bwt_cost_cl,3)))</f>
        <v>6197.0253472840004</v>
      </c>
      <c r="J110" s="356">
        <f>IF(I110="contact vendor","--",C110*I110)</f>
        <v>6197.0253472840004</v>
      </c>
      <c r="K110" s="195">
        <f>IF(htanks=0,"NA",VLOOKUP(htank_vol,hdpe_bwt_cost_cl,IF(ss_cat="large",4,5)))</f>
        <v>20</v>
      </c>
      <c r="L110" s="354">
        <v>1</v>
      </c>
      <c r="M110" s="35" t="str">
        <f>$B$67&amp;" - "&amp;$B$106&amp;" - "&amp;B110</f>
        <v>Tanks - Residuals Holding Tanks/Basins - Plastic/XLPE Tanks</v>
      </c>
      <c r="N110" s="694">
        <v>1</v>
      </c>
      <c r="O110" s="694">
        <v>2</v>
      </c>
      <c r="P110" s="694">
        <v>4</v>
      </c>
      <c r="Q110" s="694">
        <v>1</v>
      </c>
      <c r="R110" s="694">
        <v>2</v>
      </c>
      <c r="S110" s="694">
        <v>4</v>
      </c>
      <c r="T110" s="694">
        <v>1</v>
      </c>
      <c r="U110" s="694">
        <v>2</v>
      </c>
      <c r="V110" s="694">
        <v>4</v>
      </c>
      <c r="W110" s="694">
        <f t="shared" si="0"/>
        <v>1</v>
      </c>
      <c r="X110">
        <f t="shared" si="1"/>
        <v>309.8512673642</v>
      </c>
      <c r="Y110" s="1"/>
    </row>
    <row r="111" spans="1:25" x14ac:dyDescent="0.2">
      <c r="A111" s="473">
        <v>3.9</v>
      </c>
      <c r="B111" s="13" t="s">
        <v>165</v>
      </c>
      <c r="C111" s="554"/>
      <c r="D111" s="272"/>
      <c r="E111" s="283"/>
      <c r="F111" s="511"/>
      <c r="G111" s="529"/>
      <c r="H111" s="511"/>
      <c r="I111" s="284"/>
      <c r="J111" s="283"/>
      <c r="K111" s="283"/>
      <c r="L111" s="192"/>
      <c r="M111" s="5"/>
      <c r="N111" s="695"/>
      <c r="O111" s="695"/>
      <c r="P111" s="695"/>
      <c r="Q111" s="695"/>
      <c r="R111" s="695"/>
      <c r="S111" s="695"/>
      <c r="T111" s="695"/>
      <c r="U111" s="695"/>
      <c r="V111" s="695"/>
      <c r="W111" s="694">
        <f t="shared" si="0"/>
        <v>0</v>
      </c>
      <c r="X111">
        <f t="shared" si="1"/>
        <v>0</v>
      </c>
      <c r="Y111"/>
    </row>
    <row r="112" spans="1:25" s="773" customFormat="1" x14ac:dyDescent="0.2">
      <c r="A112" s="320" t="s">
        <v>956</v>
      </c>
      <c r="B112" s="1" t="s">
        <v>3928</v>
      </c>
      <c r="C112" s="555">
        <f>H2O2_tanks</f>
        <v>0</v>
      </c>
      <c r="D112" s="355" t="s">
        <v>606</v>
      </c>
      <c r="E112" s="549" t="str">
        <f>IF(C112=0,"NA",H2O2_tank_vol)</f>
        <v>NA</v>
      </c>
      <c r="F112" s="1" t="str">
        <f>IF(C112=0,"","gal")</f>
        <v/>
      </c>
      <c r="G112" s="549" t="str">
        <f>IF(C112=0,"NA",IF(curve=1,H2O2_tank_vol,VLOOKUP(H2O2_tank_vol,pl_cst_cost_cl,2)))</f>
        <v>NA</v>
      </c>
      <c r="H112" s="510" t="str">
        <f>IF(C112=0,"","gal")</f>
        <v/>
      </c>
      <c r="I112" s="686" t="str">
        <f>IF(C112=0,"NA",IF(curve=1,pl_H2O2_st_eq,VLOOKUP(H2O2_tank_vol,pl_cst_cost_cl,3)))</f>
        <v>NA</v>
      </c>
      <c r="J112" s="356" t="str">
        <f>IF(OR(C112=0,I112="contact vendor"),"--",C112*I112)</f>
        <v>--</v>
      </c>
      <c r="K112" s="195" t="str">
        <f>IF(C112=0,"NA",VLOOKUP(H2O2_tank_vol,pl_cst_cost_cl,IF(ss_cat="large",4,5)))</f>
        <v>NA</v>
      </c>
      <c r="L112" s="354"/>
      <c r="M112" s="5" t="str">
        <f>$B$67&amp;" - "&amp;$B$111&amp;" - "&amp;B112</f>
        <v>Tanks - Hydrogen Peroxide Storage Tanks - Plastic/XLPE</v>
      </c>
      <c r="N112" s="694">
        <v>1</v>
      </c>
      <c r="O112" s="694">
        <v>2</v>
      </c>
      <c r="P112" s="694">
        <v>2</v>
      </c>
      <c r="Q112" s="694">
        <v>1</v>
      </c>
      <c r="R112" s="694">
        <v>2</v>
      </c>
      <c r="S112" s="694">
        <v>2</v>
      </c>
      <c r="T112" s="694">
        <v>2</v>
      </c>
      <c r="U112" s="694">
        <v>2</v>
      </c>
      <c r="V112" s="694">
        <v>2</v>
      </c>
      <c r="W112" s="694">
        <f t="shared" si="0"/>
        <v>0</v>
      </c>
      <c r="X112">
        <f t="shared" si="1"/>
        <v>0</v>
      </c>
      <c r="Y112" s="1"/>
    </row>
    <row r="113" spans="1:25" s="773" customFormat="1" x14ac:dyDescent="0.2">
      <c r="A113" s="320" t="s">
        <v>956</v>
      </c>
      <c r="B113" s="1" t="s">
        <v>1421</v>
      </c>
      <c r="C113" s="555">
        <f>H2O2_tanks</f>
        <v>0</v>
      </c>
      <c r="D113" s="355" t="s">
        <v>606</v>
      </c>
      <c r="E113" s="549" t="str">
        <f>IF(C113=0,"NA",H2O2_tank_vol)</f>
        <v>NA</v>
      </c>
      <c r="F113" s="1" t="str">
        <f>IF(C113=0,"","gal")</f>
        <v/>
      </c>
      <c r="G113" s="549" t="str">
        <f>IF(C113=0,"NA",IF(curve=1,H2O2_tank_vol,VLOOKUP(H2O2_tank_vol,ss_cst_cost_cl,2)))</f>
        <v>NA</v>
      </c>
      <c r="H113" s="510" t="str">
        <f>IF(C113=0,"","gal")</f>
        <v/>
      </c>
      <c r="I113" s="686" t="str">
        <f>IF(C113=0,"NA",IF(curve=1,ss_H2O2_st_eq,VLOOKUP(H2O2_tank_vol,ss_cst_cost_cl,3)))</f>
        <v>NA</v>
      </c>
      <c r="J113" s="356" t="str">
        <f>IF(OR(C113=0,I113="contact vendor"),"--",C113*I113)</f>
        <v>--</v>
      </c>
      <c r="K113" s="195" t="str">
        <f>IF(C113=0,"NA",VLOOKUP(H2O2_tank_vol,ss_cst_cost_cl,IF(ss_cat="large",4,5)))</f>
        <v>NA</v>
      </c>
      <c r="L113" s="354"/>
      <c r="M113" s="5" t="str">
        <f>$B$67&amp;" - "&amp;$B$111&amp;" - "&amp;B113</f>
        <v>Tanks - Hydrogen Peroxide Storage Tanks - Stainless Steel</v>
      </c>
      <c r="N113" s="694">
        <v>2</v>
      </c>
      <c r="O113" s="694">
        <v>1</v>
      </c>
      <c r="P113" s="694">
        <v>1</v>
      </c>
      <c r="Q113" s="694">
        <v>2</v>
      </c>
      <c r="R113" s="694">
        <v>1</v>
      </c>
      <c r="S113" s="694">
        <v>1</v>
      </c>
      <c r="T113" s="694">
        <v>1</v>
      </c>
      <c r="U113" s="694">
        <v>1</v>
      </c>
      <c r="V113" s="694">
        <v>1</v>
      </c>
      <c r="W113" s="694">
        <f t="shared" ref="W113:W190" si="7">IF(ISERROR(K113*L113),0,IF(K113&lt;1,0,L113))</f>
        <v>0</v>
      </c>
      <c r="X113">
        <f t="shared" ref="X113:X190" si="8">IF(W113,J113/K113,0)</f>
        <v>0</v>
      </c>
      <c r="Y113" s="1"/>
    </row>
    <row r="114" spans="1:25" s="773" customFormat="1" x14ac:dyDescent="0.2">
      <c r="A114" s="320" t="s">
        <v>4157</v>
      </c>
      <c r="B114" s="1" t="s">
        <v>4145</v>
      </c>
      <c r="C114" s="555">
        <f>IF(OR(include_sec_cont=0,H2O2_tanks=0),0,H2O2_st_curb_concrete)</f>
        <v>0</v>
      </c>
      <c r="D114" s="355" t="s">
        <v>2458</v>
      </c>
      <c r="E114" s="649" t="s">
        <v>590</v>
      </c>
      <c r="F114" s="30"/>
      <c r="G114" s="649" t="s">
        <v>590</v>
      </c>
      <c r="H114" s="30"/>
      <c r="I114" s="357" t="str">
        <f>IF(C114=0,"NA",VLOOKUP(0,conc_basin_cost_cl,3))</f>
        <v>NA</v>
      </c>
      <c r="J114" s="353" t="str">
        <f>IF(C114=0,"--",IF(I114="contact vendor","--",C114*I114))</f>
        <v>--</v>
      </c>
      <c r="K114" s="352" t="str">
        <f>IF(C114=0,"NA",VLOOKUP(0,conc_basin_cost_cl,IF(ss_cat="large",4,5)))</f>
        <v>NA</v>
      </c>
      <c r="L114" s="354"/>
      <c r="M114" s="5" t="str">
        <f>$B$67&amp;" - "&amp;$B$111&amp;" - "&amp;B114</f>
        <v>Tanks - Hydrogen Peroxide Storage Tanks - Secondary Containment - Concrete Curbing</v>
      </c>
      <c r="N114" s="694">
        <v>1</v>
      </c>
      <c r="O114" s="694">
        <v>1</v>
      </c>
      <c r="P114" s="694">
        <v>1</v>
      </c>
      <c r="Q114" s="694">
        <v>1</v>
      </c>
      <c r="R114" s="694">
        <v>1</v>
      </c>
      <c r="S114" s="694">
        <v>1</v>
      </c>
      <c r="T114" s="694">
        <v>1</v>
      </c>
      <c r="U114" s="694">
        <v>1</v>
      </c>
      <c r="V114" s="694">
        <v>1</v>
      </c>
      <c r="W114" s="694">
        <f t="shared" si="7"/>
        <v>0</v>
      </c>
      <c r="X114">
        <f t="shared" si="8"/>
        <v>0</v>
      </c>
      <c r="Y114" s="1"/>
    </row>
    <row r="115" spans="1:25" s="773" customFormat="1" x14ac:dyDescent="0.2">
      <c r="A115" s="320" t="s">
        <v>4158</v>
      </c>
      <c r="B115" s="1" t="s">
        <v>4146</v>
      </c>
      <c r="C115" s="555">
        <f>IF(OR(include_sec_cont=0,H2O2_tanks=0),0,H2O2_st_coating_gal)</f>
        <v>0</v>
      </c>
      <c r="D115" s="355" t="s">
        <v>1332</v>
      </c>
      <c r="E115" s="649" t="s">
        <v>590</v>
      </c>
      <c r="F115" s="30"/>
      <c r="G115" s="649" t="s">
        <v>590</v>
      </c>
      <c r="H115" s="30"/>
      <c r="I115" s="357" t="str">
        <f>IF(C115=0,"NA",VLOOKUP(0,conc_coating_cost_cl,3))</f>
        <v>NA</v>
      </c>
      <c r="J115" s="353" t="str">
        <f>IF(C115=0,"--",IF(I115="contact vendor","--",C115*I115))</f>
        <v>--</v>
      </c>
      <c r="K115" s="352" t="str">
        <f>IF(C115=0,"NA",VLOOKUP(0,conc_coating_cost_cl,IF(ss_cat="large",4,5)))</f>
        <v>NA</v>
      </c>
      <c r="L115" s="354"/>
      <c r="M115" s="5" t="str">
        <f>$B$67&amp;" - "&amp;$B$111&amp;" - "&amp;B115</f>
        <v>Tanks - Hydrogen Peroxide Storage Tanks - Secondary Containment - Chemical Resistant Coating</v>
      </c>
      <c r="N115" s="694">
        <v>1</v>
      </c>
      <c r="O115" s="694">
        <v>1</v>
      </c>
      <c r="P115" s="694">
        <v>1</v>
      </c>
      <c r="Q115" s="694">
        <v>1</v>
      </c>
      <c r="R115" s="694">
        <v>1</v>
      </c>
      <c r="S115" s="694">
        <v>1</v>
      </c>
      <c r="T115" s="694">
        <v>1</v>
      </c>
      <c r="U115" s="694">
        <v>1</v>
      </c>
      <c r="V115" s="694">
        <v>1</v>
      </c>
      <c r="W115" s="694">
        <f t="shared" si="7"/>
        <v>0</v>
      </c>
      <c r="X115">
        <f t="shared" si="8"/>
        <v>0</v>
      </c>
      <c r="Y115" s="1"/>
    </row>
    <row r="116" spans="1:25" x14ac:dyDescent="0.2">
      <c r="A116" s="537" t="s">
        <v>1150</v>
      </c>
      <c r="B116" s="13" t="s">
        <v>946</v>
      </c>
      <c r="C116" s="554"/>
      <c r="D116" s="272"/>
      <c r="E116" s="283"/>
      <c r="F116" s="511"/>
      <c r="G116" s="529"/>
      <c r="H116" s="511"/>
      <c r="I116" s="284"/>
      <c r="J116" s="283"/>
      <c r="K116" s="283"/>
      <c r="L116" s="192"/>
      <c r="M116" s="5"/>
      <c r="N116" s="695"/>
      <c r="O116" s="695"/>
      <c r="P116" s="695"/>
      <c r="Q116" s="695"/>
      <c r="R116" s="695"/>
      <c r="S116" s="695"/>
      <c r="T116" s="695"/>
      <c r="U116" s="695"/>
      <c r="V116" s="695"/>
      <c r="W116" s="694">
        <f t="shared" si="7"/>
        <v>0</v>
      </c>
      <c r="X116">
        <f t="shared" si="8"/>
        <v>0</v>
      </c>
      <c r="Y116"/>
    </row>
    <row r="117" spans="1:25" s="773" customFormat="1" x14ac:dyDescent="0.2">
      <c r="A117" s="320" t="s">
        <v>957</v>
      </c>
      <c r="B117" s="1" t="s">
        <v>3928</v>
      </c>
      <c r="C117" s="555">
        <f>H2O2_day_tanks</f>
        <v>0</v>
      </c>
      <c r="D117" s="355" t="s">
        <v>606</v>
      </c>
      <c r="E117" s="549" t="str">
        <f>IF(C117=0,"NA",H2O2_day_tank_vol)</f>
        <v>NA</v>
      </c>
      <c r="F117" s="1" t="str">
        <f>IF(C117=0,"","gal")</f>
        <v/>
      </c>
      <c r="G117" s="549" t="str">
        <f>IF(C117=0,"NA",IF(curve=1,H2O2_day_tank_vol,VLOOKUP(H2O2_day_tank_vol,pl_cst_cost_cl,2)))</f>
        <v>NA</v>
      </c>
      <c r="H117" s="510" t="str">
        <f>IF(C117=0,"","gal")</f>
        <v/>
      </c>
      <c r="I117" s="686" t="str">
        <f>IF(C117=0,"NA",IF(curve=1,pl_H2O2_day_eq,VLOOKUP(H2O2_day_tank_vol,pl_cst_cost_cl,3)))</f>
        <v>NA</v>
      </c>
      <c r="J117" s="356" t="str">
        <f>IF(OR(C117=0,I117="contact vendor"),"--",C117*I117)</f>
        <v>--</v>
      </c>
      <c r="K117" s="195" t="str">
        <f>IF(C117=0,"NA",VLOOKUP(H2O2_day_tank_vol,pl_cst_cost_cl,IF(ss_cat="large",4,5)))</f>
        <v>NA</v>
      </c>
      <c r="L117" s="354"/>
      <c r="M117" s="5" t="str">
        <f>$B$67&amp;" - "&amp;$B$116&amp;" - "&amp;B117</f>
        <v>Tanks - Hydrogen Peroxide Day Tanks - Plastic/XLPE</v>
      </c>
      <c r="N117" s="694">
        <v>1</v>
      </c>
      <c r="O117" s="694">
        <v>2</v>
      </c>
      <c r="P117" s="694">
        <v>2</v>
      </c>
      <c r="Q117" s="694">
        <v>1</v>
      </c>
      <c r="R117" s="694">
        <v>2</v>
      </c>
      <c r="S117" s="694">
        <v>2</v>
      </c>
      <c r="T117" s="694">
        <v>2</v>
      </c>
      <c r="U117" s="694">
        <v>2</v>
      </c>
      <c r="V117" s="694">
        <v>2</v>
      </c>
      <c r="W117" s="694">
        <f t="shared" si="7"/>
        <v>0</v>
      </c>
      <c r="X117">
        <f t="shared" si="8"/>
        <v>0</v>
      </c>
      <c r="Y117" s="1"/>
    </row>
    <row r="118" spans="1:25" s="773" customFormat="1" x14ac:dyDescent="0.2">
      <c r="A118" s="320" t="s">
        <v>957</v>
      </c>
      <c r="B118" s="1" t="s">
        <v>1421</v>
      </c>
      <c r="C118" s="555">
        <f>H2O2_day_tanks</f>
        <v>0</v>
      </c>
      <c r="D118" s="355" t="s">
        <v>606</v>
      </c>
      <c r="E118" s="549" t="str">
        <f>IF(C118=0,"NA",H2O2_day_tank_vol)</f>
        <v>NA</v>
      </c>
      <c r="F118" s="1" t="str">
        <f>IF(C118=0,"","gal")</f>
        <v/>
      </c>
      <c r="G118" s="549" t="str">
        <f>IF(C118=0,"NA",IF(curve=1,H2O2_day_tank_vol,VLOOKUP(H2O2_day_tank_vol,ss_cst_cost_cl,2)))</f>
        <v>NA</v>
      </c>
      <c r="H118" s="510" t="str">
        <f>IF(C118=0,"","gal")</f>
        <v/>
      </c>
      <c r="I118" s="686" t="str">
        <f>IF(C118=0,"NA",IF(curve=1,ss_H2O2_day_eq,VLOOKUP(H2O2_day_tank_vol,ss_cst_cost_cl,3)))</f>
        <v>NA</v>
      </c>
      <c r="J118" s="356" t="str">
        <f>IF(OR(C118=0,I118="contact vendor"),"--",C118*I118)</f>
        <v>--</v>
      </c>
      <c r="K118" s="195" t="str">
        <f>IF(C118=0,"NA",VLOOKUP(H2O2_day_tank_vol,ss_cst_cost_cl,IF(ss_cat="large",4,5)))</f>
        <v>NA</v>
      </c>
      <c r="L118" s="354"/>
      <c r="M118" s="5" t="str">
        <f>$B$67&amp;" - "&amp;$B$116&amp;" - "&amp;B118</f>
        <v>Tanks - Hydrogen Peroxide Day Tanks - Stainless Steel</v>
      </c>
      <c r="N118" s="694">
        <v>2</v>
      </c>
      <c r="O118" s="694">
        <v>1</v>
      </c>
      <c r="P118" s="694">
        <v>1</v>
      </c>
      <c r="Q118" s="694">
        <v>2</v>
      </c>
      <c r="R118" s="694">
        <v>1</v>
      </c>
      <c r="S118" s="694">
        <v>1</v>
      </c>
      <c r="T118" s="694">
        <v>1</v>
      </c>
      <c r="U118" s="694">
        <v>1</v>
      </c>
      <c r="V118" s="694">
        <v>1</v>
      </c>
      <c r="W118" s="694">
        <f t="shared" si="7"/>
        <v>0</v>
      </c>
      <c r="X118">
        <f t="shared" si="8"/>
        <v>0</v>
      </c>
      <c r="Y118" s="1"/>
    </row>
    <row r="119" spans="1:25" s="773" customFormat="1" x14ac:dyDescent="0.2">
      <c r="A119" s="320" t="s">
        <v>4159</v>
      </c>
      <c r="B119" s="1" t="s">
        <v>4145</v>
      </c>
      <c r="C119" s="555">
        <f>IF(OR(include_sec_cont=0,H2O2_day_tanks=0),0,H2O2_dt_curb_concrete)</f>
        <v>0</v>
      </c>
      <c r="D119" s="355" t="s">
        <v>2458</v>
      </c>
      <c r="E119" s="649" t="s">
        <v>590</v>
      </c>
      <c r="F119" s="30"/>
      <c r="G119" s="649" t="s">
        <v>590</v>
      </c>
      <c r="H119" s="30"/>
      <c r="I119" s="357" t="str">
        <f>IF(C119=0,"NA",VLOOKUP(0,conc_basin_cost_cl,3))</f>
        <v>NA</v>
      </c>
      <c r="J119" s="353" t="str">
        <f>IF(C119=0,"--",IF(I119="contact vendor","--",C119*I119))</f>
        <v>--</v>
      </c>
      <c r="K119" s="352" t="str">
        <f>IF(C119=0,"NA",VLOOKUP(0,conc_basin_cost_cl,IF(ss_cat="large",4,5)))</f>
        <v>NA</v>
      </c>
      <c r="L119" s="354"/>
      <c r="M119" s="5" t="str">
        <f>$B$67&amp;" - "&amp;$B$116&amp;" - "&amp;B119</f>
        <v>Tanks - Hydrogen Peroxide Day Tanks - Secondary Containment - Concrete Curbing</v>
      </c>
      <c r="N119" s="694">
        <v>1</v>
      </c>
      <c r="O119" s="694">
        <v>1</v>
      </c>
      <c r="P119" s="694">
        <v>1</v>
      </c>
      <c r="Q119" s="694">
        <v>1</v>
      </c>
      <c r="R119" s="694">
        <v>1</v>
      </c>
      <c r="S119" s="694">
        <v>1</v>
      </c>
      <c r="T119" s="694">
        <v>1</v>
      </c>
      <c r="U119" s="694">
        <v>1</v>
      </c>
      <c r="V119" s="694">
        <v>1</v>
      </c>
      <c r="W119" s="694">
        <f t="shared" si="7"/>
        <v>0</v>
      </c>
      <c r="X119">
        <f t="shared" si="8"/>
        <v>0</v>
      </c>
      <c r="Y119" s="1"/>
    </row>
    <row r="120" spans="1:25" s="773" customFormat="1" x14ac:dyDescent="0.2">
      <c r="A120" s="320" t="s">
        <v>4160</v>
      </c>
      <c r="B120" s="1" t="s">
        <v>4146</v>
      </c>
      <c r="C120" s="555">
        <f>IF(OR(include_sec_cont=0,H2O2_day_tanks=0),0,H2O2_dt_coating_gal)</f>
        <v>0</v>
      </c>
      <c r="D120" s="355" t="s">
        <v>1332</v>
      </c>
      <c r="E120" s="649" t="s">
        <v>590</v>
      </c>
      <c r="F120" s="30"/>
      <c r="G120" s="649" t="s">
        <v>590</v>
      </c>
      <c r="H120" s="30"/>
      <c r="I120" s="357" t="str">
        <f>IF(C120=0,"NA",VLOOKUP(0,conc_coating_cost_cl,3))</f>
        <v>NA</v>
      </c>
      <c r="J120" s="353" t="str">
        <f>IF(C120=0,"--",IF(I120="contact vendor","--",C120*I120))</f>
        <v>--</v>
      </c>
      <c r="K120" s="352" t="str">
        <f>IF(C120=0,"NA",VLOOKUP(0,conc_coating_cost_cl,IF(ss_cat="large",4,5)))</f>
        <v>NA</v>
      </c>
      <c r="L120" s="354"/>
      <c r="M120" s="5" t="str">
        <f>$B$67&amp;" - "&amp;$B$116&amp;" - "&amp;B120</f>
        <v>Tanks - Hydrogen Peroxide Day Tanks - Secondary Containment - Chemical Resistant Coating</v>
      </c>
      <c r="N120" s="694">
        <v>1</v>
      </c>
      <c r="O120" s="694">
        <v>1</v>
      </c>
      <c r="P120" s="694">
        <v>1</v>
      </c>
      <c r="Q120" s="694">
        <v>1</v>
      </c>
      <c r="R120" s="694">
        <v>1</v>
      </c>
      <c r="S120" s="694">
        <v>1</v>
      </c>
      <c r="T120" s="694">
        <v>1</v>
      </c>
      <c r="U120" s="694">
        <v>1</v>
      </c>
      <c r="V120" s="694">
        <v>1</v>
      </c>
      <c r="W120" s="694">
        <f t="shared" si="7"/>
        <v>0</v>
      </c>
      <c r="X120">
        <f t="shared" si="8"/>
        <v>0</v>
      </c>
      <c r="Y120" s="1"/>
    </row>
    <row r="121" spans="1:25" x14ac:dyDescent="0.2">
      <c r="A121" s="473">
        <v>3.11</v>
      </c>
      <c r="B121" s="13" t="s">
        <v>2871</v>
      </c>
      <c r="C121" s="554"/>
      <c r="D121" s="272"/>
      <c r="E121" s="529"/>
      <c r="F121" s="511"/>
      <c r="G121" s="529"/>
      <c r="H121" s="511"/>
      <c r="I121" s="284"/>
      <c r="J121" s="283"/>
      <c r="K121" s="283"/>
      <c r="L121" s="192"/>
      <c r="M121" s="5"/>
      <c r="N121" s="694"/>
      <c r="O121" s="694"/>
      <c r="P121" s="694"/>
      <c r="Q121" s="694"/>
      <c r="R121" s="694"/>
      <c r="S121" s="694"/>
      <c r="T121" s="694"/>
      <c r="U121" s="694"/>
      <c r="V121" s="694"/>
      <c r="W121" s="694">
        <f t="shared" si="7"/>
        <v>0</v>
      </c>
      <c r="X121">
        <f t="shared" si="8"/>
        <v>0</v>
      </c>
      <c r="Y121"/>
    </row>
    <row r="122" spans="1:25" s="773" customFormat="1" x14ac:dyDescent="0.2">
      <c r="A122" s="320" t="s">
        <v>2796</v>
      </c>
      <c r="B122" s="1" t="s">
        <v>581</v>
      </c>
      <c r="C122" s="555">
        <f>aeration_tanks</f>
        <v>1</v>
      </c>
      <c r="D122" s="355" t="s">
        <v>606</v>
      </c>
      <c r="E122" s="886">
        <f>IF(C122=0,"NA",aeration_tank_vol)</f>
        <v>92.097445038621501</v>
      </c>
      <c r="F122" s="1" t="str">
        <f>IF(C122=0,"","gal")</f>
        <v>gal</v>
      </c>
      <c r="G122" s="549">
        <f>IF(C122=0,"NA",IF(curve=1,aeration_tank_vol,VLOOKUP(aeration_tank_vol,st_bwt_cost_cl,2)))</f>
        <v>92.097445038621501</v>
      </c>
      <c r="H122" s="510" t="str">
        <f>IF(C122=0,"","gal")</f>
        <v>gal</v>
      </c>
      <c r="I122" s="686">
        <f>IF(C122=0,"NA",IF(curve=1,st_aeration_eq,VLOOKUP(aeration_tank_vol,st_bwt_cost_cl,3)))</f>
        <v>2984.5342892602334</v>
      </c>
      <c r="J122" s="356">
        <f>IF(OR(C122=0,I122="contact vendor"),"--",C122*I122)</f>
        <v>2984.5342892602334</v>
      </c>
      <c r="K122" s="195">
        <f>IF(C122=0,"NA",VLOOKUP(aeration_tank_vol,st_bwt_cost_cl,IF(ss_cat="large",4,5)))</f>
        <v>30</v>
      </c>
      <c r="L122" s="354">
        <v>0</v>
      </c>
      <c r="M122" s="5" t="str">
        <f>$B$67&amp;" - "&amp;$B$121&amp;" - "&amp;B122</f>
        <v>Tanks - Aeration Tanks - Steel</v>
      </c>
      <c r="N122" s="694">
        <v>3</v>
      </c>
      <c r="O122" s="695">
        <v>3</v>
      </c>
      <c r="P122" s="694">
        <v>1</v>
      </c>
      <c r="Q122" s="694">
        <v>3</v>
      </c>
      <c r="R122" s="695">
        <v>3</v>
      </c>
      <c r="S122" s="694">
        <v>1</v>
      </c>
      <c r="T122" s="694">
        <v>3</v>
      </c>
      <c r="U122" s="695">
        <v>3</v>
      </c>
      <c r="V122" s="694">
        <v>1</v>
      </c>
      <c r="W122" s="694">
        <f t="shared" si="7"/>
        <v>0</v>
      </c>
      <c r="X122">
        <f t="shared" si="8"/>
        <v>0</v>
      </c>
      <c r="Y122" s="1"/>
    </row>
    <row r="123" spans="1:25" s="773" customFormat="1" x14ac:dyDescent="0.2">
      <c r="A123" s="320" t="s">
        <v>2796</v>
      </c>
      <c r="B123" s="1" t="s">
        <v>1425</v>
      </c>
      <c r="C123" s="555">
        <f>aeration_tanks</f>
        <v>1</v>
      </c>
      <c r="D123" s="355" t="s">
        <v>606</v>
      </c>
      <c r="E123" s="886">
        <f>IF(C123=0,"NA",aeration_tank_vol)</f>
        <v>92.097445038621501</v>
      </c>
      <c r="F123" s="1" t="str">
        <f>IF(C123=0,"","gal")</f>
        <v>gal</v>
      </c>
      <c r="G123" s="549">
        <f>IF(C123=0,"NA",IF(curve=1,aeration_tank_vol,VLOOKUP(aeration_tank_vol,fg_bwt_cost_cl,2)))</f>
        <v>92.097445038621501</v>
      </c>
      <c r="H123" s="510" t="str">
        <f>IF(C123=0,"","gal")</f>
        <v>gal</v>
      </c>
      <c r="I123" s="686">
        <f>IF(C123=0,"NA",IF(curve=1,fg_aeration_eq,VLOOKUP(aeration_tank_vol,fg_bwt_cost_cl,3)))</f>
        <v>2704.056417171405</v>
      </c>
      <c r="J123" s="356">
        <f>IF(OR(C123=0,I123="contact vendor"),"--",C123*I123)</f>
        <v>2704.056417171405</v>
      </c>
      <c r="K123" s="195">
        <f>IF(C123=0,"NA",VLOOKUP(aeration_tank_vol,fg_bwt_cost_cl,IF(ss_cat="large",4,5)))</f>
        <v>20</v>
      </c>
      <c r="L123" s="354">
        <v>0</v>
      </c>
      <c r="M123" s="5" t="str">
        <f>$B$67&amp;" - "&amp;$B$121&amp;" - "&amp;B123</f>
        <v>Tanks - Aeration Tanks - Fiberglass</v>
      </c>
      <c r="N123" s="694">
        <v>2</v>
      </c>
      <c r="O123" s="694">
        <v>1</v>
      </c>
      <c r="P123" s="694">
        <v>2</v>
      </c>
      <c r="Q123" s="694">
        <v>2</v>
      </c>
      <c r="R123" s="694">
        <v>1</v>
      </c>
      <c r="S123" s="694">
        <v>2</v>
      </c>
      <c r="T123" s="694">
        <v>2</v>
      </c>
      <c r="U123" s="694">
        <v>1</v>
      </c>
      <c r="V123" s="694">
        <v>2</v>
      </c>
      <c r="W123" s="694">
        <f t="shared" si="7"/>
        <v>0</v>
      </c>
      <c r="X123">
        <f t="shared" si="8"/>
        <v>0</v>
      </c>
      <c r="Y123" s="1"/>
    </row>
    <row r="124" spans="1:25" s="773" customFormat="1" x14ac:dyDescent="0.2">
      <c r="A124" s="320" t="s">
        <v>2796</v>
      </c>
      <c r="B124" s="1" t="s">
        <v>3928</v>
      </c>
      <c r="C124" s="555">
        <f>aeration_tanks</f>
        <v>1</v>
      </c>
      <c r="D124" s="355" t="s">
        <v>606</v>
      </c>
      <c r="E124" s="886">
        <f>IF(C124=0,"NA",aeration_tank_vol)</f>
        <v>92.097445038621501</v>
      </c>
      <c r="F124" s="1" t="str">
        <f>IF(C124=0,"","gal")</f>
        <v>gal</v>
      </c>
      <c r="G124" s="549">
        <f>IF(C124=0,"NA",IF(curve=1,aeration_tank_vol,VLOOKUP(aeration_tank_vol,hdpe_bwt_cost_cl,2)))</f>
        <v>92.097445038621501</v>
      </c>
      <c r="H124" s="510" t="str">
        <f>IF(C124=0,"","gal")</f>
        <v>gal</v>
      </c>
      <c r="I124" s="686">
        <f>IF(C124=0,"NA",IF(curve=1,hdpe_aeration_eq,VLOOKUP(aeration_tank_vol,hdpe_bwt_cost_cl,3)))</f>
        <v>627.0134928760915</v>
      </c>
      <c r="J124" s="356">
        <f>IF(OR(C124=0,I124="contact vendor"),"--",C124*I124)</f>
        <v>627.0134928760915</v>
      </c>
      <c r="K124" s="195">
        <f>IF(C124=0,"NA",VLOOKUP(aeration_tank_vol,hdpe_bwt_cost_cl,IF(ss_cat="large",4,5)))</f>
        <v>20</v>
      </c>
      <c r="L124" s="354">
        <v>1</v>
      </c>
      <c r="M124" s="5" t="str">
        <f>$B$67&amp;" - "&amp;$B$121&amp;" - "&amp;B124</f>
        <v>Tanks - Aeration Tanks - Plastic/XLPE</v>
      </c>
      <c r="N124" s="694">
        <v>1</v>
      </c>
      <c r="O124" s="694">
        <v>2</v>
      </c>
      <c r="P124" s="694">
        <v>3</v>
      </c>
      <c r="Q124" s="694">
        <v>1</v>
      </c>
      <c r="R124" s="694">
        <v>2</v>
      </c>
      <c r="S124" s="694">
        <v>3</v>
      </c>
      <c r="T124" s="694">
        <v>1</v>
      </c>
      <c r="U124" s="694">
        <v>2</v>
      </c>
      <c r="V124" s="694">
        <v>3</v>
      </c>
      <c r="W124" s="694">
        <f t="shared" si="7"/>
        <v>1</v>
      </c>
      <c r="X124">
        <f t="shared" si="8"/>
        <v>31.350674643804574</v>
      </c>
      <c r="Y124" s="1"/>
    </row>
    <row r="125" spans="1:25" s="773" customFormat="1" x14ac:dyDescent="0.2">
      <c r="A125" s="320" t="s">
        <v>2875</v>
      </c>
      <c r="B125" s="1" t="s">
        <v>2876</v>
      </c>
      <c r="C125" s="555">
        <f>total_diffusers</f>
        <v>1</v>
      </c>
      <c r="D125" s="355" t="s">
        <v>606</v>
      </c>
      <c r="E125" s="195">
        <f>diffuser_size</f>
        <v>5.5972222222222232</v>
      </c>
      <c r="F125" s="1" t="s">
        <v>3250</v>
      </c>
      <c r="G125" s="549">
        <f>IF(curve=1,diffuser_size,VLOOKUP(diffuser_size,diffuser_cost_cl,2))</f>
        <v>5.5972222222222232</v>
      </c>
      <c r="H125" s="510" t="s">
        <v>3250</v>
      </c>
      <c r="I125" s="686">
        <f>IF(C125=0,"NA",IF(curve=1,diffuser_eq,VLOOKUP(diffuser_size,diffuser_cost_cl,3)))</f>
        <v>48.146978400651619</v>
      </c>
      <c r="J125" s="356">
        <f>IF(OR(C125=0,I125="contact vendor"),"--",C125*I125)</f>
        <v>48.146978400651619</v>
      </c>
      <c r="K125" s="195">
        <f>IF(C125=0,"NA",VLOOKUP(diffuser_size,diffuser_cost_cl,IF(ss_cat="large",4,5)))</f>
        <v>10</v>
      </c>
      <c r="L125" s="354">
        <v>1</v>
      </c>
      <c r="M125" s="5" t="str">
        <f>$B$67&amp;" - "&amp;$B$121&amp;" - "&amp;B125</f>
        <v>Tanks - Aeration Tanks - Diffusers</v>
      </c>
      <c r="N125" s="694">
        <v>1</v>
      </c>
      <c r="O125" s="694">
        <v>1</v>
      </c>
      <c r="P125" s="694">
        <v>1</v>
      </c>
      <c r="Q125" s="694">
        <v>1</v>
      </c>
      <c r="R125" s="694">
        <v>1</v>
      </c>
      <c r="S125" s="694">
        <v>1</v>
      </c>
      <c r="T125" s="694">
        <v>1</v>
      </c>
      <c r="U125" s="694">
        <v>1</v>
      </c>
      <c r="V125" s="694">
        <v>1</v>
      </c>
      <c r="W125" s="694">
        <f t="shared" si="7"/>
        <v>1</v>
      </c>
      <c r="X125">
        <f t="shared" si="8"/>
        <v>4.8146978400651621</v>
      </c>
      <c r="Y125" s="1"/>
    </row>
    <row r="126" spans="1:25" s="773" customFormat="1" x14ac:dyDescent="0.2">
      <c r="A126" s="473">
        <v>3.12</v>
      </c>
      <c r="B126" s="874" t="s">
        <v>4311</v>
      </c>
      <c r="C126" s="554"/>
      <c r="D126" s="272"/>
      <c r="E126" s="283"/>
      <c r="F126" s="511"/>
      <c r="G126" s="529"/>
      <c r="H126" s="511"/>
      <c r="I126" s="284"/>
      <c r="J126" s="283"/>
      <c r="K126" s="283"/>
      <c r="L126" s="192"/>
      <c r="M126" s="5"/>
      <c r="N126" s="695"/>
      <c r="O126" s="695"/>
      <c r="P126" s="695"/>
      <c r="Q126" s="695"/>
      <c r="R126" s="695"/>
      <c r="S126" s="695"/>
      <c r="T126" s="695"/>
      <c r="U126" s="695"/>
      <c r="V126" s="695"/>
      <c r="W126" s="694">
        <f t="shared" si="7"/>
        <v>0</v>
      </c>
      <c r="X126">
        <f t="shared" si="8"/>
        <v>0</v>
      </c>
      <c r="Y126" s="1"/>
    </row>
    <row r="127" spans="1:25" s="773" customFormat="1" x14ac:dyDescent="0.2">
      <c r="A127" s="320" t="s">
        <v>2917</v>
      </c>
      <c r="B127" s="1" t="s">
        <v>3928</v>
      </c>
      <c r="C127" s="555">
        <f>coag_tanks</f>
        <v>1</v>
      </c>
      <c r="D127" s="355" t="s">
        <v>606</v>
      </c>
      <c r="E127" s="549">
        <f>IF(C127=0,"NA",coag_tank_vol)</f>
        <v>19</v>
      </c>
      <c r="F127" s="1" t="str">
        <f>IF(C127=0,"","gal")</f>
        <v>gal</v>
      </c>
      <c r="G127" s="549">
        <f>IF(C127=0,"NA",IF(curve=1,coag_tank_vol,VLOOKUP(coag_tank_vol,pl_cst_cost_cl,2)))</f>
        <v>19</v>
      </c>
      <c r="H127" s="510" t="str">
        <f>IF(C127=0,"","gal")</f>
        <v>gal</v>
      </c>
      <c r="I127" s="686">
        <f>IF(C127=0,"NA",IF(curve=1,pl_coag_st_eq,VLOOKUP(coag_tank_vol,pl_cst_cost_cl,3)))</f>
        <v>732.28481225499991</v>
      </c>
      <c r="J127" s="356">
        <f>IF(OR(C127=0,I127="contact vendor"),"--",C127*I127)</f>
        <v>732.28481225499991</v>
      </c>
      <c r="K127" s="195">
        <f>IF(C127=0,"NA",VLOOKUP(coag_tank_vol,pl_cst_cost_cl,IF(ss_cat="large",4,5)))</f>
        <v>7</v>
      </c>
      <c r="L127" s="354">
        <v>1</v>
      </c>
      <c r="M127" s="5" t="str">
        <f>$B$67&amp;" - "&amp;$B$126&amp;" - "&amp;B127</f>
        <v>Tanks - Ferric Chloride Storage Tanks - Plastic/XLPE</v>
      </c>
      <c r="N127" s="694">
        <v>1</v>
      </c>
      <c r="O127" s="694">
        <v>2</v>
      </c>
      <c r="P127" s="694">
        <v>2</v>
      </c>
      <c r="Q127" s="694">
        <v>1</v>
      </c>
      <c r="R127" s="694">
        <v>2</v>
      </c>
      <c r="S127" s="694">
        <v>2</v>
      </c>
      <c r="T127" s="694">
        <v>1</v>
      </c>
      <c r="U127" s="694">
        <v>2</v>
      </c>
      <c r="V127" s="694">
        <v>2</v>
      </c>
      <c r="W127" s="694">
        <f t="shared" si="7"/>
        <v>1</v>
      </c>
      <c r="X127">
        <f>IF(W127,J127/K127,0)</f>
        <v>104.61211603642856</v>
      </c>
      <c r="Y127" s="1"/>
    </row>
    <row r="128" spans="1:25" s="773" customFormat="1" x14ac:dyDescent="0.2">
      <c r="A128" s="320" t="s">
        <v>2917</v>
      </c>
      <c r="B128" s="1" t="s">
        <v>1425</v>
      </c>
      <c r="C128" s="555">
        <f>coag_tanks</f>
        <v>1</v>
      </c>
      <c r="D128" s="355" t="s">
        <v>606</v>
      </c>
      <c r="E128" s="549">
        <f>IF(C128=0,"NA",coag_tank_vol)</f>
        <v>19</v>
      </c>
      <c r="F128" s="1" t="str">
        <f>IF(C128=0,"","gal")</f>
        <v>gal</v>
      </c>
      <c r="G128" s="549">
        <f>IF(C128=0,"NA",IF(curve=1,coag_tank_vol,VLOOKUP(coag_tank_vol,fg_cst_cost_cl,2)))</f>
        <v>19</v>
      </c>
      <c r="H128" s="510" t="str">
        <f>IF(C128=0,"","gal")</f>
        <v>gal</v>
      </c>
      <c r="I128" s="686">
        <f>IF(C128=0,"NA",IF(curve=1,fg_coag_st_eq,VLOOKUP(coag_day_vol,fg_cst_cost_cl,3)))</f>
        <v>1315.133803163955</v>
      </c>
      <c r="J128" s="356">
        <f>IF(OR(C128=0,I128="contact vendor"),"--",C128*I128)</f>
        <v>1315.133803163955</v>
      </c>
      <c r="K128" s="195">
        <f>IF(C128=0,"NA",VLOOKUP(coag_tank_vol,fg_cst_cost_cl,IF(ss_cat="large",4,5)))</f>
        <v>7</v>
      </c>
      <c r="L128" s="354">
        <v>0</v>
      </c>
      <c r="M128" s="5" t="str">
        <f t="shared" ref="M128:M130" si="9">$B$67&amp;" - "&amp;$B$126&amp;" - "&amp;B128</f>
        <v>Tanks - Ferric Chloride Storage Tanks - Fiberglass</v>
      </c>
      <c r="N128" s="694">
        <v>2</v>
      </c>
      <c r="O128" s="694">
        <v>1</v>
      </c>
      <c r="P128" s="694">
        <v>1</v>
      </c>
      <c r="Q128" s="694">
        <v>2</v>
      </c>
      <c r="R128" s="694">
        <v>1</v>
      </c>
      <c r="S128" s="694">
        <v>1</v>
      </c>
      <c r="T128" s="694">
        <v>2</v>
      </c>
      <c r="U128" s="694">
        <v>1</v>
      </c>
      <c r="V128" s="694">
        <v>1</v>
      </c>
      <c r="W128" s="694">
        <f t="shared" si="7"/>
        <v>0</v>
      </c>
      <c r="X128">
        <f t="shared" si="8"/>
        <v>0</v>
      </c>
      <c r="Y128" s="1"/>
    </row>
    <row r="129" spans="1:25" s="773" customFormat="1" x14ac:dyDescent="0.2">
      <c r="A129" s="320" t="s">
        <v>4352</v>
      </c>
      <c r="B129" s="1" t="s">
        <v>4145</v>
      </c>
      <c r="C129" s="555">
        <f>IF(OR(include_sec_cont=0,coag_tanks=0),0,coag_curb_concrete)</f>
        <v>1</v>
      </c>
      <c r="D129" s="355" t="s">
        <v>2458</v>
      </c>
      <c r="E129" s="649" t="s">
        <v>590</v>
      </c>
      <c r="F129" s="30"/>
      <c r="G129" s="649" t="s">
        <v>590</v>
      </c>
      <c r="H129" s="30"/>
      <c r="I129" s="357">
        <f>IF(C129=0,"NA",VLOOKUP(0,conc_basin_cost_cl,3))</f>
        <v>739.60558874747949</v>
      </c>
      <c r="J129" s="353">
        <f>IF(C129=0,"--",IF(I129="contact vendor","--",C129*I129))</f>
        <v>739.60558874747949</v>
      </c>
      <c r="K129" s="352">
        <f>IF(C129=0,"NA",VLOOKUP(0,conc_basin_cost_cl,IF(ss_cat="large",4,5)))</f>
        <v>37</v>
      </c>
      <c r="L129" s="354">
        <v>1</v>
      </c>
      <c r="M129" s="5" t="str">
        <f t="shared" si="9"/>
        <v>Tanks - Ferric Chloride Storage Tanks - Secondary Containment - Concrete Curbing</v>
      </c>
      <c r="N129" s="694">
        <v>1</v>
      </c>
      <c r="O129" s="694">
        <v>1</v>
      </c>
      <c r="P129" s="694">
        <v>1</v>
      </c>
      <c r="Q129" s="694">
        <v>1</v>
      </c>
      <c r="R129" s="694">
        <v>1</v>
      </c>
      <c r="S129" s="694">
        <v>1</v>
      </c>
      <c r="T129" s="694">
        <v>1</v>
      </c>
      <c r="U129" s="694">
        <v>1</v>
      </c>
      <c r="V129" s="694">
        <v>1</v>
      </c>
      <c r="W129" s="694">
        <f>IF(ISERROR(K129*L129),0,IF(K129&lt;1,0,L129))</f>
        <v>1</v>
      </c>
      <c r="X129">
        <f>IF(W129,J129/K129,0)</f>
        <v>19.989340236418364</v>
      </c>
      <c r="Y129" s="1"/>
    </row>
    <row r="130" spans="1:25" s="773" customFormat="1" x14ac:dyDescent="0.2">
      <c r="A130" s="320" t="s">
        <v>4353</v>
      </c>
      <c r="B130" s="1" t="s">
        <v>4146</v>
      </c>
      <c r="C130" s="555">
        <f>IF(OR(include_sec_cont=0,coag_tanks=0),0,coag_coating_gal)</f>
        <v>1</v>
      </c>
      <c r="D130" s="355" t="s">
        <v>1332</v>
      </c>
      <c r="E130" s="649" t="s">
        <v>590</v>
      </c>
      <c r="F130" s="30"/>
      <c r="G130" s="649" t="s">
        <v>590</v>
      </c>
      <c r="H130" s="30"/>
      <c r="I130" s="357">
        <f>IF(C130=0,"NA",VLOOKUP(0,conc_coating_cost_cl,3))</f>
        <v>389.13</v>
      </c>
      <c r="J130" s="353">
        <f>IF(C130=0,"--",IF(I130="contact vendor","--",C130*I130))</f>
        <v>389.13</v>
      </c>
      <c r="K130" s="352">
        <f>IF(C130=0,"NA",VLOOKUP(0,conc_coating_cost_cl,IF(ss_cat="large",4,5)))</f>
        <v>10</v>
      </c>
      <c r="L130" s="354">
        <v>1</v>
      </c>
      <c r="M130" s="5" t="str">
        <f t="shared" si="9"/>
        <v>Tanks - Ferric Chloride Storage Tanks - Secondary Containment - Chemical Resistant Coating</v>
      </c>
      <c r="N130" s="694">
        <v>1</v>
      </c>
      <c r="O130" s="694">
        <v>1</v>
      </c>
      <c r="P130" s="694">
        <v>1</v>
      </c>
      <c r="Q130" s="694">
        <v>1</v>
      </c>
      <c r="R130" s="694">
        <v>1</v>
      </c>
      <c r="S130" s="694">
        <v>1</v>
      </c>
      <c r="T130" s="694">
        <v>1</v>
      </c>
      <c r="U130" s="694">
        <v>1</v>
      </c>
      <c r="V130" s="694">
        <v>1</v>
      </c>
      <c r="W130" s="694">
        <f>IF(ISERROR(K130*L130),0,IF(K130&lt;1,0,L130))</f>
        <v>1</v>
      </c>
      <c r="X130">
        <f>IF(W130,J130/K130,0)</f>
        <v>38.912999999999997</v>
      </c>
      <c r="Y130" s="1"/>
    </row>
    <row r="131" spans="1:25" s="773" customFormat="1" x14ac:dyDescent="0.2">
      <c r="A131" s="473">
        <v>3.13</v>
      </c>
      <c r="B131" s="874" t="s">
        <v>4314</v>
      </c>
      <c r="C131" s="554"/>
      <c r="D131" s="272"/>
      <c r="E131" s="283"/>
      <c r="F131" s="511"/>
      <c r="G131" s="529"/>
      <c r="H131" s="511"/>
      <c r="I131" s="284"/>
      <c r="J131" s="283"/>
      <c r="K131" s="283"/>
      <c r="L131" s="192"/>
      <c r="M131" s="5"/>
      <c r="N131" s="695"/>
      <c r="O131" s="695"/>
      <c r="P131" s="695"/>
      <c r="Q131" s="695"/>
      <c r="R131" s="695"/>
      <c r="S131" s="695"/>
      <c r="T131" s="695"/>
      <c r="U131" s="695"/>
      <c r="V131" s="695"/>
      <c r="W131" s="694">
        <f t="shared" ref="W131:W133" si="10">IF(ISERROR(K131*L131),0,IF(K131&lt;1,0,L131))</f>
        <v>0</v>
      </c>
      <c r="X131">
        <f t="shared" ref="X131" si="11">IF(W131,J131/K131,0)</f>
        <v>0</v>
      </c>
      <c r="Y131" s="1"/>
    </row>
    <row r="132" spans="1:25" s="773" customFormat="1" x14ac:dyDescent="0.2">
      <c r="A132" s="320" t="s">
        <v>373</v>
      </c>
      <c r="B132" s="1" t="s">
        <v>3928</v>
      </c>
      <c r="C132" s="555">
        <f>coag_day_tanks</f>
        <v>0</v>
      </c>
      <c r="D132" s="355" t="s">
        <v>606</v>
      </c>
      <c r="E132" s="549" t="str">
        <f>IF(C132=0,"NA",coag_day_tank_vol)</f>
        <v>NA</v>
      </c>
      <c r="F132" s="1" t="str">
        <f>IF(C132=0,"","gal")</f>
        <v/>
      </c>
      <c r="G132" s="549" t="str">
        <f>IF(C132=0,"NA",IF(curve=1,coag_day_tank_vol,VLOOKUP(coag_day_tank_vol,pl_cst_cost_cl,2)))</f>
        <v>NA</v>
      </c>
      <c r="H132" s="510" t="str">
        <f>IF(C132=0,"","gal")</f>
        <v/>
      </c>
      <c r="I132" s="686" t="str">
        <f>IF(C132=0,"NA",IF(curve=1,pl_coag_day_eq,VLOOKUP(coag_day_tank_vol,pl_cst_cost_cl,3)))</f>
        <v>NA</v>
      </c>
      <c r="J132" s="356" t="str">
        <f>IF(OR(C132=0,I132="contact vendor"),"--",C132*I132)</f>
        <v>--</v>
      </c>
      <c r="K132" s="195" t="str">
        <f>IF(C132=0,"NA",VLOOKUP(coag_day_tank_vol,pl_cst_cost_cl,IF(ss_cat="large",4,5)))</f>
        <v>NA</v>
      </c>
      <c r="L132" s="354"/>
      <c r="M132" s="5" t="str">
        <f>$B$67&amp;" - "&amp;$B$131&amp;" - "&amp;B132</f>
        <v>Tanks - Ferric Chloride Day Tanks - Plastic/XLPE</v>
      </c>
      <c r="N132" s="694">
        <v>1</v>
      </c>
      <c r="O132" s="694">
        <v>2</v>
      </c>
      <c r="P132" s="694">
        <v>2</v>
      </c>
      <c r="Q132" s="694">
        <v>1</v>
      </c>
      <c r="R132" s="694">
        <v>2</v>
      </c>
      <c r="S132" s="694">
        <v>2</v>
      </c>
      <c r="T132" s="694">
        <v>1</v>
      </c>
      <c r="U132" s="694">
        <v>2</v>
      </c>
      <c r="V132" s="694">
        <v>2</v>
      </c>
      <c r="W132" s="694">
        <f t="shared" si="10"/>
        <v>0</v>
      </c>
      <c r="X132">
        <f>IF(W132,J132/K132,0)</f>
        <v>0</v>
      </c>
      <c r="Y132" s="1"/>
    </row>
    <row r="133" spans="1:25" s="773" customFormat="1" x14ac:dyDescent="0.2">
      <c r="A133" s="320" t="s">
        <v>373</v>
      </c>
      <c r="B133" s="1" t="s">
        <v>1425</v>
      </c>
      <c r="C133" s="555">
        <f>coag_day_tanks</f>
        <v>0</v>
      </c>
      <c r="D133" s="355" t="s">
        <v>606</v>
      </c>
      <c r="E133" s="549" t="str">
        <f>IF(C133=0,"NA",coag_day_tank_vol)</f>
        <v>NA</v>
      </c>
      <c r="F133" s="1" t="str">
        <f>IF(C133=0,"","gal")</f>
        <v/>
      </c>
      <c r="G133" s="549" t="str">
        <f>IF(C133=0,"NA",IF(curve=1,coag_day_tank_vol,VLOOKUP(coag_day_tank_vol,fg_cst_cost_cl,2)))</f>
        <v>NA</v>
      </c>
      <c r="H133" s="510" t="str">
        <f>IF(C133=0,"","gal")</f>
        <v/>
      </c>
      <c r="I133" s="686" t="str">
        <f>IF(C133=0,"NA",IF(curve=1,fg_coag_day_eq,VLOOKUP(coag_day_tank_vol,fg_cst_cost_cl,3)))</f>
        <v>NA</v>
      </c>
      <c r="J133" s="356" t="str">
        <f>IF(OR(C133=0,I133="contact vendor"),"--",C133*I133)</f>
        <v>--</v>
      </c>
      <c r="K133" s="195" t="str">
        <f>IF(C133=0,"NA",VLOOKUP(coag_day_tank_vol,fg_cst_cost_cl,IF(ss_cat="large",4,5)))</f>
        <v>NA</v>
      </c>
      <c r="L133" s="354"/>
      <c r="M133" s="5" t="str">
        <f t="shared" ref="M133:M135" si="12">$B$67&amp;" - "&amp;$B$131&amp;" - "&amp;B133</f>
        <v>Tanks - Ferric Chloride Day Tanks - Fiberglass</v>
      </c>
      <c r="N133" s="694">
        <v>2</v>
      </c>
      <c r="O133" s="694">
        <v>1</v>
      </c>
      <c r="P133" s="694">
        <v>1</v>
      </c>
      <c r="Q133" s="694">
        <v>2</v>
      </c>
      <c r="R133" s="694">
        <v>1</v>
      </c>
      <c r="S133" s="694">
        <v>1</v>
      </c>
      <c r="T133" s="694">
        <v>2</v>
      </c>
      <c r="U133" s="694">
        <v>1</v>
      </c>
      <c r="V133" s="694">
        <v>1</v>
      </c>
      <c r="W133" s="694">
        <f t="shared" si="10"/>
        <v>0</v>
      </c>
      <c r="X133">
        <f t="shared" ref="X133" si="13">IF(W133,J133/K133,0)</f>
        <v>0</v>
      </c>
      <c r="Y133" s="1"/>
    </row>
    <row r="134" spans="1:25" s="773" customFormat="1" x14ac:dyDescent="0.2">
      <c r="A134" s="320" t="s">
        <v>4354</v>
      </c>
      <c r="B134" s="1" t="s">
        <v>4145</v>
      </c>
      <c r="C134" s="555">
        <f>IF(OR(include_sec_cont=0,coag_tanks=0),0,coag_dt_curb_concrete)</f>
        <v>0</v>
      </c>
      <c r="D134" s="355" t="s">
        <v>2458</v>
      </c>
      <c r="E134" s="649" t="s">
        <v>590</v>
      </c>
      <c r="F134" s="30"/>
      <c r="G134" s="649" t="s">
        <v>590</v>
      </c>
      <c r="H134" s="30"/>
      <c r="I134" s="357" t="str">
        <f>IF(C134=0,"NA",VLOOKUP(0,conc_basin_cost_cl,3))</f>
        <v>NA</v>
      </c>
      <c r="J134" s="353" t="str">
        <f>IF(C134=0,"--",IF(I134="contact vendor","--",C134*I134))</f>
        <v>--</v>
      </c>
      <c r="K134" s="352" t="str">
        <f>IF(C134=0,"NA",VLOOKUP(0,conc_basin_cost_cl,IF(ss_cat="large",4,5)))</f>
        <v>NA</v>
      </c>
      <c r="L134" s="354"/>
      <c r="M134" s="5" t="str">
        <f t="shared" si="12"/>
        <v>Tanks - Ferric Chloride Day Tanks - Secondary Containment - Concrete Curbing</v>
      </c>
      <c r="N134" s="694">
        <v>1</v>
      </c>
      <c r="O134" s="694">
        <v>1</v>
      </c>
      <c r="P134" s="694">
        <v>1</v>
      </c>
      <c r="Q134" s="694">
        <v>1</v>
      </c>
      <c r="R134" s="694">
        <v>1</v>
      </c>
      <c r="S134" s="694">
        <v>1</v>
      </c>
      <c r="T134" s="694">
        <v>1</v>
      </c>
      <c r="U134" s="694">
        <v>1</v>
      </c>
      <c r="V134" s="694">
        <v>1</v>
      </c>
      <c r="W134" s="694">
        <f>IF(ISERROR(K134*L134),0,IF(K134&lt;1,0,L134))</f>
        <v>0</v>
      </c>
      <c r="X134">
        <f>IF(W134,J134/K134,0)</f>
        <v>0</v>
      </c>
      <c r="Y134" s="1"/>
    </row>
    <row r="135" spans="1:25" s="773" customFormat="1" x14ac:dyDescent="0.2">
      <c r="A135" s="320" t="s">
        <v>4355</v>
      </c>
      <c r="B135" s="1" t="s">
        <v>4146</v>
      </c>
      <c r="C135" s="555">
        <f>IF(OR(include_sec_cont=0,coag_tanks=0),0,coag_dt_coating_gal)</f>
        <v>0</v>
      </c>
      <c r="D135" s="355" t="s">
        <v>1332</v>
      </c>
      <c r="E135" s="649" t="s">
        <v>590</v>
      </c>
      <c r="F135" s="30"/>
      <c r="G135" s="649" t="s">
        <v>590</v>
      </c>
      <c r="H135" s="30"/>
      <c r="I135" s="357" t="str">
        <f>IF(C135=0,"NA",VLOOKUP(0,conc_coating_cost_cl,3))</f>
        <v>NA</v>
      </c>
      <c r="J135" s="353" t="str">
        <f>IF(C135=0,"--",IF(I135="contact vendor","--",C135*I135))</f>
        <v>--</v>
      </c>
      <c r="K135" s="352" t="str">
        <f>IF(C135=0,"NA",VLOOKUP(0,conc_coating_cost_cl,IF(ss_cat="large",4,5)))</f>
        <v>NA</v>
      </c>
      <c r="L135" s="354"/>
      <c r="M135" s="5" t="str">
        <f t="shared" si="12"/>
        <v>Tanks - Ferric Chloride Day Tanks - Secondary Containment - Chemical Resistant Coating</v>
      </c>
      <c r="N135" s="694">
        <v>1</v>
      </c>
      <c r="O135" s="694">
        <v>1</v>
      </c>
      <c r="P135" s="694">
        <v>1</v>
      </c>
      <c r="Q135" s="694">
        <v>1</v>
      </c>
      <c r="R135" s="694">
        <v>1</v>
      </c>
      <c r="S135" s="694">
        <v>1</v>
      </c>
      <c r="T135" s="694">
        <v>1</v>
      </c>
      <c r="U135" s="694">
        <v>1</v>
      </c>
      <c r="V135" s="694">
        <v>1</v>
      </c>
      <c r="W135" s="694">
        <f>IF(ISERROR(K135*L135),0,IF(K135&lt;1,0,L135))</f>
        <v>0</v>
      </c>
      <c r="X135">
        <f>IF(W135,J135/K135,0)</f>
        <v>0</v>
      </c>
      <c r="Y135" s="1"/>
    </row>
    <row r="136" spans="1:25" x14ac:dyDescent="0.2">
      <c r="A136" s="473">
        <v>3.14</v>
      </c>
      <c r="B136" s="13" t="s">
        <v>2918</v>
      </c>
      <c r="C136" s="554"/>
      <c r="D136" s="272"/>
      <c r="E136" s="283"/>
      <c r="F136" s="511"/>
      <c r="G136" s="529"/>
      <c r="H136" s="511"/>
      <c r="I136" s="284"/>
      <c r="J136" s="283"/>
      <c r="K136" s="283"/>
      <c r="L136" s="192"/>
      <c r="M136" s="5"/>
      <c r="N136" s="695"/>
      <c r="O136" s="695"/>
      <c r="P136" s="695"/>
      <c r="Q136" s="695"/>
      <c r="R136" s="695"/>
      <c r="S136" s="695"/>
      <c r="T136" s="695"/>
      <c r="U136" s="695"/>
      <c r="V136" s="695"/>
      <c r="W136" s="694">
        <f t="shared" si="7"/>
        <v>0</v>
      </c>
      <c r="X136">
        <f t="shared" si="8"/>
        <v>0</v>
      </c>
      <c r="Y136"/>
    </row>
    <row r="137" spans="1:25" s="773" customFormat="1" x14ac:dyDescent="0.2">
      <c r="A137" s="320" t="s">
        <v>4356</v>
      </c>
      <c r="B137" s="1" t="s">
        <v>3928</v>
      </c>
      <c r="C137" s="555">
        <f>polymer_tanks</f>
        <v>1</v>
      </c>
      <c r="D137" s="355" t="s">
        <v>606</v>
      </c>
      <c r="E137" s="549">
        <f>IF(C137=0,"NA",polymer_tank_vol)</f>
        <v>6</v>
      </c>
      <c r="F137" s="1" t="str">
        <f>IF(C137=0,"","gal")</f>
        <v>gal</v>
      </c>
      <c r="G137" s="549">
        <f>IF(C137=0,"NA",IF(curve=1,polymer_tank_vol,VLOOKUP(polymer_tank_vol,pl_cst_cost_cl,2)))</f>
        <v>6</v>
      </c>
      <c r="H137" s="510" t="str">
        <f>IF(C137=0,"","gal")</f>
        <v>gal</v>
      </c>
      <c r="I137" s="686">
        <f>IF(C137=0,"NA",IF(curve=1,pl_polymer_st_eq,VLOOKUP(polymer_tank_vol,pl_cst_cost_cl,3)))</f>
        <v>717.59721265299993</v>
      </c>
      <c r="J137" s="356">
        <f>IF(OR(C137=0,I137="contact vendor"),"--",C137*I137)</f>
        <v>717.59721265299993</v>
      </c>
      <c r="K137" s="195">
        <f>IF(C137=0,"NA",VLOOKUP(polymer_tank_vol,pl_cst_cost_cl,IF(ss_cat="large",4,5)))</f>
        <v>7</v>
      </c>
      <c r="L137" s="354">
        <v>1</v>
      </c>
      <c r="M137" s="5" t="str">
        <f>$B$67&amp;" - "&amp;$B$136&amp;" - "&amp;B137</f>
        <v>Tanks - Polymer Storage Tanks - Plastic/XLPE</v>
      </c>
      <c r="N137" s="694">
        <v>1</v>
      </c>
      <c r="O137" s="694">
        <v>2</v>
      </c>
      <c r="P137" s="694">
        <v>3</v>
      </c>
      <c r="Q137" s="694">
        <v>1</v>
      </c>
      <c r="R137" s="694">
        <v>2</v>
      </c>
      <c r="S137" s="694">
        <v>3</v>
      </c>
      <c r="T137" s="694">
        <v>1</v>
      </c>
      <c r="U137" s="694">
        <v>2</v>
      </c>
      <c r="V137" s="694">
        <v>3</v>
      </c>
      <c r="W137" s="694">
        <f t="shared" si="7"/>
        <v>1</v>
      </c>
      <c r="X137">
        <f t="shared" si="8"/>
        <v>102.51388752185713</v>
      </c>
      <c r="Y137" s="1"/>
    </row>
    <row r="138" spans="1:25" s="773" customFormat="1" x14ac:dyDescent="0.2">
      <c r="A138" s="320" t="s">
        <v>4356</v>
      </c>
      <c r="B138" s="1" t="s">
        <v>1425</v>
      </c>
      <c r="C138" s="555">
        <f>polymer_tanks</f>
        <v>1</v>
      </c>
      <c r="D138" s="355" t="s">
        <v>606</v>
      </c>
      <c r="E138" s="549">
        <f>IF(C138=0,"NA",polymer_tank_vol)</f>
        <v>6</v>
      </c>
      <c r="F138" s="1" t="str">
        <f>IF(C138=0,"","gal")</f>
        <v>gal</v>
      </c>
      <c r="G138" s="549">
        <f>IF(C138=0,"NA",IF(curve=1,polymer_tank_vol,VLOOKUP(polymer_tank_vol,fg_cst_cost_cl,2)))</f>
        <v>6</v>
      </c>
      <c r="H138" s="510" t="str">
        <f>IF(C138=0,"","gal")</f>
        <v>gal</v>
      </c>
      <c r="I138" s="686">
        <f>IF(C138=0,"NA",IF(curve=1,fg_polymer_st_eq,VLOOKUP(polymer_tank_vol,fg_cst_cost_cl,3)))</f>
        <v>696.54557515309079</v>
      </c>
      <c r="J138" s="356">
        <f>IF(OR(C138=0,I138="contact vendor"),"--",C138*I138)</f>
        <v>696.54557515309079</v>
      </c>
      <c r="K138" s="195">
        <f>IF(C138=0,"NA",VLOOKUP(polymer_tank_vol,fg_cst_cost_cl,IF(ss_cat="large",4,5)))</f>
        <v>7</v>
      </c>
      <c r="L138" s="354">
        <v>0</v>
      </c>
      <c r="M138" s="5" t="str">
        <f>$B$67&amp;" - "&amp;$B$136&amp;" - "&amp;B138</f>
        <v>Tanks - Polymer Storage Tanks - Fiberglass</v>
      </c>
      <c r="N138" s="694">
        <v>2</v>
      </c>
      <c r="O138" s="694">
        <v>1</v>
      </c>
      <c r="P138" s="694">
        <v>2</v>
      </c>
      <c r="Q138" s="694">
        <v>2</v>
      </c>
      <c r="R138" s="694">
        <v>1</v>
      </c>
      <c r="S138" s="694">
        <v>2</v>
      </c>
      <c r="T138" s="694">
        <v>2</v>
      </c>
      <c r="U138" s="694">
        <v>1</v>
      </c>
      <c r="V138" s="694">
        <v>2</v>
      </c>
      <c r="W138" s="694">
        <f t="shared" si="7"/>
        <v>0</v>
      </c>
      <c r="X138">
        <f t="shared" si="8"/>
        <v>0</v>
      </c>
      <c r="Y138" s="1"/>
    </row>
    <row r="139" spans="1:25" s="773" customFormat="1" x14ac:dyDescent="0.2">
      <c r="A139" s="320" t="s">
        <v>4356</v>
      </c>
      <c r="B139" s="1" t="s">
        <v>1421</v>
      </c>
      <c r="C139" s="555">
        <f>polymer_tanks</f>
        <v>1</v>
      </c>
      <c r="D139" s="355" t="s">
        <v>606</v>
      </c>
      <c r="E139" s="549">
        <f>IF(C139=0,"NA",polymer_tank_vol)</f>
        <v>6</v>
      </c>
      <c r="F139" s="1" t="str">
        <f>IF(C139=0,"","gal")</f>
        <v>gal</v>
      </c>
      <c r="G139" s="549">
        <f>IF(C139=0,"NA",IF(curve=1,polymer_tank_vol,VLOOKUP(polymer_tank_vol,ss_cst_cost_cl,2)))</f>
        <v>6</v>
      </c>
      <c r="H139" s="510" t="str">
        <f>IF(C139=0,"","gal")</f>
        <v>gal</v>
      </c>
      <c r="I139" s="686">
        <f>IF(C139=0,"NA",IF(curve=1,ss_polymer_st_eq,VLOOKUP(polymer_tank_vol,ss_cst_cost_cl,3)))</f>
        <v>210.65160971128725</v>
      </c>
      <c r="J139" s="356">
        <f>IF(OR(C139=0,I139="contact vendor"),"--",C139*I139)</f>
        <v>210.65160971128725</v>
      </c>
      <c r="K139" s="195">
        <f>IF(C139=0,"NA",VLOOKUP(polymer_tank_vol,ss_cst_cost_cl,IF(ss_cat="large",4,5)))</f>
        <v>30</v>
      </c>
      <c r="L139" s="354">
        <v>0</v>
      </c>
      <c r="M139" s="5" t="str">
        <f>$B$67&amp;" - "&amp;$B$136&amp;" - "&amp;B139</f>
        <v>Tanks - Polymer Storage Tanks - Stainless Steel</v>
      </c>
      <c r="N139" s="694">
        <v>3</v>
      </c>
      <c r="O139" s="694">
        <v>3</v>
      </c>
      <c r="P139" s="694">
        <v>1</v>
      </c>
      <c r="Q139" s="694">
        <v>3</v>
      </c>
      <c r="R139" s="694">
        <v>3</v>
      </c>
      <c r="S139" s="694">
        <v>1</v>
      </c>
      <c r="T139" s="694">
        <v>3</v>
      </c>
      <c r="U139" s="694">
        <v>3</v>
      </c>
      <c r="V139" s="694">
        <v>1</v>
      </c>
      <c r="W139" s="694">
        <f t="shared" si="7"/>
        <v>0</v>
      </c>
      <c r="X139">
        <f t="shared" si="8"/>
        <v>0</v>
      </c>
      <c r="Y139" s="1"/>
    </row>
    <row r="140" spans="1:25" x14ac:dyDescent="0.2">
      <c r="A140" s="473">
        <v>3.15</v>
      </c>
      <c r="B140" s="13" t="s">
        <v>374</v>
      </c>
      <c r="C140" s="554"/>
      <c r="D140" s="272"/>
      <c r="E140" s="283"/>
      <c r="F140" s="511"/>
      <c r="G140" s="529"/>
      <c r="H140" s="511"/>
      <c r="I140" s="284"/>
      <c r="J140" s="283"/>
      <c r="K140" s="283"/>
      <c r="L140" s="192"/>
      <c r="M140" s="5"/>
      <c r="N140" s="695"/>
      <c r="O140" s="695"/>
      <c r="P140" s="695"/>
      <c r="Q140" s="695"/>
      <c r="R140" s="695"/>
      <c r="S140" s="695"/>
      <c r="T140" s="695"/>
      <c r="U140" s="695"/>
      <c r="V140" s="695"/>
      <c r="W140" s="694">
        <f t="shared" si="7"/>
        <v>0</v>
      </c>
      <c r="X140">
        <f t="shared" si="8"/>
        <v>0</v>
      </c>
      <c r="Y140"/>
    </row>
    <row r="141" spans="1:25" s="773" customFormat="1" x14ac:dyDescent="0.2">
      <c r="A141" s="320" t="s">
        <v>4357</v>
      </c>
      <c r="B141" s="1" t="s">
        <v>581</v>
      </c>
      <c r="C141" s="555">
        <f>coag_mix_tank</f>
        <v>1</v>
      </c>
      <c r="D141" s="355" t="s">
        <v>606</v>
      </c>
      <c r="E141" s="549">
        <f>IF(C141=0,"NA",coag_mix_tank_size)</f>
        <v>86.111111111111114</v>
      </c>
      <c r="F141" s="1" t="str">
        <f>IF(C141=0,"","gal")</f>
        <v>gal</v>
      </c>
      <c r="G141" s="549">
        <f>IF(htanks=0,"NA",IF(curve=1,coag_mix_tank_size,VLOOKUP(coag_mix_tank_size,st_bwt_cost_cl,2)))</f>
        <v>86.111111111111114</v>
      </c>
      <c r="H141" s="510" t="str">
        <f>IF(C141=0,"","gal")</f>
        <v>gal</v>
      </c>
      <c r="I141" s="686">
        <f>IF(C141=0,0,IF(curve=1,st_coag_eq,VLOOKUP(coag_mix_tank_size,st_bwt_cost_cl,3)))</f>
        <v>2885.6226768897541</v>
      </c>
      <c r="J141" s="356">
        <f>IF(I141="contact vendor","--",C141*I141)</f>
        <v>2885.6226768897541</v>
      </c>
      <c r="K141" s="195">
        <f>IF(C141=0,"NA",VLOOKUP(coag_mix_tank_size,st_bwt_cost_cl,IF(ss_cat="large",4,5)))</f>
        <v>30</v>
      </c>
      <c r="L141" s="354">
        <v>0</v>
      </c>
      <c r="M141" s="35" t="str">
        <f>$B$67&amp;" - "&amp;$B$140&amp;" - "&amp;B141</f>
        <v>Tanks - Coagulant Mix Tank - Steel</v>
      </c>
      <c r="N141" s="694">
        <v>3</v>
      </c>
      <c r="O141" s="695">
        <v>3</v>
      </c>
      <c r="P141" s="694">
        <v>1</v>
      </c>
      <c r="Q141" s="694">
        <v>3</v>
      </c>
      <c r="R141" s="695">
        <v>3</v>
      </c>
      <c r="S141" s="694">
        <v>1</v>
      </c>
      <c r="T141" s="694">
        <v>3</v>
      </c>
      <c r="U141" s="695">
        <v>3</v>
      </c>
      <c r="V141" s="694">
        <v>1</v>
      </c>
      <c r="W141" s="694">
        <f t="shared" si="7"/>
        <v>0</v>
      </c>
      <c r="X141">
        <f t="shared" si="8"/>
        <v>0</v>
      </c>
      <c r="Y141" s="1"/>
    </row>
    <row r="142" spans="1:25" s="773" customFormat="1" x14ac:dyDescent="0.2">
      <c r="A142" s="320" t="s">
        <v>4357</v>
      </c>
      <c r="B142" s="1" t="s">
        <v>1425</v>
      </c>
      <c r="C142" s="555">
        <f>coag_mix_tank</f>
        <v>1</v>
      </c>
      <c r="D142" s="355" t="s">
        <v>606</v>
      </c>
      <c r="E142" s="549">
        <f>IF(C142=0,"NA",coag_mix_tank_size)</f>
        <v>86.111111111111114</v>
      </c>
      <c r="F142" s="1" t="str">
        <f>IF(C142=0,"","gal")</f>
        <v>gal</v>
      </c>
      <c r="G142" s="549">
        <f>IF(htanks=0,"NA",IF(curve=1,coag_mix_tank_size,VLOOKUP(coag_mix_tank_size,fg_bwt_cost_cl,2)))</f>
        <v>86.111111111111114</v>
      </c>
      <c r="H142" s="510" t="str">
        <f>IF(C142=0,"","gal")</f>
        <v>gal</v>
      </c>
      <c r="I142" s="686">
        <f>IF(C142=0,0,IF(curve=1,fg_coag_eq,VLOOKUP(coag_mix_tank_size,fg_bwt_cost_cl,3)))</f>
        <v>2586.3448610340756</v>
      </c>
      <c r="J142" s="356">
        <f>IF(I142="contact vendor","--",C142*I142)</f>
        <v>2586.3448610340756</v>
      </c>
      <c r="K142" s="195">
        <f>IF(C142=0,"NA",VLOOKUP(coag_mix_tank_size,fg_bwt_cost_cl,IF(ss_cat="large",4,5)))</f>
        <v>20</v>
      </c>
      <c r="L142" s="354">
        <v>0</v>
      </c>
      <c r="M142" s="35" t="str">
        <f>$B$67&amp;" - "&amp;$B$140&amp;" - "&amp;B142</f>
        <v>Tanks - Coagulant Mix Tank - Fiberglass</v>
      </c>
      <c r="N142" s="694">
        <v>2</v>
      </c>
      <c r="O142" s="694">
        <v>1</v>
      </c>
      <c r="P142" s="694">
        <v>2</v>
      </c>
      <c r="Q142" s="694">
        <v>2</v>
      </c>
      <c r="R142" s="694">
        <v>1</v>
      </c>
      <c r="S142" s="694">
        <v>2</v>
      </c>
      <c r="T142" s="694">
        <v>2</v>
      </c>
      <c r="U142" s="694">
        <v>1</v>
      </c>
      <c r="V142" s="694">
        <v>2</v>
      </c>
      <c r="W142" s="694">
        <f t="shared" si="7"/>
        <v>0</v>
      </c>
      <c r="X142">
        <f t="shared" si="8"/>
        <v>0</v>
      </c>
      <c r="Y142" s="1"/>
    </row>
    <row r="143" spans="1:25" s="773" customFormat="1" x14ac:dyDescent="0.2">
      <c r="A143" s="320" t="s">
        <v>4357</v>
      </c>
      <c r="B143" s="1" t="s">
        <v>3928</v>
      </c>
      <c r="C143" s="555">
        <f>coag_mix_tank</f>
        <v>1</v>
      </c>
      <c r="D143" s="355" t="s">
        <v>606</v>
      </c>
      <c r="E143" s="549">
        <f>IF(C143=0,"NA",coag_mix_tank_size)</f>
        <v>86.111111111111114</v>
      </c>
      <c r="F143" s="1" t="str">
        <f>IF(C143=0,"","gal")</f>
        <v>gal</v>
      </c>
      <c r="G143" s="549">
        <f>IF(htanks=0,"NA",IF(curve=1,coag_mix_tank_size,VLOOKUP(coag_mix_tank_size,hdpe_bwt_cost_cl,2)))</f>
        <v>86.111111111111114</v>
      </c>
      <c r="H143" s="510" t="str">
        <f>IF(C143=0,"","gal")</f>
        <v>gal</v>
      </c>
      <c r="I143" s="686">
        <f>IF(C143=0,0,IF(curve=1,hdpe_coag_eq,VLOOKUP(coag_mix_tank_size,hdpe_bwt_cost_cl,3)))</f>
        <v>614.50562162565848</v>
      </c>
      <c r="J143" s="356">
        <f>IF(I143="contact vendor","--",C143*I143)</f>
        <v>614.50562162565848</v>
      </c>
      <c r="K143" s="195">
        <f>IF(C143=0,"NA",VLOOKUP(coag_mix_tank_size,hdpe_bwt_cost_cl,IF(ss_cat="large",4,5)))</f>
        <v>20</v>
      </c>
      <c r="L143" s="354">
        <v>1</v>
      </c>
      <c r="M143" s="35" t="str">
        <f>$B$67&amp;" - "&amp;$B$140&amp;" - "&amp;B143</f>
        <v>Tanks - Coagulant Mix Tank - Plastic/XLPE</v>
      </c>
      <c r="N143" s="694">
        <v>1</v>
      </c>
      <c r="O143" s="694">
        <v>2</v>
      </c>
      <c r="P143" s="694">
        <v>3</v>
      </c>
      <c r="Q143" s="694">
        <v>1</v>
      </c>
      <c r="R143" s="694">
        <v>2</v>
      </c>
      <c r="S143" s="694">
        <v>3</v>
      </c>
      <c r="T143" s="694">
        <v>1</v>
      </c>
      <c r="U143" s="694">
        <v>2</v>
      </c>
      <c r="V143" s="694">
        <v>3</v>
      </c>
      <c r="W143" s="694">
        <f t="shared" si="7"/>
        <v>1</v>
      </c>
      <c r="X143">
        <f t="shared" si="8"/>
        <v>30.725281081282922</v>
      </c>
      <c r="Y143" s="1"/>
    </row>
    <row r="144" spans="1:25" x14ac:dyDescent="0.2">
      <c r="A144" s="186" t="s">
        <v>2477</v>
      </c>
      <c r="B144" s="18" t="s">
        <v>1427</v>
      </c>
      <c r="C144" s="553"/>
      <c r="D144" s="271"/>
      <c r="E144" s="369"/>
      <c r="F144" s="513"/>
      <c r="G144" s="563"/>
      <c r="H144" s="513"/>
      <c r="I144" s="877"/>
      <c r="J144" s="369"/>
      <c r="K144" s="369"/>
      <c r="L144" s="276"/>
      <c r="M144" s="5"/>
      <c r="N144" s="694"/>
      <c r="O144" s="694"/>
      <c r="P144" s="694"/>
      <c r="Q144" s="694"/>
      <c r="R144" s="694"/>
      <c r="S144" s="694"/>
      <c r="T144" s="694"/>
      <c r="U144" s="694"/>
      <c r="V144" s="694"/>
      <c r="W144" s="694">
        <f t="shared" si="7"/>
        <v>0</v>
      </c>
      <c r="X144">
        <f t="shared" si="8"/>
        <v>0</v>
      </c>
      <c r="Y144"/>
    </row>
    <row r="145" spans="1:25" x14ac:dyDescent="0.2">
      <c r="A145" s="473">
        <v>4.0999999999999996</v>
      </c>
      <c r="B145" s="13" t="s">
        <v>582</v>
      </c>
      <c r="C145" s="554"/>
      <c r="D145" s="272"/>
      <c r="E145" s="283"/>
      <c r="F145" s="511"/>
      <c r="G145" s="564"/>
      <c r="H145" s="511"/>
      <c r="I145" s="284"/>
      <c r="J145" s="283"/>
      <c r="K145" s="283"/>
      <c r="L145" s="192"/>
      <c r="M145" s="5"/>
      <c r="N145" s="694"/>
      <c r="O145" s="694"/>
      <c r="P145" s="694"/>
      <c r="Q145" s="694"/>
      <c r="R145" s="694"/>
      <c r="S145" s="694"/>
      <c r="T145" s="694"/>
      <c r="U145" s="694"/>
      <c r="V145" s="694"/>
      <c r="W145" s="694">
        <f t="shared" si="7"/>
        <v>0</v>
      </c>
      <c r="X145">
        <f t="shared" si="8"/>
        <v>0</v>
      </c>
      <c r="Y145"/>
    </row>
    <row r="146" spans="1:25" s="773" customFormat="1" x14ac:dyDescent="0.2">
      <c r="A146" s="320" t="s">
        <v>2478</v>
      </c>
      <c r="B146" s="1" t="s">
        <v>1431</v>
      </c>
      <c r="C146" s="555">
        <f>back_pipe_length</f>
        <v>75</v>
      </c>
      <c r="D146" s="355" t="s">
        <v>1429</v>
      </c>
      <c r="E146" s="195">
        <f>back_pipe_diam</f>
        <v>4</v>
      </c>
      <c r="F146" s="1" t="s">
        <v>1430</v>
      </c>
      <c r="G146" s="195">
        <f>IF(curve=1,back_pipe_diam,VLOOKUP(back_pipe_diam,cpvc_pipe_cost_cl,2))</f>
        <v>4</v>
      </c>
      <c r="H146" s="510" t="s">
        <v>1430</v>
      </c>
      <c r="I146" s="686">
        <f>IF(curve=1,cpvc_pipe_eq_back,VLOOKUP(back_pipe_diam,cpvc_pipe_cost_cl,3))</f>
        <v>24.915632816000002</v>
      </c>
      <c r="J146" s="356">
        <f>IF(I146="contact vendor","--",C146*I146)</f>
        <v>1868.6724612000003</v>
      </c>
      <c r="K146" s="195">
        <f>VLOOKUP(back_pipe_diam,cpvc_pipe_cost_cl,IF(ss_cat="large",4,5))</f>
        <v>17</v>
      </c>
      <c r="L146" s="354">
        <v>0</v>
      </c>
      <c r="M146" s="5" t="str">
        <f>$B$144&amp;" - "&amp;$B$145&amp;" - "&amp;B146</f>
        <v>Piping - Backwash Piping - CPVC</v>
      </c>
      <c r="N146" s="694">
        <v>2</v>
      </c>
      <c r="O146" s="694">
        <v>1</v>
      </c>
      <c r="P146" s="694">
        <v>3</v>
      </c>
      <c r="Q146" s="694">
        <v>2</v>
      </c>
      <c r="R146" s="694">
        <v>1</v>
      </c>
      <c r="S146" s="694">
        <v>3</v>
      </c>
      <c r="T146" s="694">
        <v>2</v>
      </c>
      <c r="U146" s="694">
        <v>1</v>
      </c>
      <c r="V146" s="694">
        <v>3</v>
      </c>
      <c r="W146" s="694">
        <f t="shared" si="7"/>
        <v>0</v>
      </c>
      <c r="X146">
        <f t="shared" si="8"/>
        <v>0</v>
      </c>
      <c r="Y146" s="1"/>
    </row>
    <row r="147" spans="1:25" s="773" customFormat="1" x14ac:dyDescent="0.2">
      <c r="A147" s="320" t="s">
        <v>2478</v>
      </c>
      <c r="B147" s="1" t="s">
        <v>580</v>
      </c>
      <c r="C147" s="555">
        <f>back_pipe_length</f>
        <v>75</v>
      </c>
      <c r="D147" s="355" t="s">
        <v>1429</v>
      </c>
      <c r="E147" s="195">
        <f>back_pipe_diam</f>
        <v>4</v>
      </c>
      <c r="F147" s="1" t="s">
        <v>1430</v>
      </c>
      <c r="G147" s="195">
        <f>IF(curve=1,back_pipe_diam,VLOOKUP(back_pipe_diam,pvc_pipe_cost_cl,2))</f>
        <v>4</v>
      </c>
      <c r="H147" s="510" t="s">
        <v>1430</v>
      </c>
      <c r="I147" s="686">
        <f>IF(curve=1,pvc_pipe_eq_back,VLOOKUP(back_pipe_diam,pvc_pipe_cost_cl,3))</f>
        <v>6.1853408730000004</v>
      </c>
      <c r="J147" s="356">
        <f>IF(I147="contact vendor","--",C147*I147)</f>
        <v>463.90056547500001</v>
      </c>
      <c r="K147" s="195">
        <f>VLOOKUP(back_pipe_diam,pvc_pipe_cost_cl,IF(ss_cat="large",4,5))</f>
        <v>17</v>
      </c>
      <c r="L147" s="354">
        <v>1</v>
      </c>
      <c r="M147" s="5" t="str">
        <f>$B$144&amp;" - "&amp;$B$145&amp;" - "&amp;B147</f>
        <v>Piping - Backwash Piping - PVC</v>
      </c>
      <c r="N147" s="694">
        <v>1</v>
      </c>
      <c r="O147" s="695">
        <v>2</v>
      </c>
      <c r="P147" s="694">
        <v>4</v>
      </c>
      <c r="Q147" s="694">
        <v>1</v>
      </c>
      <c r="R147" s="695">
        <v>2</v>
      </c>
      <c r="S147" s="694">
        <v>4</v>
      </c>
      <c r="T147" s="694">
        <v>1</v>
      </c>
      <c r="U147" s="695">
        <v>2</v>
      </c>
      <c r="V147" s="694">
        <v>4</v>
      </c>
      <c r="W147" s="694">
        <f t="shared" si="7"/>
        <v>1</v>
      </c>
      <c r="X147">
        <f t="shared" si="8"/>
        <v>27.288268557352943</v>
      </c>
      <c r="Y147" s="1"/>
    </row>
    <row r="148" spans="1:25" s="773" customFormat="1" x14ac:dyDescent="0.2">
      <c r="A148" s="320" t="s">
        <v>2478</v>
      </c>
      <c r="B148" s="1" t="s">
        <v>1421</v>
      </c>
      <c r="C148" s="555">
        <f>back_pipe_length</f>
        <v>75</v>
      </c>
      <c r="D148" s="355" t="s">
        <v>1429</v>
      </c>
      <c r="E148" s="195">
        <f>back_pipe_diam</f>
        <v>4</v>
      </c>
      <c r="F148" s="1" t="s">
        <v>1430</v>
      </c>
      <c r="G148" s="195">
        <f>IF(curve=1,back_pipe_diam,VLOOKUP(back_pipe_diam,ss_pipe_cost_cl,2))</f>
        <v>4</v>
      </c>
      <c r="H148" s="510" t="s">
        <v>1430</v>
      </c>
      <c r="I148" s="686">
        <f>IF(curve=1,ss_pipe_eq_back,VLOOKUP(back_pipe_diam,ss_pipe_cost_cl,3))</f>
        <v>185.004314749</v>
      </c>
      <c r="J148" s="356">
        <f>IF(I148="contact vendor","--",C148*I148)</f>
        <v>13875.323606174999</v>
      </c>
      <c r="K148" s="195">
        <f>VLOOKUP(back_pipe_diam,ss_pipe_cost_cl,IF(ss_cat="large",4,5))</f>
        <v>40</v>
      </c>
      <c r="L148" s="354">
        <v>0</v>
      </c>
      <c r="M148" s="5" t="str">
        <f>$B$144&amp;" - "&amp;$B$145&amp;" - "&amp;B148</f>
        <v>Piping - Backwash Piping - Stainless Steel</v>
      </c>
      <c r="N148" s="694">
        <v>4</v>
      </c>
      <c r="O148" s="695">
        <v>4</v>
      </c>
      <c r="P148" s="694">
        <v>1</v>
      </c>
      <c r="Q148" s="694">
        <v>4</v>
      </c>
      <c r="R148" s="695">
        <v>4</v>
      </c>
      <c r="S148" s="694">
        <v>1</v>
      </c>
      <c r="T148" s="694">
        <v>4</v>
      </c>
      <c r="U148" s="695">
        <v>4</v>
      </c>
      <c r="V148" s="694">
        <v>1</v>
      </c>
      <c r="W148" s="694">
        <f t="shared" si="7"/>
        <v>0</v>
      </c>
      <c r="X148">
        <f t="shared" si="8"/>
        <v>0</v>
      </c>
      <c r="Y148" s="1"/>
    </row>
    <row r="149" spans="1:25" s="773" customFormat="1" x14ac:dyDescent="0.2">
      <c r="A149" s="320" t="s">
        <v>2478</v>
      </c>
      <c r="B149" s="1" t="s">
        <v>581</v>
      </c>
      <c r="C149" s="555">
        <f>back_pipe_length</f>
        <v>75</v>
      </c>
      <c r="D149" s="355" t="s">
        <v>1429</v>
      </c>
      <c r="E149" s="195">
        <f>back_pipe_diam</f>
        <v>4</v>
      </c>
      <c r="F149" s="1" t="s">
        <v>1430</v>
      </c>
      <c r="G149" s="195">
        <f>IF(curve=1,back_pipe_diam,VLOOKUP(back_pipe_diam,st_pipe_cost_cl,2))</f>
        <v>4</v>
      </c>
      <c r="H149" s="510" t="s">
        <v>1430</v>
      </c>
      <c r="I149" s="686">
        <f>IF(curve=1,st_pipe_eq_back,VLOOKUP(back_pipe_diam,st_pipe_cost_cl,3))</f>
        <v>74.751613829537348</v>
      </c>
      <c r="J149" s="356">
        <f>IF(I149="contact vendor","--",C149*I149)</f>
        <v>5606.3710372153009</v>
      </c>
      <c r="K149" s="195">
        <f>VLOOKUP(back_pipe_diam,st_pipe_cost_cl,IF(ss_cat="large",4,5))</f>
        <v>33</v>
      </c>
      <c r="L149" s="354">
        <v>0</v>
      </c>
      <c r="M149" s="5" t="str">
        <f>$B$144&amp;" - "&amp;$B$145&amp;" - "&amp;B149</f>
        <v>Piping - Backwash Piping - Steel</v>
      </c>
      <c r="N149" s="694">
        <v>3</v>
      </c>
      <c r="O149" s="695">
        <v>3</v>
      </c>
      <c r="P149" s="694">
        <v>2</v>
      </c>
      <c r="Q149" s="694">
        <v>3</v>
      </c>
      <c r="R149" s="695">
        <v>3</v>
      </c>
      <c r="S149" s="694">
        <v>2</v>
      </c>
      <c r="T149" s="694">
        <v>3</v>
      </c>
      <c r="U149" s="695">
        <v>3</v>
      </c>
      <c r="V149" s="694">
        <v>2</v>
      </c>
      <c r="W149" s="694">
        <f t="shared" si="7"/>
        <v>0</v>
      </c>
      <c r="X149">
        <f t="shared" si="8"/>
        <v>0</v>
      </c>
      <c r="Y149" s="1"/>
    </row>
    <row r="150" spans="1:25" x14ac:dyDescent="0.2">
      <c r="A150" s="473">
        <v>4.2</v>
      </c>
      <c r="B150" s="13" t="s">
        <v>2024</v>
      </c>
      <c r="C150" s="554"/>
      <c r="D150" s="272"/>
      <c r="E150" s="283"/>
      <c r="F150" s="511"/>
      <c r="G150" s="283"/>
      <c r="H150" s="511"/>
      <c r="I150" s="284"/>
      <c r="J150" s="283"/>
      <c r="K150" s="283"/>
      <c r="L150" s="192"/>
      <c r="M150" s="5"/>
      <c r="N150" s="695"/>
      <c r="O150" s="695"/>
      <c r="P150" s="695"/>
      <c r="Q150" s="695"/>
      <c r="R150" s="695"/>
      <c r="S150" s="695"/>
      <c r="T150" s="695"/>
      <c r="U150" s="695"/>
      <c r="V150" s="695"/>
      <c r="W150" s="694">
        <f t="shared" si="7"/>
        <v>0</v>
      </c>
      <c r="X150">
        <f t="shared" si="8"/>
        <v>0</v>
      </c>
      <c r="Y150"/>
    </row>
    <row r="151" spans="1:25" s="773" customFormat="1" x14ac:dyDescent="0.2">
      <c r="A151" s="320" t="s">
        <v>2479</v>
      </c>
      <c r="B151" s="1" t="s">
        <v>1431</v>
      </c>
      <c r="C151" s="555">
        <f>e_donor_pipe_length</f>
        <v>30</v>
      </c>
      <c r="D151" s="355" t="s">
        <v>1429</v>
      </c>
      <c r="E151" s="195">
        <f>IF(C151=0,"NA",e_donor_pipe_diam)</f>
        <v>0.5</v>
      </c>
      <c r="F151" s="1" t="str">
        <f>IF(C151=0,"","in diam")</f>
        <v>in diam</v>
      </c>
      <c r="G151" s="195">
        <f>IF(C151=0,"NA",IF(curve=1,e_donor_pipe_diam,VLOOKUP(e_donor_pipe_diam,cpvc_pipe_cost_cl,2)))</f>
        <v>0.5</v>
      </c>
      <c r="H151" s="510" t="s">
        <v>1430</v>
      </c>
      <c r="I151" s="686">
        <f>IF(C151=0,"NA",IF(curve=1,cpvc_pipe_eq_e_donor,VLOOKUP(e_donor_pipe_diam,cpvc_pipe_cost_cl,3)))</f>
        <v>2.5933440824999998</v>
      </c>
      <c r="J151" s="356">
        <f>IF(OR(C151=0,I151="contact vendor"),"--",C151*I151)</f>
        <v>77.800322475000002</v>
      </c>
      <c r="K151" s="195">
        <f>IF(C151=0,"NA",VLOOKUP(e_donor_pipe_diam,cpvc_pipe_cost_cl,IF(ss_cat="large",4,5)))</f>
        <v>17</v>
      </c>
      <c r="L151" s="354">
        <v>0</v>
      </c>
      <c r="M151" s="5" t="str">
        <f>$B$144&amp;" - "&amp;$B$150&amp;" - "&amp;B151</f>
        <v>Piping - Electron Donor Piping - CPVC</v>
      </c>
      <c r="N151" s="694">
        <v>2</v>
      </c>
      <c r="O151" s="694">
        <v>1</v>
      </c>
      <c r="P151" s="694">
        <v>3</v>
      </c>
      <c r="Q151" s="694">
        <v>2</v>
      </c>
      <c r="R151" s="694">
        <v>1</v>
      </c>
      <c r="S151" s="694">
        <v>3</v>
      </c>
      <c r="T151" s="694">
        <v>2</v>
      </c>
      <c r="U151" s="694">
        <v>1</v>
      </c>
      <c r="V151" s="694">
        <v>3</v>
      </c>
      <c r="W151" s="694">
        <f t="shared" si="7"/>
        <v>0</v>
      </c>
      <c r="X151">
        <f t="shared" si="8"/>
        <v>0</v>
      </c>
      <c r="Y151" s="1"/>
    </row>
    <row r="152" spans="1:25" s="773" customFormat="1" x14ac:dyDescent="0.2">
      <c r="A152" s="320" t="s">
        <v>2479</v>
      </c>
      <c r="B152" s="1" t="s">
        <v>580</v>
      </c>
      <c r="C152" s="555">
        <f>e_donor_pipe_length</f>
        <v>30</v>
      </c>
      <c r="D152" s="355" t="s">
        <v>1429</v>
      </c>
      <c r="E152" s="195">
        <f>IF(C152=0,"NA",e_donor_pipe_diam)</f>
        <v>0.5</v>
      </c>
      <c r="F152" s="1" t="str">
        <f>IF(C152=0,"","in diam")</f>
        <v>in diam</v>
      </c>
      <c r="G152" s="195">
        <f>IF(C152=0,"NA",IF(curve=1,e_donor_pipe_diam,VLOOKUP(e_donor_pipe_diam,pvc_pipe_cost_cl,2)))</f>
        <v>0.5</v>
      </c>
      <c r="H152" s="510" t="s">
        <v>1430</v>
      </c>
      <c r="I152" s="686">
        <f>IF(C152=0,"NA",IF(curve=1,pvc_pipe_eq_e_donor,VLOOKUP(e_donor_pipe_diam,pvc_pipe_cost_cl,3)))</f>
        <v>1.8524848787500001</v>
      </c>
      <c r="J152" s="356">
        <f>IF(OR(C152=0,I152="contact vendor"),"--",C152*I152)</f>
        <v>55.574546362500001</v>
      </c>
      <c r="K152" s="195">
        <f>IF(C152=0,"NA",VLOOKUP(e_donor_pipe_diam,pvc_pipe_cost_cl,IF(ss_cat="large",4,5)))</f>
        <v>17</v>
      </c>
      <c r="L152" s="354">
        <v>1</v>
      </c>
      <c r="M152" s="5" t="str">
        <f>$B$144&amp;" - "&amp;$B$150&amp;" - "&amp;B152</f>
        <v>Piping - Electron Donor Piping - PVC</v>
      </c>
      <c r="N152" s="694">
        <v>1</v>
      </c>
      <c r="O152" s="694">
        <v>2</v>
      </c>
      <c r="P152" s="694">
        <v>4</v>
      </c>
      <c r="Q152" s="694">
        <v>1</v>
      </c>
      <c r="R152" s="694">
        <v>2</v>
      </c>
      <c r="S152" s="694">
        <v>4</v>
      </c>
      <c r="T152" s="694">
        <v>1</v>
      </c>
      <c r="U152" s="694">
        <v>2</v>
      </c>
      <c r="V152" s="694">
        <v>4</v>
      </c>
      <c r="W152" s="694">
        <f t="shared" si="7"/>
        <v>1</v>
      </c>
      <c r="X152">
        <f t="shared" si="8"/>
        <v>3.2690909625</v>
      </c>
      <c r="Y152" s="1"/>
    </row>
    <row r="153" spans="1:25" s="773" customFormat="1" x14ac:dyDescent="0.2">
      <c r="A153" s="320" t="s">
        <v>2479</v>
      </c>
      <c r="B153" s="1" t="s">
        <v>1421</v>
      </c>
      <c r="C153" s="555">
        <f>e_donor_pipe_length</f>
        <v>30</v>
      </c>
      <c r="D153" s="355" t="s">
        <v>1429</v>
      </c>
      <c r="E153" s="195">
        <f>IF(C153=0,"NA",e_donor_pipe_diam)</f>
        <v>0.5</v>
      </c>
      <c r="F153" s="1" t="str">
        <f>IF(C153=0,"","in diam")</f>
        <v>in diam</v>
      </c>
      <c r="G153" s="195">
        <f>IF(C153=0,"NA",IF(curve=1,e_donor_pipe_diam,VLOOKUP(e_donor_pipe_diam,ss_pipe_cost_cl,2)))</f>
        <v>0.5</v>
      </c>
      <c r="H153" s="510" t="s">
        <v>1430</v>
      </c>
      <c r="I153" s="686">
        <f>IF(C153=0,"NA",IF(curve=1,ss_pipe_eq_e_donor,VLOOKUP(e_donor_pipe_diam,ss_pipe_cost_cl,3)))</f>
        <v>16.358070217374998</v>
      </c>
      <c r="J153" s="356">
        <f>IF(OR(C153=0,I153="contact vendor"),"--",C153*I153)</f>
        <v>490.74210652124992</v>
      </c>
      <c r="K153" s="195">
        <f>IF(C153=0,"NA",VLOOKUP(e_donor_pipe_diam,ss_pipe_cost_cl,IF(ss_cat="large",4,5)))</f>
        <v>40</v>
      </c>
      <c r="L153" s="354">
        <v>0</v>
      </c>
      <c r="M153" s="5" t="str">
        <f>$B$144&amp;" - "&amp;$B$150&amp;" - "&amp;B153</f>
        <v>Piping - Electron Donor Piping - Stainless Steel</v>
      </c>
      <c r="N153" s="694">
        <v>4</v>
      </c>
      <c r="O153" s="694">
        <v>4</v>
      </c>
      <c r="P153" s="694">
        <v>1</v>
      </c>
      <c r="Q153" s="694">
        <v>4</v>
      </c>
      <c r="R153" s="694">
        <v>4</v>
      </c>
      <c r="S153" s="694">
        <v>1</v>
      </c>
      <c r="T153" s="694">
        <v>4</v>
      </c>
      <c r="U153" s="694">
        <v>4</v>
      </c>
      <c r="V153" s="694">
        <v>1</v>
      </c>
      <c r="W153" s="694">
        <f t="shared" si="7"/>
        <v>0</v>
      </c>
      <c r="X153">
        <f t="shared" si="8"/>
        <v>0</v>
      </c>
      <c r="Y153" s="1"/>
    </row>
    <row r="154" spans="1:25" s="773" customFormat="1" x14ac:dyDescent="0.2">
      <c r="A154" s="320" t="s">
        <v>2479</v>
      </c>
      <c r="B154" s="1" t="s">
        <v>581</v>
      </c>
      <c r="C154" s="555">
        <f>e_donor_pipe_length</f>
        <v>30</v>
      </c>
      <c r="D154" s="355" t="s">
        <v>1429</v>
      </c>
      <c r="E154" s="195">
        <f>IF(C154=0,"NA",e_donor_pipe_diam)</f>
        <v>0.5</v>
      </c>
      <c r="F154" s="1" t="str">
        <f>IF(C154=0,"","in diam")</f>
        <v>in diam</v>
      </c>
      <c r="G154" s="195">
        <f>IF(C154=0,"NA",IF(curve=1,e_donor_pipe_diam,VLOOKUP(e_donor_pipe_diam,st_pipe_cost_cl,2)))</f>
        <v>0.5</v>
      </c>
      <c r="H154" s="510" t="s">
        <v>1430</v>
      </c>
      <c r="I154" s="686">
        <f>IF(C154=0,"NA",IF(curve=1,st_pipe_eq_e_donor,VLOOKUP(e_donor_pipe_diam,st_pipe_cost_cl,3)))</f>
        <v>10.947783094119053</v>
      </c>
      <c r="J154" s="356">
        <f>IF(OR(C154=0,I154="contact vendor"),"--",C154*I154)</f>
        <v>328.43349282357161</v>
      </c>
      <c r="K154" s="195">
        <f>IF(C154=0,"NA",VLOOKUP(e_donor_pipe_diam,st_pipe_cost_cl,IF(ss_cat="large",4,5)))</f>
        <v>33</v>
      </c>
      <c r="L154" s="354">
        <v>0</v>
      </c>
      <c r="M154" s="5" t="str">
        <f>$B$144&amp;" - "&amp;$B$150&amp;" - "&amp;B154</f>
        <v>Piping - Electron Donor Piping - Steel</v>
      </c>
      <c r="N154" s="694">
        <v>3</v>
      </c>
      <c r="O154" s="694">
        <v>3</v>
      </c>
      <c r="P154" s="694">
        <v>2</v>
      </c>
      <c r="Q154" s="694">
        <v>3</v>
      </c>
      <c r="R154" s="694">
        <v>3</v>
      </c>
      <c r="S154" s="694">
        <v>2</v>
      </c>
      <c r="T154" s="694">
        <v>3</v>
      </c>
      <c r="U154" s="694">
        <v>3</v>
      </c>
      <c r="V154" s="694">
        <v>2</v>
      </c>
      <c r="W154" s="694">
        <f t="shared" si="7"/>
        <v>0</v>
      </c>
      <c r="X154">
        <f t="shared" si="8"/>
        <v>0</v>
      </c>
      <c r="Y154" s="1"/>
    </row>
    <row r="155" spans="1:25" x14ac:dyDescent="0.2">
      <c r="A155" s="473">
        <v>4.3</v>
      </c>
      <c r="B155" s="13" t="s">
        <v>2025</v>
      </c>
      <c r="C155" s="554"/>
      <c r="D155" s="272"/>
      <c r="E155" s="283"/>
      <c r="F155" s="511"/>
      <c r="G155" s="283"/>
      <c r="H155" s="511"/>
      <c r="I155" s="284"/>
      <c r="J155" s="283"/>
      <c r="K155" s="283"/>
      <c r="L155" s="192"/>
      <c r="M155" s="5"/>
      <c r="N155" s="695"/>
      <c r="O155" s="695"/>
      <c r="P155" s="695"/>
      <c r="Q155" s="695"/>
      <c r="R155" s="695"/>
      <c r="S155" s="695"/>
      <c r="T155" s="695"/>
      <c r="U155" s="695"/>
      <c r="V155" s="695"/>
      <c r="W155" s="694">
        <f t="shared" si="7"/>
        <v>0</v>
      </c>
      <c r="X155">
        <f t="shared" si="8"/>
        <v>0</v>
      </c>
      <c r="Y155"/>
    </row>
    <row r="156" spans="1:25" s="773" customFormat="1" x14ac:dyDescent="0.2">
      <c r="A156" s="320" t="s">
        <v>2480</v>
      </c>
      <c r="B156" s="1" t="s">
        <v>1431</v>
      </c>
      <c r="C156" s="555">
        <f>NH4Cl_pipe_length</f>
        <v>0</v>
      </c>
      <c r="D156" s="355" t="s">
        <v>1429</v>
      </c>
      <c r="E156" s="195" t="str">
        <f>IF(C156=0,"NA",NH4Cl_pipe_diam)</f>
        <v>NA</v>
      </c>
      <c r="F156" s="1" t="str">
        <f>IF(C156=0,"","in diam")</f>
        <v/>
      </c>
      <c r="G156" s="195" t="str">
        <f>IF(C156=0,"NA",IF(curve=1,NH4Cl_pipe_diam,VLOOKUP(NH4Cl_pipe_diam,cpvc_pipe_cost_cl,2)))</f>
        <v>NA</v>
      </c>
      <c r="H156" s="510" t="str">
        <f>IF(C156=0,"","in diam")</f>
        <v/>
      </c>
      <c r="I156" s="686" t="str">
        <f>IF(C156=0,"NA",IF(curve=1,cpvc_pipe_eq_NH4Cl,VLOOKUP(NH4Cl_pipe_diam,cpvc_pipe_cost_cl,3)))</f>
        <v>NA</v>
      </c>
      <c r="J156" s="356" t="str">
        <f>IF(OR(C156=0,I156="contact vendor"),"--",C156*I156)</f>
        <v>--</v>
      </c>
      <c r="K156" s="195" t="str">
        <f>IF(C156=0,"NA",VLOOKUP(NH4Cl_pipe_diam,cpvc_pipe_cost_cl,IF(ss_cat="large",4,5)))</f>
        <v>NA</v>
      </c>
      <c r="L156" s="354"/>
      <c r="M156" s="5" t="str">
        <f>$B$144&amp;" - "&amp;$B$155&amp;" - "&amp;B156</f>
        <v>Piping - Ammonium Chloride Piping - CPVC</v>
      </c>
      <c r="N156" s="694">
        <v>2</v>
      </c>
      <c r="O156" s="694">
        <v>1</v>
      </c>
      <c r="P156" s="694">
        <v>3</v>
      </c>
      <c r="Q156" s="694">
        <v>2</v>
      </c>
      <c r="R156" s="694">
        <v>1</v>
      </c>
      <c r="S156" s="694">
        <v>3</v>
      </c>
      <c r="T156" s="694">
        <v>2</v>
      </c>
      <c r="U156" s="694">
        <v>1</v>
      </c>
      <c r="V156" s="694">
        <v>3</v>
      </c>
      <c r="W156" s="694">
        <f t="shared" si="7"/>
        <v>0</v>
      </c>
      <c r="X156">
        <f t="shared" si="8"/>
        <v>0</v>
      </c>
      <c r="Y156" s="1"/>
    </row>
    <row r="157" spans="1:25" s="773" customFormat="1" x14ac:dyDescent="0.2">
      <c r="A157" s="320" t="s">
        <v>2480</v>
      </c>
      <c r="B157" s="1" t="s">
        <v>580</v>
      </c>
      <c r="C157" s="555">
        <f>NH4Cl_pipe_length</f>
        <v>0</v>
      </c>
      <c r="D157" s="355" t="s">
        <v>1429</v>
      </c>
      <c r="E157" s="195" t="str">
        <f>IF(C157=0,"NA",NH4Cl_pipe_diam)</f>
        <v>NA</v>
      </c>
      <c r="F157" s="1" t="str">
        <f>IF(C157=0,"","in diam")</f>
        <v/>
      </c>
      <c r="G157" s="195" t="str">
        <f>IF(C157=0,"NA",IF(curve=1,NH4Cl_pipe_diam,VLOOKUP(NH4Cl_pipe_diam,pvc_pipe_cost_cl,2)))</f>
        <v>NA</v>
      </c>
      <c r="H157" s="510" t="str">
        <f t="shared" ref="H157:H164" si="14">IF(C157=0,"","in diam")</f>
        <v/>
      </c>
      <c r="I157" s="686" t="str">
        <f>IF(C157=0,"NA",IF(curve=1,pvc_pipe_eq_NH4Cl,VLOOKUP(NH4Cl_pipe_diam,pvc_pipe_cost_cl,3)))</f>
        <v>NA</v>
      </c>
      <c r="J157" s="356" t="str">
        <f>IF(OR(C157=0,I157="contact vendor"),"--",C157*I157)</f>
        <v>--</v>
      </c>
      <c r="K157" s="195" t="str">
        <f>IF(C157=0,"NA",VLOOKUP(NH4Cl_pipe_diam,pvc_pipe_cost_cl,IF(ss_cat="large",4,5)))</f>
        <v>NA</v>
      </c>
      <c r="L157" s="354"/>
      <c r="M157" s="5" t="str">
        <f>$B$144&amp;" - "&amp;$B$155&amp;" - "&amp;B157</f>
        <v>Piping - Ammonium Chloride Piping - PVC</v>
      </c>
      <c r="N157" s="694">
        <v>1</v>
      </c>
      <c r="O157" s="694">
        <v>2</v>
      </c>
      <c r="P157" s="694">
        <v>4</v>
      </c>
      <c r="Q157" s="694">
        <v>1</v>
      </c>
      <c r="R157" s="694">
        <v>2</v>
      </c>
      <c r="S157" s="694">
        <v>4</v>
      </c>
      <c r="T157" s="694">
        <v>1</v>
      </c>
      <c r="U157" s="694">
        <v>2</v>
      </c>
      <c r="V157" s="694">
        <v>4</v>
      </c>
      <c r="W157" s="694">
        <f t="shared" si="7"/>
        <v>0</v>
      </c>
      <c r="X157">
        <f t="shared" si="8"/>
        <v>0</v>
      </c>
      <c r="Y157" s="1"/>
    </row>
    <row r="158" spans="1:25" s="773" customFormat="1" x14ac:dyDescent="0.2">
      <c r="A158" s="320" t="s">
        <v>2480</v>
      </c>
      <c r="B158" s="1" t="s">
        <v>1421</v>
      </c>
      <c r="C158" s="555">
        <f>NH4Cl_pipe_length</f>
        <v>0</v>
      </c>
      <c r="D158" s="355" t="s">
        <v>1429</v>
      </c>
      <c r="E158" s="195" t="str">
        <f>IF(C158=0,"NA",NH4Cl_pipe_diam)</f>
        <v>NA</v>
      </c>
      <c r="F158" s="1" t="str">
        <f>IF(C158=0,"","in diam")</f>
        <v/>
      </c>
      <c r="G158" s="195" t="str">
        <f>IF(C158=0,"NA",IF(curve=1,NH4Cl_pipe_diam,VLOOKUP(NH4Cl_pipe_diam,ss_pipe_cost_cl,2)))</f>
        <v>NA</v>
      </c>
      <c r="H158" s="510" t="str">
        <f t="shared" si="14"/>
        <v/>
      </c>
      <c r="I158" s="686" t="str">
        <f>IF(C158=0,"NA",IF(curve=1,ss_pipe_eq_NH4Cl,VLOOKUP(NH4Cl_pipe_diam,ss_pipe_cost_cl,3)))</f>
        <v>NA</v>
      </c>
      <c r="J158" s="356" t="str">
        <f>IF(OR(C158=0,I158="contact vendor"),"--",C158*I158)</f>
        <v>--</v>
      </c>
      <c r="K158" s="195" t="str">
        <f>IF(C158=0,"NA",VLOOKUP(NH4Cl_pipe_diam,ss_pipe_cost_cl,IF(ss_cat="large",4,5)))</f>
        <v>NA</v>
      </c>
      <c r="L158" s="354"/>
      <c r="M158" s="5" t="str">
        <f>$B$144&amp;" - "&amp;$B$155&amp;" - "&amp;B158</f>
        <v>Piping - Ammonium Chloride Piping - Stainless Steel</v>
      </c>
      <c r="N158" s="694">
        <v>4</v>
      </c>
      <c r="O158" s="694">
        <v>4</v>
      </c>
      <c r="P158" s="694">
        <v>1</v>
      </c>
      <c r="Q158" s="694">
        <v>4</v>
      </c>
      <c r="R158" s="694">
        <v>4</v>
      </c>
      <c r="S158" s="694">
        <v>1</v>
      </c>
      <c r="T158" s="694">
        <v>4</v>
      </c>
      <c r="U158" s="694">
        <v>4</v>
      </c>
      <c r="V158" s="694">
        <v>1</v>
      </c>
      <c r="W158" s="694">
        <f t="shared" si="7"/>
        <v>0</v>
      </c>
      <c r="X158">
        <f t="shared" si="8"/>
        <v>0</v>
      </c>
      <c r="Y158" s="1"/>
    </row>
    <row r="159" spans="1:25" s="773" customFormat="1" x14ac:dyDescent="0.2">
      <c r="A159" s="320" t="s">
        <v>2480</v>
      </c>
      <c r="B159" s="1" t="s">
        <v>581</v>
      </c>
      <c r="C159" s="555">
        <f>NH4Cl_pipe_length</f>
        <v>0</v>
      </c>
      <c r="D159" s="355" t="s">
        <v>1429</v>
      </c>
      <c r="E159" s="195" t="str">
        <f>IF(C159=0,"NA",NH4Cl_pipe_diam)</f>
        <v>NA</v>
      </c>
      <c r="F159" s="1" t="str">
        <f>IF(C159=0,"","in diam")</f>
        <v/>
      </c>
      <c r="G159" s="195" t="str">
        <f>IF(C159=0,"NA",IF(curve=1,NH4Cl_pipe_diam,VLOOKUP(NH4Cl_pipe_diam,st_pipe_cost_cl,2)))</f>
        <v>NA</v>
      </c>
      <c r="H159" s="510" t="str">
        <f t="shared" si="14"/>
        <v/>
      </c>
      <c r="I159" s="686" t="str">
        <f>IF(C159=0,"NA",IF(curve=1,st_pipe_eq_NH4Cl,VLOOKUP(NH4Cl_pipe_diam,st_pipe_cost_cl,3)))</f>
        <v>NA</v>
      </c>
      <c r="J159" s="356" t="str">
        <f>IF(OR(C159=0,I159="contact vendor"),"--",C159*I159)</f>
        <v>--</v>
      </c>
      <c r="K159" s="195" t="str">
        <f>IF(C159=0,"NA",VLOOKUP(NH4Cl_pipe_diam,st_pipe_cost_cl,IF(ss_cat="large",4,5)))</f>
        <v>NA</v>
      </c>
      <c r="L159" s="354"/>
      <c r="M159" s="5" t="str">
        <f>$B$144&amp;" - "&amp;$B$155&amp;" - "&amp;B159</f>
        <v>Piping - Ammonium Chloride Piping - Steel</v>
      </c>
      <c r="N159" s="694">
        <v>3</v>
      </c>
      <c r="O159" s="694">
        <v>3</v>
      </c>
      <c r="P159" s="694">
        <v>2</v>
      </c>
      <c r="Q159" s="694">
        <v>3</v>
      </c>
      <c r="R159" s="694">
        <v>3</v>
      </c>
      <c r="S159" s="694">
        <v>2</v>
      </c>
      <c r="T159" s="694">
        <v>3</v>
      </c>
      <c r="U159" s="694">
        <v>3</v>
      </c>
      <c r="V159" s="694">
        <v>2</v>
      </c>
      <c r="W159" s="694">
        <f t="shared" si="7"/>
        <v>0</v>
      </c>
      <c r="X159">
        <f t="shared" si="8"/>
        <v>0</v>
      </c>
      <c r="Y159" s="1"/>
    </row>
    <row r="160" spans="1:25" x14ac:dyDescent="0.2">
      <c r="A160" s="473">
        <v>4.4000000000000004</v>
      </c>
      <c r="B160" s="13" t="s">
        <v>2039</v>
      </c>
      <c r="C160" s="554"/>
      <c r="D160" s="272"/>
      <c r="E160" s="283"/>
      <c r="F160" s="511"/>
      <c r="G160" s="283"/>
      <c r="H160" s="511"/>
      <c r="I160" s="284"/>
      <c r="J160" s="283"/>
      <c r="K160" s="283"/>
      <c r="L160" s="192"/>
      <c r="M160" s="5"/>
      <c r="N160" s="695"/>
      <c r="O160" s="695"/>
      <c r="P160" s="695"/>
      <c r="Q160" s="695"/>
      <c r="R160" s="695"/>
      <c r="S160" s="695"/>
      <c r="T160" s="695"/>
      <c r="U160" s="695"/>
      <c r="V160" s="695"/>
      <c r="W160" s="694">
        <f t="shared" si="7"/>
        <v>0</v>
      </c>
      <c r="X160">
        <f t="shared" si="8"/>
        <v>0</v>
      </c>
      <c r="Y160"/>
    </row>
    <row r="161" spans="1:25" s="773" customFormat="1" x14ac:dyDescent="0.2">
      <c r="A161" s="320" t="s">
        <v>2075</v>
      </c>
      <c r="B161" s="1" t="s">
        <v>1431</v>
      </c>
      <c r="C161" s="555">
        <f>H3PO4_pipe_length</f>
        <v>30</v>
      </c>
      <c r="D161" s="355" t="s">
        <v>1429</v>
      </c>
      <c r="E161" s="195">
        <f>IF(C161=0,"NA",H3PO4_pipe_diam)</f>
        <v>0.5</v>
      </c>
      <c r="F161" s="1" t="str">
        <f>IF(C161=0,"","in diam")</f>
        <v>in diam</v>
      </c>
      <c r="G161" s="195">
        <f>IF(C161=0,"NA",IF(curve=1,H3PO4_pipe_diam,VLOOKUP(H3PO4_pipe_diam,cpvc_pipe_cost_cl,2)))</f>
        <v>0.5</v>
      </c>
      <c r="H161" s="510" t="str">
        <f t="shared" si="14"/>
        <v>in diam</v>
      </c>
      <c r="I161" s="686">
        <f>IF(C161=0,"NA",IF(curve=1,cpvc_pipe_eq_H3PO4,VLOOKUP(H3PO4_pipe_diam,cpvc_pipe_cost_cl,3)))</f>
        <v>2.5933440824999998</v>
      </c>
      <c r="J161" s="356">
        <f>IF(OR(C161=0,I161="contact vendor"),"--",C161*I161)</f>
        <v>77.800322475000002</v>
      </c>
      <c r="K161" s="195">
        <f>IF(C161=0,"NA",VLOOKUP(H3PO4_pipe_diam,cpvc_pipe_cost_cl,IF(ss_cat="large",4,5)))</f>
        <v>17</v>
      </c>
      <c r="L161" s="354">
        <v>0</v>
      </c>
      <c r="M161" s="5" t="str">
        <f>$B$144&amp;" - "&amp;$B$160&amp;" - "&amp;B161</f>
        <v>Piping - Phosphoric Acid Piping - CPVC</v>
      </c>
      <c r="N161" s="694">
        <v>2</v>
      </c>
      <c r="O161" s="694">
        <v>1</v>
      </c>
      <c r="P161" s="694">
        <v>3</v>
      </c>
      <c r="Q161" s="694">
        <v>2</v>
      </c>
      <c r="R161" s="694">
        <v>1</v>
      </c>
      <c r="S161" s="694">
        <v>3</v>
      </c>
      <c r="T161" s="694">
        <v>2</v>
      </c>
      <c r="U161" s="694">
        <v>1</v>
      </c>
      <c r="V161" s="694">
        <v>3</v>
      </c>
      <c r="W161" s="694">
        <f t="shared" si="7"/>
        <v>0</v>
      </c>
      <c r="X161">
        <f t="shared" si="8"/>
        <v>0</v>
      </c>
      <c r="Y161" s="1"/>
    </row>
    <row r="162" spans="1:25" s="773" customFormat="1" x14ac:dyDescent="0.2">
      <c r="A162" s="320" t="s">
        <v>2075</v>
      </c>
      <c r="B162" s="1" t="s">
        <v>580</v>
      </c>
      <c r="C162" s="555">
        <f>H3PO4_pipe_length</f>
        <v>30</v>
      </c>
      <c r="D162" s="355" t="s">
        <v>1429</v>
      </c>
      <c r="E162" s="195">
        <f>IF(C162=0,"NA",H3PO4_pipe_diam)</f>
        <v>0.5</v>
      </c>
      <c r="F162" s="1" t="str">
        <f>IF(C162=0,"","in diam")</f>
        <v>in diam</v>
      </c>
      <c r="G162" s="195">
        <f>IF(C162=0,"NA",IF(curve=1,H3PO4_pipe_diam,VLOOKUP(H3PO4_pipe_diam,pvc_pipe_cost_cl,2)))</f>
        <v>0.5</v>
      </c>
      <c r="H162" s="510" t="str">
        <f t="shared" si="14"/>
        <v>in diam</v>
      </c>
      <c r="I162" s="686">
        <f>IF(C162=0,"NA",IF(curve=1,pvc_pipe_eq_H3PO4,VLOOKUP(H3PO4_pipe_diam,pvc_pipe_cost_cl,3)))</f>
        <v>1.8524848787500001</v>
      </c>
      <c r="J162" s="356">
        <f>IF(OR(C162=0,I162="contact vendor"),"--",C162*I162)</f>
        <v>55.574546362500001</v>
      </c>
      <c r="K162" s="195">
        <f>IF(C162=0,"NA",VLOOKUP(H3PO4_pipe_diam,pvc_pipe_cost_cl,IF(ss_cat="large",4,5)))</f>
        <v>17</v>
      </c>
      <c r="L162" s="354">
        <v>1</v>
      </c>
      <c r="M162" s="5" t="str">
        <f>$B$144&amp;" - "&amp;$B$160&amp;" - "&amp;B162</f>
        <v>Piping - Phosphoric Acid Piping - PVC</v>
      </c>
      <c r="N162" s="694">
        <v>1</v>
      </c>
      <c r="O162" s="694">
        <v>2</v>
      </c>
      <c r="P162" s="694">
        <v>4</v>
      </c>
      <c r="Q162" s="694">
        <v>1</v>
      </c>
      <c r="R162" s="694">
        <v>2</v>
      </c>
      <c r="S162" s="694">
        <v>4</v>
      </c>
      <c r="T162" s="694">
        <v>1</v>
      </c>
      <c r="U162" s="694">
        <v>2</v>
      </c>
      <c r="V162" s="694">
        <v>4</v>
      </c>
      <c r="W162" s="694">
        <f t="shared" si="7"/>
        <v>1</v>
      </c>
      <c r="X162">
        <f t="shared" si="8"/>
        <v>3.2690909625</v>
      </c>
      <c r="Y162" s="1"/>
    </row>
    <row r="163" spans="1:25" s="773" customFormat="1" x14ac:dyDescent="0.2">
      <c r="A163" s="320" t="s">
        <v>2075</v>
      </c>
      <c r="B163" s="1" t="s">
        <v>1421</v>
      </c>
      <c r="C163" s="555">
        <f>H3PO4_pipe_length</f>
        <v>30</v>
      </c>
      <c r="D163" s="355" t="s">
        <v>1429</v>
      </c>
      <c r="E163" s="195">
        <f>IF(C163=0,"NA",H3PO4_pipe_diam)</f>
        <v>0.5</v>
      </c>
      <c r="F163" s="1" t="str">
        <f>IF(C163=0,"","in diam")</f>
        <v>in diam</v>
      </c>
      <c r="G163" s="195">
        <f>IF(C163=0,"NA",IF(curve=1,H3PO4_pipe_diam,VLOOKUP(H3PO4_pipe_diam,ss_pipe_cost_cl,2)))</f>
        <v>0.5</v>
      </c>
      <c r="H163" s="510" t="str">
        <f t="shared" si="14"/>
        <v>in diam</v>
      </c>
      <c r="I163" s="686">
        <f>IF(C163=0,"NA",IF(curve=1,ss_pipe_eq_H3PO4,VLOOKUP(H3PO4_pipe_diam,ss_pipe_cost_cl,3)))</f>
        <v>16.358070217374998</v>
      </c>
      <c r="J163" s="356">
        <f>IF(OR(C163=0,I163="contact vendor"),"--",C163*I163)</f>
        <v>490.74210652124992</v>
      </c>
      <c r="K163" s="195">
        <f>IF(C163=0,"NA",VLOOKUP(H3PO4_pipe_diam,ss_pipe_cost_cl,IF(ss_cat="large",4,5)))</f>
        <v>40</v>
      </c>
      <c r="L163" s="354">
        <v>0</v>
      </c>
      <c r="M163" s="5" t="str">
        <f>$B$144&amp;" - "&amp;$B$160&amp;" - "&amp;B163</f>
        <v>Piping - Phosphoric Acid Piping - Stainless Steel</v>
      </c>
      <c r="N163" s="694">
        <v>4</v>
      </c>
      <c r="O163" s="694">
        <v>4</v>
      </c>
      <c r="P163" s="694">
        <v>1</v>
      </c>
      <c r="Q163" s="694">
        <v>4</v>
      </c>
      <c r="R163" s="694">
        <v>4</v>
      </c>
      <c r="S163" s="694">
        <v>1</v>
      </c>
      <c r="T163" s="694">
        <v>4</v>
      </c>
      <c r="U163" s="694">
        <v>4</v>
      </c>
      <c r="V163" s="694">
        <v>1</v>
      </c>
      <c r="W163" s="694">
        <f t="shared" si="7"/>
        <v>0</v>
      </c>
      <c r="X163">
        <f t="shared" si="8"/>
        <v>0</v>
      </c>
      <c r="Y163" s="1"/>
    </row>
    <row r="164" spans="1:25" s="773" customFormat="1" x14ac:dyDescent="0.2">
      <c r="A164" s="320" t="s">
        <v>2075</v>
      </c>
      <c r="B164" s="1" t="s">
        <v>581</v>
      </c>
      <c r="C164" s="555">
        <f>H3PO4_pipe_length</f>
        <v>30</v>
      </c>
      <c r="D164" s="355" t="s">
        <v>1429</v>
      </c>
      <c r="E164" s="195">
        <f>IF(C164=0,"NA",H3PO4_pipe_diam)</f>
        <v>0.5</v>
      </c>
      <c r="F164" s="1" t="str">
        <f>IF(C164=0,"","in diam")</f>
        <v>in diam</v>
      </c>
      <c r="G164" s="195">
        <f>IF(C164=0,"NA",IF(curve=1,H3PO4_pipe_diam,VLOOKUP(H3PO4_pipe_diam,st_pipe_cost_cl,2)))</f>
        <v>0.5</v>
      </c>
      <c r="H164" s="510" t="str">
        <f t="shared" si="14"/>
        <v>in diam</v>
      </c>
      <c r="I164" s="686">
        <f>IF(C164=0,"NA",IF(curve=1,st_pipe_eq_H3PO4,VLOOKUP(H3PO4_pipe_diam,st_pipe_cost_cl,3)))</f>
        <v>10.947783094119053</v>
      </c>
      <c r="J164" s="356">
        <f>IF(OR(C164=0,I164="contact vendor"),"--",C164*I164)</f>
        <v>328.43349282357161</v>
      </c>
      <c r="K164" s="195">
        <f>IF(C164=0,"NA",VLOOKUP(H3PO4_pipe_diam,st_pipe_cost_cl,IF(ss_cat="large",4,5)))</f>
        <v>33</v>
      </c>
      <c r="L164" s="354">
        <v>0</v>
      </c>
      <c r="M164" s="5" t="str">
        <f>$B$144&amp;" - "&amp;$B$160&amp;" - "&amp;B164</f>
        <v>Piping - Phosphoric Acid Piping - Steel</v>
      </c>
      <c r="N164" s="694">
        <v>3</v>
      </c>
      <c r="O164" s="694">
        <v>3</v>
      </c>
      <c r="P164" s="694">
        <v>2</v>
      </c>
      <c r="Q164" s="694">
        <v>3</v>
      </c>
      <c r="R164" s="694">
        <v>3</v>
      </c>
      <c r="S164" s="694">
        <v>2</v>
      </c>
      <c r="T164" s="694">
        <v>3</v>
      </c>
      <c r="U164" s="694">
        <v>3</v>
      </c>
      <c r="V164" s="694">
        <v>2</v>
      </c>
      <c r="W164" s="694">
        <f t="shared" si="7"/>
        <v>0</v>
      </c>
      <c r="X164">
        <f t="shared" si="8"/>
        <v>0</v>
      </c>
      <c r="Y164" s="1"/>
    </row>
    <row r="165" spans="1:25" x14ac:dyDescent="0.2">
      <c r="A165" s="537" t="s">
        <v>2229</v>
      </c>
      <c r="B165" s="13" t="s">
        <v>1428</v>
      </c>
      <c r="C165" s="554"/>
      <c r="D165" s="272"/>
      <c r="E165" s="283"/>
      <c r="F165" s="511"/>
      <c r="G165" s="283"/>
      <c r="H165" s="511"/>
      <c r="I165" s="284"/>
      <c r="J165" s="283"/>
      <c r="K165" s="283"/>
      <c r="L165" s="192"/>
      <c r="M165" s="5"/>
      <c r="N165" s="695"/>
      <c r="O165" s="695"/>
      <c r="P165" s="695"/>
      <c r="Q165" s="695"/>
      <c r="R165" s="695"/>
      <c r="S165" s="695"/>
      <c r="T165" s="695"/>
      <c r="U165" s="695"/>
      <c r="V165" s="695"/>
      <c r="W165" s="694">
        <f t="shared" si="7"/>
        <v>0</v>
      </c>
      <c r="X165">
        <f t="shared" si="8"/>
        <v>0</v>
      </c>
      <c r="Y165"/>
    </row>
    <row r="166" spans="1:25" s="773" customFormat="1" x14ac:dyDescent="0.2">
      <c r="A166" s="320" t="s">
        <v>2076</v>
      </c>
      <c r="B166" s="1" t="s">
        <v>2172</v>
      </c>
      <c r="C166" s="555">
        <f>proc_pipe_length</f>
        <v>60</v>
      </c>
      <c r="D166" s="355" t="s">
        <v>1429</v>
      </c>
      <c r="E166" s="195">
        <f>proc_pipe_diam</f>
        <v>2</v>
      </c>
      <c r="F166" s="1" t="s">
        <v>1430</v>
      </c>
      <c r="G166" s="195">
        <f>IF(curve=1,proc_pipe_diam,VLOOKUP(proc_pipe_diam,di_pipe_cost_cl,2))</f>
        <v>2</v>
      </c>
      <c r="H166" s="510" t="s">
        <v>1430</v>
      </c>
      <c r="I166" s="686" t="str">
        <f>IF(curve=1,di_pipe_eq_proc,VLOOKUP(proc_pipe_diam,di_pipe_cost_cl,3))</f>
        <v>contact vendor</v>
      </c>
      <c r="J166" s="356" t="str">
        <f>IF(I166="contact vendor","--",C166*I166)</f>
        <v>--</v>
      </c>
      <c r="K166" s="195">
        <f>VLOOKUP(proc_pipe_diam,di_pipe_cost_cl,IF(ss_cat="large",4,5))</f>
        <v>35</v>
      </c>
      <c r="L166" s="354">
        <v>0</v>
      </c>
      <c r="M166" s="5" t="str">
        <f>$B$144&amp;" - "&amp;$B$165&amp;" "&amp;" - "&amp;B166</f>
        <v>Piping - Process Piping  - Ductile Iron</v>
      </c>
      <c r="N166" s="694">
        <v>3</v>
      </c>
      <c r="O166" s="695">
        <v>3</v>
      </c>
      <c r="P166" s="694">
        <v>3</v>
      </c>
      <c r="Q166" s="694">
        <v>3</v>
      </c>
      <c r="R166" s="695">
        <v>3</v>
      </c>
      <c r="S166" s="694">
        <v>3</v>
      </c>
      <c r="T166" s="694">
        <v>3</v>
      </c>
      <c r="U166" s="695">
        <v>3</v>
      </c>
      <c r="V166" s="694">
        <v>3</v>
      </c>
      <c r="W166" s="694">
        <f t="shared" si="7"/>
        <v>0</v>
      </c>
      <c r="X166">
        <f t="shared" si="8"/>
        <v>0</v>
      </c>
      <c r="Y166" s="1"/>
    </row>
    <row r="167" spans="1:25" s="773" customFormat="1" x14ac:dyDescent="0.2">
      <c r="A167" s="320" t="s">
        <v>2076</v>
      </c>
      <c r="B167" s="1" t="s">
        <v>1431</v>
      </c>
      <c r="C167" s="555">
        <f>proc_pipe_length</f>
        <v>60</v>
      </c>
      <c r="D167" s="355" t="s">
        <v>1429</v>
      </c>
      <c r="E167" s="195">
        <f>proc_pipe_diam</f>
        <v>2</v>
      </c>
      <c r="F167" s="1" t="s">
        <v>1430</v>
      </c>
      <c r="G167" s="195">
        <f>IF(curve=1,proc_pipe_diam,VLOOKUP(proc_pipe_diam,cpvc_pipe_cost_cl,2))</f>
        <v>2</v>
      </c>
      <c r="H167" s="510" t="s">
        <v>1430</v>
      </c>
      <c r="I167" s="686">
        <f>IF(curve=1,cpvc_pipe_eq_proc,VLOOKUP(proc_pipe_diam,cpvc_pipe_cost_cl,3))</f>
        <v>9.8008834200000017</v>
      </c>
      <c r="J167" s="356">
        <f>IF(I167="contact vendor","--",C167*I167)</f>
        <v>588.05300520000014</v>
      </c>
      <c r="K167" s="195">
        <f>VLOOKUP(proc_pipe_diam,cpvc_pipe_cost_cl,IF(ss_cat="large",4,5))</f>
        <v>17</v>
      </c>
      <c r="L167" s="354">
        <v>0</v>
      </c>
      <c r="M167" s="5" t="str">
        <f>$B$144&amp;" - "&amp;$B$165&amp;" "&amp;" - "&amp;B167</f>
        <v>Piping - Process Piping  - CPVC</v>
      </c>
      <c r="N167" s="694">
        <v>2</v>
      </c>
      <c r="O167" s="695">
        <v>1</v>
      </c>
      <c r="P167" s="694">
        <v>4</v>
      </c>
      <c r="Q167" s="694">
        <v>2</v>
      </c>
      <c r="R167" s="695">
        <v>1</v>
      </c>
      <c r="S167" s="694">
        <v>4</v>
      </c>
      <c r="T167" s="694">
        <v>2</v>
      </c>
      <c r="U167" s="695">
        <v>1</v>
      </c>
      <c r="V167" s="694">
        <v>4</v>
      </c>
      <c r="W167" s="694">
        <f t="shared" si="7"/>
        <v>0</v>
      </c>
      <c r="X167">
        <f t="shared" si="8"/>
        <v>0</v>
      </c>
      <c r="Y167" s="1"/>
    </row>
    <row r="168" spans="1:25" s="773" customFormat="1" x14ac:dyDescent="0.2">
      <c r="A168" s="320" t="s">
        <v>2076</v>
      </c>
      <c r="B168" s="1" t="s">
        <v>580</v>
      </c>
      <c r="C168" s="555">
        <f>proc_pipe_length</f>
        <v>60</v>
      </c>
      <c r="D168" s="355" t="s">
        <v>1429</v>
      </c>
      <c r="E168" s="195">
        <f>proc_pipe_diam</f>
        <v>2</v>
      </c>
      <c r="F168" s="1" t="s">
        <v>1430</v>
      </c>
      <c r="G168" s="195">
        <f>IF(curve=1,proc_pipe_diam,VLOOKUP(proc_pipe_diam,pvc_pipe_cost_cl,2))</f>
        <v>2</v>
      </c>
      <c r="H168" s="510" t="s">
        <v>1430</v>
      </c>
      <c r="I168" s="686">
        <f>IF(curve=1,pvc_pipe_eq_proc,VLOOKUP(proc_pipe_diam,pvc_pipe_cost_cl,3))</f>
        <v>3.418102201</v>
      </c>
      <c r="J168" s="356">
        <f>IF(I168="contact vendor","--",C168*I168)</f>
        <v>205.08613206000001</v>
      </c>
      <c r="K168" s="195">
        <f>VLOOKUP(proc_pipe_diam,pvc_pipe_cost_cl,IF(ss_cat="large",4,5))</f>
        <v>17</v>
      </c>
      <c r="L168" s="354">
        <v>1</v>
      </c>
      <c r="M168" s="5" t="str">
        <f>$B$144&amp;" - "&amp;$B$165&amp;" "&amp;" - "&amp;B168</f>
        <v>Piping - Process Piping  - PVC</v>
      </c>
      <c r="N168" s="694">
        <v>1</v>
      </c>
      <c r="O168" s="695">
        <v>2</v>
      </c>
      <c r="P168" s="694">
        <v>5</v>
      </c>
      <c r="Q168" s="694">
        <v>1</v>
      </c>
      <c r="R168" s="695">
        <v>2</v>
      </c>
      <c r="S168" s="694">
        <v>5</v>
      </c>
      <c r="T168" s="694">
        <v>1</v>
      </c>
      <c r="U168" s="695">
        <v>2</v>
      </c>
      <c r="V168" s="694">
        <v>5</v>
      </c>
      <c r="W168" s="694">
        <f t="shared" si="7"/>
        <v>1</v>
      </c>
      <c r="X168">
        <f t="shared" si="8"/>
        <v>12.06389012117647</v>
      </c>
      <c r="Y168" s="1"/>
    </row>
    <row r="169" spans="1:25" s="773" customFormat="1" x14ac:dyDescent="0.2">
      <c r="A169" s="320" t="s">
        <v>2076</v>
      </c>
      <c r="B169" s="1" t="s">
        <v>1421</v>
      </c>
      <c r="C169" s="555">
        <f>proc_pipe_length</f>
        <v>60</v>
      </c>
      <c r="D169" s="355" t="s">
        <v>1429</v>
      </c>
      <c r="E169" s="195">
        <f>proc_pipe_diam</f>
        <v>2</v>
      </c>
      <c r="F169" s="1" t="s">
        <v>1430</v>
      </c>
      <c r="G169" s="195">
        <f>IF(curve=1,proc_pipe_diam,VLOOKUP(proc_pipe_diam,ss_pipe_cost_cl,2))</f>
        <v>2</v>
      </c>
      <c r="H169" s="510" t="s">
        <v>1430</v>
      </c>
      <c r="I169" s="686">
        <f>IF(curve=1,ss_pipe_eq_proc,VLOOKUP(proc_pipe_diam,ss_pipe_cost_cl,3))</f>
        <v>95.441199361000002</v>
      </c>
      <c r="J169" s="356">
        <f>IF(I169="contact vendor","--",C169*I169)</f>
        <v>5726.4719616600005</v>
      </c>
      <c r="K169" s="195">
        <f>VLOOKUP(proc_pipe_diam,ss_pipe_cost_cl,IF(ss_cat="large",4,5))</f>
        <v>40</v>
      </c>
      <c r="L169" s="354">
        <v>0</v>
      </c>
      <c r="M169" s="5" t="str">
        <f>$B$144&amp;" - "&amp;$B$165&amp;" "&amp;" - "&amp;B169</f>
        <v>Piping - Process Piping  - Stainless Steel</v>
      </c>
      <c r="N169" s="694">
        <v>5</v>
      </c>
      <c r="O169" s="694">
        <v>5</v>
      </c>
      <c r="P169" s="694">
        <v>1</v>
      </c>
      <c r="Q169" s="694">
        <v>5</v>
      </c>
      <c r="R169" s="694">
        <v>5</v>
      </c>
      <c r="S169" s="694">
        <v>1</v>
      </c>
      <c r="T169" s="694">
        <v>5</v>
      </c>
      <c r="U169" s="694">
        <v>5</v>
      </c>
      <c r="V169" s="694">
        <v>1</v>
      </c>
      <c r="W169" s="694">
        <f t="shared" si="7"/>
        <v>0</v>
      </c>
      <c r="X169">
        <f t="shared" si="8"/>
        <v>0</v>
      </c>
      <c r="Y169" s="1"/>
    </row>
    <row r="170" spans="1:25" s="773" customFormat="1" x14ac:dyDescent="0.2">
      <c r="A170" s="320" t="s">
        <v>2076</v>
      </c>
      <c r="B170" s="1" t="s">
        <v>581</v>
      </c>
      <c r="C170" s="555">
        <f>proc_pipe_length</f>
        <v>60</v>
      </c>
      <c r="D170" s="355" t="s">
        <v>1429</v>
      </c>
      <c r="E170" s="195">
        <f>proc_pipe_diam</f>
        <v>2</v>
      </c>
      <c r="F170" s="1" t="s">
        <v>1430</v>
      </c>
      <c r="G170" s="195">
        <f>IF(curve=1,proc_pipe_diam,VLOOKUP(proc_pipe_diam,st_pipe_cost_cl,2))</f>
        <v>2</v>
      </c>
      <c r="H170" s="510" t="s">
        <v>1430</v>
      </c>
      <c r="I170" s="686">
        <f>IF(curve=1,st_pipe_eq_proc,VLOOKUP(proc_pipe_diam,st_pipe_cost_cl,3))</f>
        <v>39.402378953941181</v>
      </c>
      <c r="J170" s="356">
        <f>IF(I170="contact vendor","--",C170*I170)</f>
        <v>2364.142737236471</v>
      </c>
      <c r="K170" s="195">
        <f>VLOOKUP(proc_pipe_diam,st_pipe_cost_cl,IF(ss_cat="large",4,5))</f>
        <v>33</v>
      </c>
      <c r="L170" s="354">
        <v>0</v>
      </c>
      <c r="M170" s="5" t="str">
        <f>$B$144&amp;" - "&amp;$B$165&amp;" "&amp;" - "&amp;B170</f>
        <v>Piping - Process Piping  - Steel</v>
      </c>
      <c r="N170" s="694">
        <v>4</v>
      </c>
      <c r="O170" s="694">
        <v>4</v>
      </c>
      <c r="P170" s="694">
        <v>2</v>
      </c>
      <c r="Q170" s="694">
        <v>4</v>
      </c>
      <c r="R170" s="694">
        <v>4</v>
      </c>
      <c r="S170" s="694">
        <v>2</v>
      </c>
      <c r="T170" s="694">
        <v>4</v>
      </c>
      <c r="U170" s="694">
        <v>4</v>
      </c>
      <c r="V170" s="694">
        <v>2</v>
      </c>
      <c r="W170" s="694">
        <f t="shared" si="7"/>
        <v>0</v>
      </c>
      <c r="X170">
        <f t="shared" si="8"/>
        <v>0</v>
      </c>
      <c r="Y170" s="1"/>
    </row>
    <row r="171" spans="1:25" x14ac:dyDescent="0.2">
      <c r="A171" s="473">
        <v>4.5999999999999996</v>
      </c>
      <c r="B171" s="13" t="s">
        <v>1521</v>
      </c>
      <c r="C171" s="554"/>
      <c r="D171" s="272"/>
      <c r="E171" s="283"/>
      <c r="F171" s="511"/>
      <c r="G171" s="283"/>
      <c r="H171" s="511"/>
      <c r="I171" s="284"/>
      <c r="J171" s="283"/>
      <c r="K171" s="283"/>
      <c r="L171" s="192"/>
      <c r="M171" s="5"/>
      <c r="N171" s="695"/>
      <c r="O171" s="695"/>
      <c r="P171" s="695"/>
      <c r="Q171" s="695"/>
      <c r="R171" s="695"/>
      <c r="S171" s="695"/>
      <c r="T171" s="695"/>
      <c r="U171" s="695"/>
      <c r="V171" s="695"/>
      <c r="W171" s="694">
        <f t="shared" si="7"/>
        <v>0</v>
      </c>
      <c r="X171">
        <f t="shared" si="8"/>
        <v>0</v>
      </c>
      <c r="Y171"/>
    </row>
    <row r="172" spans="1:25" s="773" customFormat="1" x14ac:dyDescent="0.2">
      <c r="A172" s="320" t="s">
        <v>167</v>
      </c>
      <c r="B172" s="1" t="s">
        <v>1431</v>
      </c>
      <c r="C172" s="555">
        <f>bp_pipe_length</f>
        <v>0</v>
      </c>
      <c r="D172" s="355" t="s">
        <v>1429</v>
      </c>
      <c r="E172" s="195" t="str">
        <f>IF(bp_pct&gt;0,bp_pipe_diam,"NA")</f>
        <v>NA</v>
      </c>
      <c r="F172" s="1" t="str">
        <f>IF(bp_pct=0," ","in. diam")</f>
        <v xml:space="preserve"> </v>
      </c>
      <c r="G172" s="195" t="str">
        <f>IF(bp_pct=0,"NA",IF(curve=1,bp_pipe_diam,VLOOKUP(bp_pipe_diam,cpvc_pipe_cost_cl,2)))</f>
        <v>NA</v>
      </c>
      <c r="H172" s="510" t="str">
        <f>IF(bp_pct=0," ","in. diam")</f>
        <v xml:space="preserve"> </v>
      </c>
      <c r="I172" s="686" t="str">
        <f>IF(bp_pct=0,"NA",IF(curve=1,cpvc_pipe_eq_bp,VLOOKUP(bp_pipe_diam,cpvc_pipe_cost_cl,3)))</f>
        <v>NA</v>
      </c>
      <c r="J172" s="356">
        <f>IF(bp_pct=0,0,IF(I172="contact vendor","--",C172*I172))</f>
        <v>0</v>
      </c>
      <c r="K172" s="195" t="str">
        <f>IF(bp_pct=0,"NA",VLOOKUP(bp_pipe_diam,cpvc_pipe_cost_cl,IF(ss_cat="large",4,5)))</f>
        <v>NA</v>
      </c>
      <c r="L172" s="354"/>
      <c r="M172" s="5" t="str">
        <f>$B$144&amp;" - "&amp;$B$171&amp;" "&amp;" - "&amp;B172</f>
        <v>Piping - Bypass Piping  - CPVC</v>
      </c>
      <c r="N172" s="694">
        <v>2</v>
      </c>
      <c r="O172" s="695">
        <v>1</v>
      </c>
      <c r="P172" s="694">
        <v>3</v>
      </c>
      <c r="Q172" s="694">
        <v>2</v>
      </c>
      <c r="R172" s="695">
        <v>1</v>
      </c>
      <c r="S172" s="694">
        <v>3</v>
      </c>
      <c r="T172" s="694">
        <v>2</v>
      </c>
      <c r="U172" s="695">
        <v>1</v>
      </c>
      <c r="V172" s="694">
        <v>3</v>
      </c>
      <c r="W172" s="694">
        <f t="shared" si="7"/>
        <v>0</v>
      </c>
      <c r="X172">
        <f t="shared" si="8"/>
        <v>0</v>
      </c>
      <c r="Y172" s="1"/>
    </row>
    <row r="173" spans="1:25" s="773" customFormat="1" x14ac:dyDescent="0.2">
      <c r="A173" s="320" t="s">
        <v>167</v>
      </c>
      <c r="B173" s="1" t="s">
        <v>580</v>
      </c>
      <c r="C173" s="555">
        <f>bp_pipe_length</f>
        <v>0</v>
      </c>
      <c r="D173" s="355" t="s">
        <v>1429</v>
      </c>
      <c r="E173" s="195" t="str">
        <f>IF(bp_pct&gt;0,bp_pipe_diam,"NA")</f>
        <v>NA</v>
      </c>
      <c r="F173" s="1" t="str">
        <f>IF(bp_pct=0," ","in. diam")</f>
        <v xml:space="preserve"> </v>
      </c>
      <c r="G173" s="195" t="str">
        <f>IF(bp_pct=0,"NA",IF(curve=1,bp_pipe_diam,VLOOKUP(bp_pipe_diam,pvc_pipe_cost_cl,2)))</f>
        <v>NA</v>
      </c>
      <c r="H173" s="510" t="str">
        <f>IF(bp_pct=0," ","in. diam")</f>
        <v xml:space="preserve"> </v>
      </c>
      <c r="I173" s="686" t="str">
        <f>IF(bp_pct=0,"NA",IF(curve=1,pvc_pipe_eq_bp,VLOOKUP(bp_pipe_diam,pvc_pipe_cost_cl,3)))</f>
        <v>NA</v>
      </c>
      <c r="J173" s="356">
        <f>IF(bp_pct=0,0,IF(I173="contact vendor","--",C173*I173))</f>
        <v>0</v>
      </c>
      <c r="K173" s="195" t="str">
        <f>IF(bp_pct=0,"NA",VLOOKUP(bp_pipe_diam,pvc_pipe_cost_cl,IF(ss_cat="large",4,5)))</f>
        <v>NA</v>
      </c>
      <c r="L173" s="354"/>
      <c r="M173" s="5" t="str">
        <f>$B$144&amp;" - "&amp;$B$171&amp;" "&amp;" - "&amp;B173</f>
        <v>Piping - Bypass Piping  - PVC</v>
      </c>
      <c r="N173" s="694">
        <v>1</v>
      </c>
      <c r="O173" s="695">
        <v>2</v>
      </c>
      <c r="P173" s="694">
        <v>4</v>
      </c>
      <c r="Q173" s="694">
        <v>1</v>
      </c>
      <c r="R173" s="695">
        <v>2</v>
      </c>
      <c r="S173" s="694">
        <v>4</v>
      </c>
      <c r="T173" s="694">
        <v>1</v>
      </c>
      <c r="U173" s="695">
        <v>2</v>
      </c>
      <c r="V173" s="694">
        <v>4</v>
      </c>
      <c r="W173" s="694">
        <f t="shared" si="7"/>
        <v>0</v>
      </c>
      <c r="X173">
        <f t="shared" si="8"/>
        <v>0</v>
      </c>
      <c r="Y173" s="1"/>
    </row>
    <row r="174" spans="1:25" s="773" customFormat="1" x14ac:dyDescent="0.2">
      <c r="A174" s="320" t="s">
        <v>167</v>
      </c>
      <c r="B174" s="1" t="s">
        <v>1421</v>
      </c>
      <c r="C174" s="555">
        <f>bp_pipe_length</f>
        <v>0</v>
      </c>
      <c r="D174" s="355" t="s">
        <v>1429</v>
      </c>
      <c r="E174" s="195" t="str">
        <f>IF(bp_pct&gt;0,bp_pipe_diam,"NA")</f>
        <v>NA</v>
      </c>
      <c r="F174" s="1" t="str">
        <f>IF(bp_pct=0," ","in. diam")</f>
        <v xml:space="preserve"> </v>
      </c>
      <c r="G174" s="195" t="str">
        <f>IF(bp_pct=0,"NA",IF(curve=1,bp_pipe_diam,VLOOKUP(bp_pipe_diam,ss_pipe_cost_cl,2)))</f>
        <v>NA</v>
      </c>
      <c r="H174" s="510" t="str">
        <f>IF(bp_pct=0," ","in. diam")</f>
        <v xml:space="preserve"> </v>
      </c>
      <c r="I174" s="686" t="str">
        <f>IF(bp_pct=0,"NA",IF(curve=1,ss_pipe_eq_bp,VLOOKUP(bp_pipe_diam,ss_pipe_cost_cl,3)))</f>
        <v>NA</v>
      </c>
      <c r="J174" s="356">
        <f>IF(bp_pct=0,0,IF(I174="contact vendor","--",C174*I174))</f>
        <v>0</v>
      </c>
      <c r="K174" s="195" t="str">
        <f>IF(bp_pct=0,"NA",VLOOKUP(bp_pipe_diam,ss_pipe_cost_cl,IF(ss_cat="large",4,5)))</f>
        <v>NA</v>
      </c>
      <c r="L174" s="354"/>
      <c r="M174" s="5" t="str">
        <f>$B$144&amp;" - "&amp;$B$171&amp;" "&amp;" - "&amp;B174</f>
        <v>Piping - Bypass Piping  - Stainless Steel</v>
      </c>
      <c r="N174" s="694">
        <v>4</v>
      </c>
      <c r="O174" s="694">
        <v>4</v>
      </c>
      <c r="P174" s="694">
        <v>1</v>
      </c>
      <c r="Q174" s="694">
        <v>4</v>
      </c>
      <c r="R174" s="694">
        <v>4</v>
      </c>
      <c r="S174" s="694">
        <v>1</v>
      </c>
      <c r="T174" s="694">
        <v>4</v>
      </c>
      <c r="U174" s="694">
        <v>4</v>
      </c>
      <c r="V174" s="694">
        <v>1</v>
      </c>
      <c r="W174" s="694">
        <f t="shared" si="7"/>
        <v>0</v>
      </c>
      <c r="X174">
        <f t="shared" si="8"/>
        <v>0</v>
      </c>
      <c r="Y174" s="1"/>
    </row>
    <row r="175" spans="1:25" s="773" customFormat="1" x14ac:dyDescent="0.2">
      <c r="A175" s="320" t="s">
        <v>167</v>
      </c>
      <c r="B175" s="1" t="s">
        <v>581</v>
      </c>
      <c r="C175" s="555">
        <f>bp_pipe_length</f>
        <v>0</v>
      </c>
      <c r="D175" s="355" t="s">
        <v>1429</v>
      </c>
      <c r="E175" s="195" t="str">
        <f>IF(bp_pct&gt;0,bp_pipe_diam,"NA")</f>
        <v>NA</v>
      </c>
      <c r="F175" s="1" t="str">
        <f>IF(bp_pct=0," ","in. diam")</f>
        <v xml:space="preserve"> </v>
      </c>
      <c r="G175" s="195" t="str">
        <f>IF(bp_pct=0,"NA",IF(curve=1,bp_pipe_diam,VLOOKUP(bp_pipe_diam,st_pipe_cost_cl,2)))</f>
        <v>NA</v>
      </c>
      <c r="H175" s="510" t="str">
        <f>IF(bp_pct=0," ","in. diam")</f>
        <v xml:space="preserve"> </v>
      </c>
      <c r="I175" s="686" t="str">
        <f>IF(bp_pct=0,"NA",IF(curve=1,st_pipe_eq_bp,VLOOKUP(bp_pipe_diam,st_pipe_cost_cl,3)))</f>
        <v>NA</v>
      </c>
      <c r="J175" s="356">
        <f>IF(bp_pct=0,0,IF(I175="contact vendor","--",C175*I175))</f>
        <v>0</v>
      </c>
      <c r="K175" s="195" t="str">
        <f>IF(bp_pct=0,"NA",VLOOKUP(bp_pipe_diam,st_pipe_cost_cl,IF(ss_cat="large",4,5)))</f>
        <v>NA</v>
      </c>
      <c r="L175" s="354"/>
      <c r="M175" s="5" t="str">
        <f>$B$144&amp;" - "&amp;$B$171&amp;" "&amp;" - "&amp;B175</f>
        <v>Piping - Bypass Piping  - Steel</v>
      </c>
      <c r="N175" s="694">
        <v>3</v>
      </c>
      <c r="O175" s="694">
        <v>3</v>
      </c>
      <c r="P175" s="694">
        <v>2</v>
      </c>
      <c r="Q175" s="694">
        <v>3</v>
      </c>
      <c r="R175" s="694">
        <v>3</v>
      </c>
      <c r="S175" s="694">
        <v>2</v>
      </c>
      <c r="T175" s="694">
        <v>3</v>
      </c>
      <c r="U175" s="694">
        <v>3</v>
      </c>
      <c r="V175" s="694">
        <v>2</v>
      </c>
      <c r="W175" s="694">
        <f t="shared" si="7"/>
        <v>0</v>
      </c>
      <c r="X175">
        <f t="shared" si="8"/>
        <v>0</v>
      </c>
      <c r="Y175" s="1"/>
    </row>
    <row r="176" spans="1:25" s="868" customFormat="1" x14ac:dyDescent="0.2">
      <c r="A176" s="473">
        <v>4.7</v>
      </c>
      <c r="B176" s="23" t="s">
        <v>4423</v>
      </c>
      <c r="C176" s="557"/>
      <c r="D176" s="277"/>
      <c r="E176" s="372"/>
      <c r="F176" s="533"/>
      <c r="G176" s="372"/>
      <c r="H176" s="533"/>
      <c r="I176" s="878"/>
      <c r="J176" s="372"/>
      <c r="K176" s="372"/>
      <c r="L176" s="278"/>
      <c r="M176" s="24"/>
      <c r="N176" s="695"/>
      <c r="O176" s="695"/>
      <c r="P176" s="695"/>
      <c r="Q176" s="695"/>
      <c r="R176" s="695"/>
      <c r="S176" s="695"/>
      <c r="T176" s="695"/>
      <c r="U176" s="695"/>
      <c r="V176" s="695"/>
      <c r="W176" s="694">
        <f t="shared" si="7"/>
        <v>0</v>
      </c>
      <c r="X176">
        <f t="shared" si="8"/>
        <v>0</v>
      </c>
      <c r="Y176" s="24"/>
    </row>
    <row r="177" spans="1:25" s="869" customFormat="1" x14ac:dyDescent="0.2">
      <c r="A177" s="320" t="s">
        <v>2230</v>
      </c>
      <c r="B177" s="1" t="s">
        <v>2172</v>
      </c>
      <c r="C177" s="555">
        <f>in_out_pipe_length</f>
        <v>60</v>
      </c>
      <c r="D177" s="355" t="s">
        <v>1429</v>
      </c>
      <c r="E177" s="195">
        <f>in_out_pipe_diam</f>
        <v>3</v>
      </c>
      <c r="F177" s="1" t="s">
        <v>1430</v>
      </c>
      <c r="G177" s="195">
        <f>IF(curve=1,in_out_pipe_diam,VLOOKUP(in_out_pipe_diam,di_pipe_cost_cl,2))</f>
        <v>3</v>
      </c>
      <c r="H177" s="510" t="s">
        <v>1430</v>
      </c>
      <c r="I177" s="686" t="str">
        <f>IF(curve=1,di_pipe_eq_in_out,VLOOKUP(in_out_pipe_diam,di_pipe_cost_cl,3))</f>
        <v>contact vendor</v>
      </c>
      <c r="J177" s="356" t="str">
        <f>IF(I177="contact vendor","--",C177*I177)</f>
        <v>--</v>
      </c>
      <c r="K177" s="195">
        <f>VLOOKUP(in_out_pipe_diam,di_pipe_cost_cl,IF(ss_cat="large",4,5))</f>
        <v>35</v>
      </c>
      <c r="L177" s="354">
        <v>0</v>
      </c>
      <c r="M177" s="24" t="str">
        <f>$B$144&amp;" - "&amp;$B$176&amp;" "&amp;" - "&amp;B177</f>
        <v>Piping - Influent and Treated Water Piping  - Ductile Iron</v>
      </c>
      <c r="N177" s="694">
        <v>3</v>
      </c>
      <c r="O177" s="694">
        <v>3</v>
      </c>
      <c r="P177" s="694">
        <v>3</v>
      </c>
      <c r="Q177" s="694">
        <v>3</v>
      </c>
      <c r="R177" s="694">
        <v>3</v>
      </c>
      <c r="S177" s="694">
        <v>3</v>
      </c>
      <c r="T177" s="694">
        <v>3</v>
      </c>
      <c r="U177" s="694">
        <v>3</v>
      </c>
      <c r="V177" s="694">
        <v>3</v>
      </c>
      <c r="W177" s="694">
        <f t="shared" si="7"/>
        <v>0</v>
      </c>
      <c r="X177">
        <f t="shared" si="8"/>
        <v>0</v>
      </c>
      <c r="Y177" s="867"/>
    </row>
    <row r="178" spans="1:25" s="869" customFormat="1" x14ac:dyDescent="0.2">
      <c r="A178" s="320" t="s">
        <v>2230</v>
      </c>
      <c r="B178" s="1" t="s">
        <v>1431</v>
      </c>
      <c r="C178" s="555">
        <f>in_out_pipe_length</f>
        <v>60</v>
      </c>
      <c r="D178" s="355" t="s">
        <v>1429</v>
      </c>
      <c r="E178" s="195">
        <f>in_out_pipe_diam</f>
        <v>3</v>
      </c>
      <c r="F178" s="1" t="s">
        <v>1430</v>
      </c>
      <c r="G178" s="195">
        <f>IF(curve=1,in_out_pipe_diam,VLOOKUP(in_out_pipe_diam,cpvc_pipe_cost_cl,2))</f>
        <v>3</v>
      </c>
      <c r="H178" s="510" t="s">
        <v>1430</v>
      </c>
      <c r="I178" s="686">
        <f>IF(curve=1,cpvc_pipe_eq_in_out,VLOOKUP(in_out_pipe_diam,cpvc_pipe_cost_cl,3))</f>
        <v>16.555604720000002</v>
      </c>
      <c r="J178" s="356">
        <f>IF(I178="contact vendor","--",C178*I178)</f>
        <v>993.33628320000014</v>
      </c>
      <c r="K178" s="195">
        <f>VLOOKUP(in_out_pipe_diam,cpvc_pipe_cost_cl,IF(ss_cat="large",4,5))</f>
        <v>17</v>
      </c>
      <c r="L178" s="354">
        <v>0</v>
      </c>
      <c r="M178" s="24" t="str">
        <f>$B$144&amp;" - "&amp;$B$176&amp;" "&amp;" - "&amp;B178</f>
        <v>Piping - Influent and Treated Water Piping  - CPVC</v>
      </c>
      <c r="N178" s="694">
        <v>2</v>
      </c>
      <c r="O178" s="694">
        <v>1</v>
      </c>
      <c r="P178" s="694">
        <v>4</v>
      </c>
      <c r="Q178" s="694">
        <v>2</v>
      </c>
      <c r="R178" s="694">
        <v>1</v>
      </c>
      <c r="S178" s="694">
        <v>4</v>
      </c>
      <c r="T178" s="694">
        <v>2</v>
      </c>
      <c r="U178" s="694">
        <v>1</v>
      </c>
      <c r="V178" s="694">
        <v>4</v>
      </c>
      <c r="W178" s="694">
        <f t="shared" si="7"/>
        <v>0</v>
      </c>
      <c r="X178">
        <f t="shared" si="8"/>
        <v>0</v>
      </c>
      <c r="Y178" s="867"/>
    </row>
    <row r="179" spans="1:25" s="869" customFormat="1" x14ac:dyDescent="0.2">
      <c r="A179" s="320" t="s">
        <v>2230</v>
      </c>
      <c r="B179" s="1" t="s">
        <v>580</v>
      </c>
      <c r="C179" s="555">
        <f>in_out_pipe_length</f>
        <v>60</v>
      </c>
      <c r="D179" s="355" t="s">
        <v>1429</v>
      </c>
      <c r="E179" s="195">
        <f>in_out_pipe_diam</f>
        <v>3</v>
      </c>
      <c r="F179" s="1" t="s">
        <v>1430</v>
      </c>
      <c r="G179" s="195">
        <f>IF(curve=1,in_out_pipe_diam,VLOOKUP(in_out_pipe_diam,pvc_pipe_cost_cl,2))</f>
        <v>3</v>
      </c>
      <c r="H179" s="510" t="s">
        <v>1430</v>
      </c>
      <c r="I179" s="686">
        <f>IF(curve=1,pvc_pipe_eq_in_out,VLOOKUP(in_out_pipe_diam,pvc_pipe_cost_cl,3))</f>
        <v>4.7046145499999996</v>
      </c>
      <c r="J179" s="356">
        <f>IF(I179="contact vendor","--",C179*I179)</f>
        <v>282.27687299999997</v>
      </c>
      <c r="K179" s="195">
        <f>VLOOKUP(in_out_pipe_diam,pvc_pipe_cost_cl,IF(ss_cat="large",4,5))</f>
        <v>17</v>
      </c>
      <c r="L179" s="354">
        <v>1</v>
      </c>
      <c r="M179" s="24" t="str">
        <f>$B$144&amp;" - "&amp;$B$176&amp;" "&amp;" - "&amp;B179</f>
        <v>Piping - Influent and Treated Water Piping  - PVC</v>
      </c>
      <c r="N179" s="694">
        <v>1</v>
      </c>
      <c r="O179" s="694">
        <v>2</v>
      </c>
      <c r="P179" s="694">
        <v>5</v>
      </c>
      <c r="Q179" s="694">
        <v>1</v>
      </c>
      <c r="R179" s="694">
        <v>2</v>
      </c>
      <c r="S179" s="694">
        <v>5</v>
      </c>
      <c r="T179" s="694">
        <v>1</v>
      </c>
      <c r="U179" s="694">
        <v>2</v>
      </c>
      <c r="V179" s="694">
        <v>5</v>
      </c>
      <c r="W179" s="694">
        <f t="shared" si="7"/>
        <v>1</v>
      </c>
      <c r="X179">
        <f t="shared" si="8"/>
        <v>16.604521941176468</v>
      </c>
      <c r="Y179" s="867"/>
    </row>
    <row r="180" spans="1:25" s="869" customFormat="1" x14ac:dyDescent="0.2">
      <c r="A180" s="320" t="s">
        <v>2230</v>
      </c>
      <c r="B180" s="1" t="s">
        <v>1421</v>
      </c>
      <c r="C180" s="555">
        <f>in_out_pipe_length</f>
        <v>60</v>
      </c>
      <c r="D180" s="355" t="s">
        <v>1429</v>
      </c>
      <c r="E180" s="195">
        <f>in_out_pipe_diam</f>
        <v>3</v>
      </c>
      <c r="F180" s="1" t="s">
        <v>1430</v>
      </c>
      <c r="G180" s="195">
        <f>IF(curve=1,in_out_pipe_diam,VLOOKUP(in_out_pipe_diam,ss_pipe_cost_cl,2))</f>
        <v>3</v>
      </c>
      <c r="H180" s="510" t="s">
        <v>1430</v>
      </c>
      <c r="I180" s="686">
        <f>IF(curve=1,ss_pipe_eq_in_out,VLOOKUP(in_out_pipe_diam,ss_pipe_cost_cl,3))</f>
        <v>142.37001667799998</v>
      </c>
      <c r="J180" s="356">
        <f>IF(I180="contact vendor","--",C180*I180)</f>
        <v>8542.2010006799992</v>
      </c>
      <c r="K180" s="195">
        <f>VLOOKUP(in_out_pipe_diam,ss_pipe_cost_cl,IF(ss_cat="large",4,5))</f>
        <v>40</v>
      </c>
      <c r="L180" s="354">
        <v>0</v>
      </c>
      <c r="M180" s="24" t="str">
        <f>$B$144&amp;" - "&amp;$B$176&amp;" "&amp;" - "&amp;B180</f>
        <v>Piping - Influent and Treated Water Piping  - Stainless Steel</v>
      </c>
      <c r="N180" s="694">
        <v>5</v>
      </c>
      <c r="O180" s="694">
        <v>5</v>
      </c>
      <c r="P180" s="694">
        <v>1</v>
      </c>
      <c r="Q180" s="694">
        <v>5</v>
      </c>
      <c r="R180" s="694">
        <v>5</v>
      </c>
      <c r="S180" s="694">
        <v>1</v>
      </c>
      <c r="T180" s="694">
        <v>5</v>
      </c>
      <c r="U180" s="694">
        <v>5</v>
      </c>
      <c r="V180" s="694">
        <v>1</v>
      </c>
      <c r="W180" s="694">
        <f t="shared" si="7"/>
        <v>0</v>
      </c>
      <c r="X180">
        <f t="shared" si="8"/>
        <v>0</v>
      </c>
      <c r="Y180" s="867"/>
    </row>
    <row r="181" spans="1:25" s="869" customFormat="1" x14ac:dyDescent="0.2">
      <c r="A181" s="320" t="s">
        <v>2230</v>
      </c>
      <c r="B181" s="1" t="s">
        <v>581</v>
      </c>
      <c r="C181" s="555">
        <f>in_out_pipe_length</f>
        <v>60</v>
      </c>
      <c r="D181" s="355" t="s">
        <v>1429</v>
      </c>
      <c r="E181" s="195">
        <f>in_out_pipe_diam</f>
        <v>3</v>
      </c>
      <c r="F181" s="1" t="s">
        <v>1430</v>
      </c>
      <c r="G181" s="195">
        <f>IF(curve=1,in_out_pipe_diam,VLOOKUP(in_out_pipe_diam,st_pipe_cost_cl,2))</f>
        <v>3</v>
      </c>
      <c r="H181" s="510" t="s">
        <v>1430</v>
      </c>
      <c r="I181" s="686">
        <f>IF(curve=1,st_pipe_eq_in_out,VLOOKUP(in_out_pipe_diam,st_pipe_cost_cl,3))</f>
        <v>57.305910991826345</v>
      </c>
      <c r="J181" s="356">
        <f>IF(I181="contact vendor","--",C181*I181)</f>
        <v>3438.3546595095809</v>
      </c>
      <c r="K181" s="195">
        <f>VLOOKUP(in_out_pipe_diam,st_pipe_cost_cl,IF(ss_cat="large",4,5))</f>
        <v>33</v>
      </c>
      <c r="L181" s="354">
        <v>0</v>
      </c>
      <c r="M181" s="24" t="str">
        <f>$B$144&amp;" - "&amp;$B$176&amp;" "&amp;" - "&amp;B181</f>
        <v>Piping - Influent and Treated Water Piping  - Steel</v>
      </c>
      <c r="N181" s="694">
        <v>4</v>
      </c>
      <c r="O181" s="694">
        <v>4</v>
      </c>
      <c r="P181" s="694">
        <v>2</v>
      </c>
      <c r="Q181" s="694">
        <v>4</v>
      </c>
      <c r="R181" s="694">
        <v>4</v>
      </c>
      <c r="S181" s="694">
        <v>2</v>
      </c>
      <c r="T181" s="694">
        <v>4</v>
      </c>
      <c r="U181" s="694">
        <v>4</v>
      </c>
      <c r="V181" s="694">
        <v>2</v>
      </c>
      <c r="W181" s="694">
        <f t="shared" si="7"/>
        <v>0</v>
      </c>
      <c r="X181">
        <f t="shared" si="8"/>
        <v>0</v>
      </c>
      <c r="Y181" s="867"/>
    </row>
    <row r="182" spans="1:25" s="868" customFormat="1" x14ac:dyDescent="0.2">
      <c r="A182" s="473">
        <v>4.8</v>
      </c>
      <c r="B182" s="86" t="s">
        <v>1313</v>
      </c>
      <c r="C182" s="556"/>
      <c r="D182" s="180"/>
      <c r="E182" s="285"/>
      <c r="F182" s="512"/>
      <c r="G182" s="285"/>
      <c r="H182" s="512"/>
      <c r="I182" s="181"/>
      <c r="J182" s="285"/>
      <c r="K182" s="283"/>
      <c r="L182" s="192"/>
      <c r="M182" s="35"/>
      <c r="N182" s="694"/>
      <c r="O182" s="694"/>
      <c r="P182" s="694"/>
      <c r="Q182" s="694"/>
      <c r="R182" s="694"/>
      <c r="S182" s="694"/>
      <c r="T182" s="694"/>
      <c r="U182" s="694"/>
      <c r="V182" s="694"/>
      <c r="W182" s="694">
        <f t="shared" si="7"/>
        <v>0</v>
      </c>
      <c r="X182">
        <f t="shared" si="8"/>
        <v>0</v>
      </c>
      <c r="Y182" s="24"/>
    </row>
    <row r="183" spans="1:25" s="869" customFormat="1" x14ac:dyDescent="0.2">
      <c r="A183" s="320" t="s">
        <v>2231</v>
      </c>
      <c r="B183" s="1" t="s">
        <v>1431</v>
      </c>
      <c r="C183" s="555">
        <f>res_pipe_length</f>
        <v>70</v>
      </c>
      <c r="D183" s="355" t="s">
        <v>1429</v>
      </c>
      <c r="E183" s="195">
        <f>res_pipe_diam</f>
        <v>1</v>
      </c>
      <c r="F183" s="1" t="s">
        <v>1430</v>
      </c>
      <c r="G183" s="195">
        <f>IF(curve=1,res_pipe_diam,VLOOKUP(res_pipe_diam,cpvc_pipe_cost_cl,2))</f>
        <v>1</v>
      </c>
      <c r="H183" s="510" t="s">
        <v>1430</v>
      </c>
      <c r="I183" s="686">
        <f>IF(curve=1,cpvc_pipe_eq_res,VLOOKUP(res_pipe_diam,cpvc_pipe_cost_cl,3))</f>
        <v>4.6124254279999999</v>
      </c>
      <c r="J183" s="356">
        <f>IF(I183="contact vendor","--",C183*I183)</f>
        <v>322.86977996000002</v>
      </c>
      <c r="K183" s="195">
        <f>VLOOKUP(res_pipe_diam,cpvc_pipe_cost_cl,IF(ss_cat="large",4,5))</f>
        <v>17</v>
      </c>
      <c r="L183" s="354">
        <v>0</v>
      </c>
      <c r="M183" s="35" t="str">
        <f>$B$144&amp;" - "&amp;$B$182&amp;" "&amp;" - "&amp;B183</f>
        <v>Piping - Residuals Piping  - CPVC</v>
      </c>
      <c r="N183" s="694">
        <v>2</v>
      </c>
      <c r="O183" s="694">
        <v>1</v>
      </c>
      <c r="P183" s="694">
        <v>3</v>
      </c>
      <c r="Q183" s="694">
        <v>2</v>
      </c>
      <c r="R183" s="694">
        <v>1</v>
      </c>
      <c r="S183" s="694">
        <v>3</v>
      </c>
      <c r="T183" s="694">
        <v>2</v>
      </c>
      <c r="U183" s="694">
        <v>1</v>
      </c>
      <c r="V183" s="694">
        <v>3</v>
      </c>
      <c r="W183" s="694">
        <f t="shared" si="7"/>
        <v>0</v>
      </c>
      <c r="X183">
        <f t="shared" si="8"/>
        <v>0</v>
      </c>
      <c r="Y183" s="867"/>
    </row>
    <row r="184" spans="1:25" s="869" customFormat="1" x14ac:dyDescent="0.2">
      <c r="A184" s="320" t="s">
        <v>2231</v>
      </c>
      <c r="B184" s="1" t="s">
        <v>580</v>
      </c>
      <c r="C184" s="555">
        <f>res_pipe_length</f>
        <v>70</v>
      </c>
      <c r="D184" s="355" t="s">
        <v>1429</v>
      </c>
      <c r="E184" s="195">
        <f>res_pipe_diam</f>
        <v>1</v>
      </c>
      <c r="F184" s="1" t="s">
        <v>1430</v>
      </c>
      <c r="G184" s="195">
        <f>IF(curve=1,res_pipe_diam,VLOOKUP(res_pipe_diam,pvc_pipe_cost_cl,2))</f>
        <v>1</v>
      </c>
      <c r="H184" s="510" t="s">
        <v>1430</v>
      </c>
      <c r="I184" s="686">
        <f>IF(curve=1,pvc_pipe_eq_res,VLOOKUP(res_pipe_diam,pvc_pipe_cost_cl,3))</f>
        <v>2.325803826</v>
      </c>
      <c r="J184" s="356">
        <f>IF(I184="contact vendor","--",C184*I184)</f>
        <v>162.80626781999999</v>
      </c>
      <c r="K184" s="195">
        <f>VLOOKUP(res_pipe_diam,pvc_pipe_cost_cl,IF(ss_cat="large",4,5))</f>
        <v>17</v>
      </c>
      <c r="L184" s="354">
        <v>1</v>
      </c>
      <c r="M184" s="35" t="str">
        <f t="shared" ref="M184:M190" si="15">$B$144&amp;" - "&amp;$B$182&amp;" "&amp;" - "&amp;B184</f>
        <v>Piping - Residuals Piping  - PVC</v>
      </c>
      <c r="N184" s="694">
        <v>1</v>
      </c>
      <c r="O184" s="695">
        <v>2</v>
      </c>
      <c r="P184" s="694">
        <v>4</v>
      </c>
      <c r="Q184" s="694">
        <v>1</v>
      </c>
      <c r="R184" s="695">
        <v>2</v>
      </c>
      <c r="S184" s="694">
        <v>4</v>
      </c>
      <c r="T184" s="694">
        <v>1</v>
      </c>
      <c r="U184" s="695">
        <v>2</v>
      </c>
      <c r="V184" s="694">
        <v>4</v>
      </c>
      <c r="W184" s="694">
        <f t="shared" si="7"/>
        <v>1</v>
      </c>
      <c r="X184">
        <f t="shared" si="8"/>
        <v>9.5768392835294112</v>
      </c>
      <c r="Y184" s="867"/>
    </row>
    <row r="185" spans="1:25" s="869" customFormat="1" x14ac:dyDescent="0.2">
      <c r="A185" s="320" t="s">
        <v>2231</v>
      </c>
      <c r="B185" s="1" t="s">
        <v>1421</v>
      </c>
      <c r="C185" s="555">
        <f>res_pipe_length</f>
        <v>70</v>
      </c>
      <c r="D185" s="355" t="s">
        <v>1429</v>
      </c>
      <c r="E185" s="195">
        <f>res_pipe_diam</f>
        <v>1</v>
      </c>
      <c r="F185" s="1" t="s">
        <v>1430</v>
      </c>
      <c r="G185" s="195">
        <f>IF(curve=1,res_pipe_diam,VLOOKUP(res_pipe_diam,ss_pipe_cost_cl,2))</f>
        <v>1</v>
      </c>
      <c r="H185" s="510" t="s">
        <v>1430</v>
      </c>
      <c r="I185" s="686">
        <f>IF(curve=1,ss_pipe_eq_res,VLOOKUP(res_pipe_diam,ss_pipe_cost_cl,3))</f>
        <v>43.926352131999998</v>
      </c>
      <c r="J185" s="356">
        <f>IF(I185="contact vendor","--",C185*I185)</f>
        <v>3074.8446492399999</v>
      </c>
      <c r="K185" s="195">
        <f>VLOOKUP(res_pipe_diam,ss_pipe_cost_cl,IF(ss_cat="large",4,5))</f>
        <v>40</v>
      </c>
      <c r="L185" s="354">
        <v>0</v>
      </c>
      <c r="M185" s="35" t="str">
        <f t="shared" si="15"/>
        <v>Piping - Residuals Piping  - Stainless Steel</v>
      </c>
      <c r="N185" s="694">
        <v>4</v>
      </c>
      <c r="O185" s="695">
        <v>4</v>
      </c>
      <c r="P185" s="694">
        <v>1</v>
      </c>
      <c r="Q185" s="694">
        <v>4</v>
      </c>
      <c r="R185" s="695">
        <v>4</v>
      </c>
      <c r="S185" s="694">
        <v>1</v>
      </c>
      <c r="T185" s="694">
        <v>4</v>
      </c>
      <c r="U185" s="695">
        <v>4</v>
      </c>
      <c r="V185" s="694">
        <v>1</v>
      </c>
      <c r="W185" s="694">
        <f t="shared" si="7"/>
        <v>0</v>
      </c>
      <c r="X185">
        <f t="shared" si="8"/>
        <v>0</v>
      </c>
      <c r="Y185" s="867"/>
    </row>
    <row r="186" spans="1:25" s="869" customFormat="1" x14ac:dyDescent="0.2">
      <c r="A186" s="320" t="s">
        <v>2231</v>
      </c>
      <c r="B186" s="1" t="s">
        <v>581</v>
      </c>
      <c r="C186" s="555">
        <f>res_pipe_length</f>
        <v>70</v>
      </c>
      <c r="D186" s="355" t="s">
        <v>1429</v>
      </c>
      <c r="E186" s="195">
        <f>res_pipe_diam</f>
        <v>1</v>
      </c>
      <c r="F186" s="1" t="s">
        <v>1430</v>
      </c>
      <c r="G186" s="195">
        <f>IF(curve=1,res_pipe_diam,VLOOKUP(res_pipe_diam,st_pipe_cost_cl,2))</f>
        <v>1</v>
      </c>
      <c r="H186" s="510" t="s">
        <v>1430</v>
      </c>
      <c r="I186" s="686">
        <f>IF(curve=1,st_pipe_eq_res,VLOOKUP(res_pipe_diam,st_pipe_cost_cl,3))</f>
        <v>20.769417377</v>
      </c>
      <c r="J186" s="356">
        <f>IF(I186="contact vendor","--",C186*I186)</f>
        <v>1453.85921639</v>
      </c>
      <c r="K186" s="195">
        <f>VLOOKUP(res_pipe_diam,st_pipe_cost_cl,IF(ss_cat="large",4,5))</f>
        <v>33</v>
      </c>
      <c r="L186" s="354">
        <v>0</v>
      </c>
      <c r="M186" s="35" t="str">
        <f t="shared" si="15"/>
        <v>Piping - Residuals Piping  - Steel</v>
      </c>
      <c r="N186" s="694">
        <v>3</v>
      </c>
      <c r="O186" s="695">
        <v>3</v>
      </c>
      <c r="P186" s="694">
        <v>2</v>
      </c>
      <c r="Q186" s="694">
        <v>3</v>
      </c>
      <c r="R186" s="695">
        <v>3</v>
      </c>
      <c r="S186" s="694">
        <v>2</v>
      </c>
      <c r="T186" s="694">
        <v>3</v>
      </c>
      <c r="U186" s="695">
        <v>3</v>
      </c>
      <c r="V186" s="694">
        <v>2</v>
      </c>
      <c r="W186" s="694">
        <f t="shared" si="7"/>
        <v>0</v>
      </c>
      <c r="X186">
        <f t="shared" si="8"/>
        <v>0</v>
      </c>
      <c r="Y186" s="867"/>
    </row>
    <row r="187" spans="1:25" s="869" customFormat="1" x14ac:dyDescent="0.2">
      <c r="A187" s="320" t="s">
        <v>2232</v>
      </c>
      <c r="B187" s="1" t="s">
        <v>1873</v>
      </c>
      <c r="C187" s="555">
        <f>res_trench_vol</f>
        <v>0</v>
      </c>
      <c r="D187" s="355" t="s">
        <v>2458</v>
      </c>
      <c r="E187" s="195" t="s">
        <v>590</v>
      </c>
      <c r="F187" s="1"/>
      <c r="G187" s="195" t="s">
        <v>590</v>
      </c>
      <c r="H187" s="510"/>
      <c r="I187" s="686" t="str">
        <f>IF(C187=0,"NA",VLOOKUP(0,excavate_cost_cl,3))</f>
        <v>NA</v>
      </c>
      <c r="J187" s="356" t="str">
        <f>IF(OR(I187="contact vendor",C187=0),"--",C187*I187)</f>
        <v>--</v>
      </c>
      <c r="K187" s="195" t="str">
        <f>IF(C187=0,"NA",SUMPRODUCT(L183:L186,K183:K186))</f>
        <v>NA</v>
      </c>
      <c r="L187" s="354"/>
      <c r="M187" s="35" t="str">
        <f t="shared" si="15"/>
        <v>Piping - Residuals Piping  - Excavation</v>
      </c>
      <c r="N187" s="694">
        <v>1</v>
      </c>
      <c r="O187" s="694">
        <v>1</v>
      </c>
      <c r="P187" s="694">
        <v>1</v>
      </c>
      <c r="Q187" s="694">
        <v>1</v>
      </c>
      <c r="R187" s="694">
        <v>1</v>
      </c>
      <c r="S187" s="694">
        <v>1</v>
      </c>
      <c r="T187" s="694">
        <v>1</v>
      </c>
      <c r="U187" s="694">
        <v>1</v>
      </c>
      <c r="V187" s="694">
        <v>1</v>
      </c>
      <c r="W187" s="694">
        <f t="shared" si="7"/>
        <v>0</v>
      </c>
      <c r="X187">
        <f t="shared" si="8"/>
        <v>0</v>
      </c>
      <c r="Y187" s="867"/>
    </row>
    <row r="188" spans="1:25" s="869" customFormat="1" x14ac:dyDescent="0.2">
      <c r="A188" s="320" t="s">
        <v>2233</v>
      </c>
      <c r="B188" s="1" t="s">
        <v>2609</v>
      </c>
      <c r="C188" s="555">
        <f>res_pipe_bedding_vol</f>
        <v>0</v>
      </c>
      <c r="D188" s="355" t="s">
        <v>2458</v>
      </c>
      <c r="E188" s="195" t="s">
        <v>590</v>
      </c>
      <c r="F188" s="1"/>
      <c r="G188" s="195" t="s">
        <v>590</v>
      </c>
      <c r="H188" s="510"/>
      <c r="I188" s="686" t="str">
        <f>IF(C188=0,"NA",VLOOKUP(0,bedding_cost_cl,3))</f>
        <v>NA</v>
      </c>
      <c r="J188" s="356" t="str">
        <f>IF(OR(I188="contact vendor",C188=0),"--",C188*I188)</f>
        <v>--</v>
      </c>
      <c r="K188" s="195" t="str">
        <f>IF(C188=0,"NA",SUMPRODUCT(L183:L186,K183:K186))</f>
        <v>NA</v>
      </c>
      <c r="L188" s="354"/>
      <c r="M188" s="35" t="str">
        <f t="shared" si="15"/>
        <v>Piping - Residuals Piping  - Bedding</v>
      </c>
      <c r="N188" s="694">
        <v>1</v>
      </c>
      <c r="O188" s="694">
        <v>1</v>
      </c>
      <c r="P188" s="694">
        <v>1</v>
      </c>
      <c r="Q188" s="694">
        <v>1</v>
      </c>
      <c r="R188" s="694">
        <v>1</v>
      </c>
      <c r="S188" s="694">
        <v>1</v>
      </c>
      <c r="T188" s="694">
        <v>1</v>
      </c>
      <c r="U188" s="694">
        <v>1</v>
      </c>
      <c r="V188" s="694">
        <v>1</v>
      </c>
      <c r="W188" s="694">
        <f t="shared" si="7"/>
        <v>0</v>
      </c>
      <c r="X188">
        <f t="shared" si="8"/>
        <v>0</v>
      </c>
      <c r="Y188" s="867"/>
    </row>
    <row r="189" spans="1:25" s="869" customFormat="1" x14ac:dyDescent="0.2">
      <c r="A189" s="320" t="s">
        <v>2234</v>
      </c>
      <c r="B189" s="1" t="s">
        <v>2610</v>
      </c>
      <c r="C189" s="555">
        <f>res_trench_vol</f>
        <v>0</v>
      </c>
      <c r="D189" s="355" t="s">
        <v>2458</v>
      </c>
      <c r="E189" s="195" t="s">
        <v>590</v>
      </c>
      <c r="F189" s="1"/>
      <c r="G189" s="195" t="s">
        <v>590</v>
      </c>
      <c r="H189" s="510"/>
      <c r="I189" s="686" t="str">
        <f>IF(C189=0,"NA",VLOOKUP(0,backfill_cost_cl,3))</f>
        <v>NA</v>
      </c>
      <c r="J189" s="356" t="str">
        <f>IF(OR(I189="contact vendor",C189=0),"--",C189*I189)</f>
        <v>--</v>
      </c>
      <c r="K189" s="195" t="str">
        <f>IF(C189=0,"NA",SUMPRODUCT(L183:L186,K183:K186))</f>
        <v>NA</v>
      </c>
      <c r="L189" s="354"/>
      <c r="M189" s="35" t="str">
        <f t="shared" si="15"/>
        <v xml:space="preserve">Piping - Residuals Piping  - Backfill and Compaction </v>
      </c>
      <c r="N189" s="694">
        <v>1</v>
      </c>
      <c r="O189" s="694">
        <v>1</v>
      </c>
      <c r="P189" s="694">
        <v>1</v>
      </c>
      <c r="Q189" s="694">
        <v>1</v>
      </c>
      <c r="R189" s="694">
        <v>1</v>
      </c>
      <c r="S189" s="694">
        <v>1</v>
      </c>
      <c r="T189" s="694">
        <v>1</v>
      </c>
      <c r="U189" s="694">
        <v>1</v>
      </c>
      <c r="V189" s="694">
        <v>1</v>
      </c>
      <c r="W189" s="694">
        <f t="shared" si="7"/>
        <v>0</v>
      </c>
      <c r="X189">
        <f t="shared" si="8"/>
        <v>0</v>
      </c>
      <c r="Y189" s="867"/>
    </row>
    <row r="190" spans="1:25" s="869" customFormat="1" x14ac:dyDescent="0.2">
      <c r="A190" s="320" t="s">
        <v>3964</v>
      </c>
      <c r="B190" s="1" t="s">
        <v>2611</v>
      </c>
      <c r="C190" s="555">
        <f>res_block_vol</f>
        <v>0</v>
      </c>
      <c r="D190" s="355" t="s">
        <v>2458</v>
      </c>
      <c r="E190" s="195" t="s">
        <v>590</v>
      </c>
      <c r="F190" s="1"/>
      <c r="G190" s="195" t="s">
        <v>590</v>
      </c>
      <c r="H190" s="510"/>
      <c r="I190" s="686" t="str">
        <f>IF(C190=0,"NA",VLOOKUP(0,conc_basin_cost_cl,3))</f>
        <v>NA</v>
      </c>
      <c r="J190" s="356" t="str">
        <f>IF(OR(I190="contact vendor",C190=0),"--",C190*I190)</f>
        <v>--</v>
      </c>
      <c r="K190" s="195" t="str">
        <f>IF(C190=0,"NA",SUMPRODUCT(L183:L186,K183:K186))</f>
        <v>NA</v>
      </c>
      <c r="L190" s="354"/>
      <c r="M190" s="35" t="str">
        <f t="shared" si="15"/>
        <v>Piping - Residuals Piping  - Thrust Blocks</v>
      </c>
      <c r="N190" s="694">
        <v>1</v>
      </c>
      <c r="O190" s="694">
        <v>1</v>
      </c>
      <c r="P190" s="694">
        <v>1</v>
      </c>
      <c r="Q190" s="694">
        <v>1</v>
      </c>
      <c r="R190" s="694">
        <v>1</v>
      </c>
      <c r="S190" s="694">
        <v>1</v>
      </c>
      <c r="T190" s="694">
        <v>1</v>
      </c>
      <c r="U190" s="694">
        <v>1</v>
      </c>
      <c r="V190" s="694">
        <v>1</v>
      </c>
      <c r="W190" s="694">
        <f t="shared" si="7"/>
        <v>0</v>
      </c>
      <c r="X190">
        <f t="shared" si="8"/>
        <v>0</v>
      </c>
      <c r="Y190" s="867"/>
    </row>
    <row r="191" spans="1:25" x14ac:dyDescent="0.2">
      <c r="A191" s="473">
        <v>4.9000000000000004</v>
      </c>
      <c r="B191" s="13" t="s">
        <v>842</v>
      </c>
      <c r="C191" s="554"/>
      <c r="D191" s="272"/>
      <c r="E191" s="283"/>
      <c r="F191" s="511"/>
      <c r="G191" s="283"/>
      <c r="H191" s="511"/>
      <c r="I191" s="284"/>
      <c r="J191" s="283"/>
      <c r="K191" s="283"/>
      <c r="L191" s="192"/>
      <c r="M191" s="5"/>
      <c r="N191" s="695"/>
      <c r="O191" s="695"/>
      <c r="P191" s="695"/>
      <c r="Q191" s="695"/>
      <c r="R191" s="695"/>
      <c r="S191" s="695"/>
      <c r="T191" s="695"/>
      <c r="U191" s="695"/>
      <c r="V191" s="695"/>
      <c r="W191" s="694">
        <f t="shared" ref="W191:W258" si="16">IF(ISERROR(K191*L191),0,IF(K191&lt;1,0,L191))</f>
        <v>0</v>
      </c>
      <c r="X191">
        <f t="shared" ref="X191:X258" si="17">IF(W191,J191/K191,0)</f>
        <v>0</v>
      </c>
      <c r="Y191"/>
    </row>
    <row r="192" spans="1:25" s="773" customFormat="1" x14ac:dyDescent="0.2">
      <c r="A192" s="320" t="s">
        <v>2235</v>
      </c>
      <c r="B192" s="1" t="s">
        <v>1431</v>
      </c>
      <c r="C192" s="555">
        <f>recycle_pipe_length</f>
        <v>0</v>
      </c>
      <c r="D192" s="355" t="s">
        <v>1429</v>
      </c>
      <c r="E192" s="195" t="str">
        <f>IF(C192&gt;0,recycle_pipe_diam,"NA")</f>
        <v>NA</v>
      </c>
      <c r="F192" s="1" t="str">
        <f>IF(C192=0," ","in. diam")</f>
        <v xml:space="preserve"> </v>
      </c>
      <c r="G192" s="195" t="str">
        <f>IF(C192=0,"NA",IF(curve=1,recycle_pipe_diam,VLOOKUP(recycle_pipe_diam,cpvc_pipe_cost_cl,2)))</f>
        <v>NA</v>
      </c>
      <c r="H192" s="510" t="str">
        <f>IF(C192=0," ","in. diam")</f>
        <v xml:space="preserve"> </v>
      </c>
      <c r="I192" s="686" t="str">
        <f>IF(C192=0,"NA",IF(curve=1,cpvc_pipe_eq_rec,VLOOKUP(recycle_pipe_diam,cpvc_pipe_cost_cl,3)))</f>
        <v>NA</v>
      </c>
      <c r="J192" s="356">
        <f>IF(C192=0,0,IF(I192="contact vendor","--",C192*I192))</f>
        <v>0</v>
      </c>
      <c r="K192" s="195" t="str">
        <f>IF(C192=0,"NA",VLOOKUP(recycle_pipe_diam,cpvc_pipe_cost_cl,IF(ss_cat="large",4,5)))</f>
        <v>NA</v>
      </c>
      <c r="L192" s="354"/>
      <c r="M192" s="5" t="str">
        <f>$B$144&amp;" - "&amp;$B$191&amp;" "&amp;" - "&amp;B192</f>
        <v>Piping - Fluidized Bed Recycle Piping  - CPVC</v>
      </c>
      <c r="N192" s="694">
        <v>2</v>
      </c>
      <c r="O192" s="695">
        <v>1</v>
      </c>
      <c r="P192" s="694">
        <v>3</v>
      </c>
      <c r="Q192" s="694">
        <v>2</v>
      </c>
      <c r="R192" s="695">
        <v>1</v>
      </c>
      <c r="S192" s="694">
        <v>3</v>
      </c>
      <c r="T192" s="694">
        <v>2</v>
      </c>
      <c r="U192" s="695">
        <v>1</v>
      </c>
      <c r="V192" s="694">
        <v>3</v>
      </c>
      <c r="W192" s="694">
        <f t="shared" si="16"/>
        <v>0</v>
      </c>
      <c r="X192">
        <f t="shared" si="17"/>
        <v>0</v>
      </c>
      <c r="Y192" s="1"/>
    </row>
    <row r="193" spans="1:25" s="773" customFormat="1" x14ac:dyDescent="0.2">
      <c r="A193" s="320" t="s">
        <v>2235</v>
      </c>
      <c r="B193" s="1" t="s">
        <v>580</v>
      </c>
      <c r="C193" s="555">
        <f>recycle_pipe_length</f>
        <v>0</v>
      </c>
      <c r="D193" s="355" t="s">
        <v>1429</v>
      </c>
      <c r="E193" s="195" t="str">
        <f>IF(C193&gt;0,recycle_pipe_diam,"NA")</f>
        <v>NA</v>
      </c>
      <c r="F193" s="1" t="str">
        <f>IF(C193=0," ","in. diam")</f>
        <v xml:space="preserve"> </v>
      </c>
      <c r="G193" s="195" t="str">
        <f>IF(C193=0,"NA",IF(curve=1,recycle_pipe_diam,VLOOKUP(recycle_pipe_diam,pvc_pipe_cost_cl,2)))</f>
        <v>NA</v>
      </c>
      <c r="H193" s="510" t="str">
        <f>IF(C193=0," ","in. diam")</f>
        <v xml:space="preserve"> </v>
      </c>
      <c r="I193" s="686" t="str">
        <f>IF(C193=0,"NA",IF(curve=1,pvc_pipe_eq_rec,VLOOKUP(recycle_pipe_diam,pvc_pipe_cost_cl,3)))</f>
        <v>NA</v>
      </c>
      <c r="J193" s="356">
        <f>IF(C193=0,0,IF(I193="contact vendor","--",C193*I193))</f>
        <v>0</v>
      </c>
      <c r="K193" s="195" t="str">
        <f>IF(C193=0,"NA",VLOOKUP(recycle_pipe_diam,pvc_pipe_cost_cl,IF(ss_cat="large",4,5)))</f>
        <v>NA</v>
      </c>
      <c r="L193" s="354"/>
      <c r="M193" s="5" t="str">
        <f>$B$144&amp;" - "&amp;$B$191&amp;" "&amp;" - "&amp;B193</f>
        <v>Piping - Fluidized Bed Recycle Piping  - PVC</v>
      </c>
      <c r="N193" s="694">
        <v>1</v>
      </c>
      <c r="O193" s="695">
        <v>2</v>
      </c>
      <c r="P193" s="694">
        <v>4</v>
      </c>
      <c r="Q193" s="694">
        <v>1</v>
      </c>
      <c r="R193" s="695">
        <v>2</v>
      </c>
      <c r="S193" s="694">
        <v>4</v>
      </c>
      <c r="T193" s="694">
        <v>1</v>
      </c>
      <c r="U193" s="695">
        <v>2</v>
      </c>
      <c r="V193" s="694">
        <v>4</v>
      </c>
      <c r="W193" s="694">
        <f t="shared" si="16"/>
        <v>0</v>
      </c>
      <c r="X193">
        <f t="shared" si="17"/>
        <v>0</v>
      </c>
      <c r="Y193" s="1"/>
    </row>
    <row r="194" spans="1:25" s="773" customFormat="1" x14ac:dyDescent="0.2">
      <c r="A194" s="320" t="s">
        <v>2235</v>
      </c>
      <c r="B194" s="1" t="s">
        <v>1421</v>
      </c>
      <c r="C194" s="555">
        <f>recycle_pipe_length</f>
        <v>0</v>
      </c>
      <c r="D194" s="355" t="s">
        <v>1429</v>
      </c>
      <c r="E194" s="195" t="str">
        <f>IF(C194&gt;0,recycle_pipe_diam,"NA")</f>
        <v>NA</v>
      </c>
      <c r="F194" s="1" t="str">
        <f>IF(C194=0," ","in. diam")</f>
        <v xml:space="preserve"> </v>
      </c>
      <c r="G194" s="195" t="str">
        <f>IF(C194=0,"NA",IF(curve=1,recycle_pipe_diam,VLOOKUP(recycle_pipe_diam,ss_pipe_cost_cl,2)))</f>
        <v>NA</v>
      </c>
      <c r="H194" s="510" t="str">
        <f>IF(C194=0," ","in. diam")</f>
        <v xml:space="preserve"> </v>
      </c>
      <c r="I194" s="686" t="str">
        <f>IF(C194=0,"NA",IF(curve=1,ss_pipe_eq_rec,VLOOKUP(recycle_pipe_diam,ss_pipe_cost_cl,3)))</f>
        <v>NA</v>
      </c>
      <c r="J194" s="356">
        <f>IF(C194=0,0,IF(I194="contact vendor","--",C194*I194))</f>
        <v>0</v>
      </c>
      <c r="K194" s="195" t="str">
        <f>IF(C194=0,"NA",VLOOKUP(recycle_pipe_diam,ss_pipe_cost_cl,IF(ss_cat="large",4,5)))</f>
        <v>NA</v>
      </c>
      <c r="L194" s="354"/>
      <c r="M194" s="5" t="str">
        <f>$B$144&amp;" - "&amp;$B$191&amp;" "&amp;" - "&amp;B194</f>
        <v>Piping - Fluidized Bed Recycle Piping  - Stainless Steel</v>
      </c>
      <c r="N194" s="694">
        <v>4</v>
      </c>
      <c r="O194" s="694">
        <v>4</v>
      </c>
      <c r="P194" s="694">
        <v>1</v>
      </c>
      <c r="Q194" s="694">
        <v>4</v>
      </c>
      <c r="R194" s="694">
        <v>4</v>
      </c>
      <c r="S194" s="694">
        <v>1</v>
      </c>
      <c r="T194" s="694">
        <v>4</v>
      </c>
      <c r="U194" s="694">
        <v>4</v>
      </c>
      <c r="V194" s="694">
        <v>1</v>
      </c>
      <c r="W194" s="694">
        <f t="shared" si="16"/>
        <v>0</v>
      </c>
      <c r="X194">
        <f t="shared" si="17"/>
        <v>0</v>
      </c>
      <c r="Y194" s="1"/>
    </row>
    <row r="195" spans="1:25" s="773" customFormat="1" x14ac:dyDescent="0.2">
      <c r="A195" s="320" t="s">
        <v>2235</v>
      </c>
      <c r="B195" s="1" t="s">
        <v>581</v>
      </c>
      <c r="C195" s="555">
        <f>recycle_pipe_length</f>
        <v>0</v>
      </c>
      <c r="D195" s="355" t="s">
        <v>1429</v>
      </c>
      <c r="E195" s="195" t="str">
        <f>IF(C195&gt;0,recycle_pipe_diam,"NA")</f>
        <v>NA</v>
      </c>
      <c r="F195" s="1" t="str">
        <f>IF(C195=0," ","in. diam")</f>
        <v xml:space="preserve"> </v>
      </c>
      <c r="G195" s="195" t="str">
        <f>IF(C195=0,"NA",IF(curve=1,recycle_pipe_diam,VLOOKUP(recycle_pipe_diam,st_pipe_cost_cl,2)))</f>
        <v>NA</v>
      </c>
      <c r="H195" s="510" t="str">
        <f>IF(C195=0," ","in. diam")</f>
        <v xml:space="preserve"> </v>
      </c>
      <c r="I195" s="686" t="str">
        <f>IF(C195=0,"NA",IF(curve=1,st_pipe_eq_rec,VLOOKUP(recycle_pipe_diam,st_pipe_cost_cl,3)))</f>
        <v>NA</v>
      </c>
      <c r="J195" s="356">
        <f>IF(C195=0,0,IF(I195="contact vendor","--",C195*I195))</f>
        <v>0</v>
      </c>
      <c r="K195" s="195" t="str">
        <f>IF(C195=0,"NA",VLOOKUP(recycle_pipe_diam,st_pipe_cost_cl,IF(ss_cat="large",4,5)))</f>
        <v>NA</v>
      </c>
      <c r="L195" s="354"/>
      <c r="M195" s="5" t="str">
        <f>$B$144&amp;" - "&amp;$B$191&amp;" "&amp;" - "&amp;B195</f>
        <v>Piping - Fluidized Bed Recycle Piping  - Steel</v>
      </c>
      <c r="N195" s="694">
        <v>3</v>
      </c>
      <c r="O195" s="694">
        <v>3</v>
      </c>
      <c r="P195" s="694">
        <v>2</v>
      </c>
      <c r="Q195" s="694">
        <v>3</v>
      </c>
      <c r="R195" s="694">
        <v>3</v>
      </c>
      <c r="S195" s="694">
        <v>2</v>
      </c>
      <c r="T195" s="694">
        <v>3</v>
      </c>
      <c r="U195" s="694">
        <v>3</v>
      </c>
      <c r="V195" s="694">
        <v>2</v>
      </c>
      <c r="W195" s="694">
        <f t="shared" si="16"/>
        <v>0</v>
      </c>
      <c r="X195">
        <f t="shared" si="17"/>
        <v>0</v>
      </c>
      <c r="Y195" s="1"/>
    </row>
    <row r="196" spans="1:25" x14ac:dyDescent="0.2">
      <c r="A196" s="547">
        <v>4.0999999999999996</v>
      </c>
      <c r="B196" s="13" t="s">
        <v>153</v>
      </c>
      <c r="C196" s="554"/>
      <c r="D196" s="272"/>
      <c r="E196" s="283"/>
      <c r="F196" s="511"/>
      <c r="G196" s="283"/>
      <c r="H196" s="511"/>
      <c r="I196" s="284"/>
      <c r="J196" s="283"/>
      <c r="K196" s="283"/>
      <c r="L196" s="192"/>
      <c r="M196" s="5"/>
      <c r="N196" s="695"/>
      <c r="O196" s="695"/>
      <c r="P196" s="695"/>
      <c r="Q196" s="695"/>
      <c r="R196" s="695"/>
      <c r="S196" s="695"/>
      <c r="T196" s="695"/>
      <c r="U196" s="695"/>
      <c r="V196" s="695"/>
      <c r="W196" s="694">
        <f t="shared" si="16"/>
        <v>0</v>
      </c>
      <c r="X196">
        <f t="shared" si="17"/>
        <v>0</v>
      </c>
      <c r="Y196"/>
    </row>
    <row r="197" spans="1:25" s="773" customFormat="1" x14ac:dyDescent="0.2">
      <c r="A197" s="320" t="s">
        <v>2236</v>
      </c>
      <c r="B197" s="1" t="s">
        <v>1431</v>
      </c>
      <c r="C197" s="555">
        <f>H202_pipe_length</f>
        <v>0</v>
      </c>
      <c r="D197" s="355" t="s">
        <v>1429</v>
      </c>
      <c r="E197" s="195" t="str">
        <f>IF(C197=0,"NA",H202_pipe_diam)</f>
        <v>NA</v>
      </c>
      <c r="F197" s="1" t="str">
        <f>IF(C197=0,"","in diam")</f>
        <v/>
      </c>
      <c r="G197" s="195" t="str">
        <f>IF(C197=0,"NA",IF(curve=1,H202_pipe_diam,VLOOKUP(H202_pipe_diam,cpvc_pipe_cost_cl,2)))</f>
        <v>NA</v>
      </c>
      <c r="H197" s="510" t="str">
        <f>IF(C197=0,"","in diam")</f>
        <v/>
      </c>
      <c r="I197" s="686" t="str">
        <f>IF(C197=0,"NA",IF(curve=1,cpvc_pipe_eq_H2O2,VLOOKUP(H202_pipe_diam,cpvc_pipe_cost_cl,3)))</f>
        <v>NA</v>
      </c>
      <c r="J197" s="356" t="str">
        <f>IF(OR(C197=0,I197="contact vendor"),"--",C197*I197)</f>
        <v>--</v>
      </c>
      <c r="K197" s="195" t="str">
        <f>IF(C197=0,"NA",VLOOKUP(H202_pipe_diam,cpvc_pipe_cost_cl,IF(ss_cat="large",4,5)))</f>
        <v>NA</v>
      </c>
      <c r="L197" s="354"/>
      <c r="M197" s="5" t="str">
        <f>$B$144&amp;" - "&amp;$B$196&amp;" - "&amp;B197</f>
        <v>Piping - Dilute Hydrogen Peroxide Piping - CPVC</v>
      </c>
      <c r="N197" s="694">
        <v>2</v>
      </c>
      <c r="O197" s="694">
        <v>1</v>
      </c>
      <c r="P197" s="694">
        <v>3</v>
      </c>
      <c r="Q197" s="694">
        <v>2</v>
      </c>
      <c r="R197" s="694">
        <v>1</v>
      </c>
      <c r="S197" s="694">
        <v>3</v>
      </c>
      <c r="T197" s="694">
        <v>2</v>
      </c>
      <c r="U197" s="694">
        <v>1</v>
      </c>
      <c r="V197" s="694">
        <v>3</v>
      </c>
      <c r="W197" s="694">
        <f t="shared" si="16"/>
        <v>0</v>
      </c>
      <c r="X197">
        <f t="shared" si="17"/>
        <v>0</v>
      </c>
      <c r="Y197" s="1"/>
    </row>
    <row r="198" spans="1:25" s="773" customFormat="1" x14ac:dyDescent="0.2">
      <c r="A198" s="320" t="s">
        <v>2236</v>
      </c>
      <c r="B198" s="1" t="s">
        <v>580</v>
      </c>
      <c r="C198" s="555">
        <f>H202_pipe_length</f>
        <v>0</v>
      </c>
      <c r="D198" s="355" t="s">
        <v>1429</v>
      </c>
      <c r="E198" s="195" t="str">
        <f>IF(C198=0,"NA",H202_pipe_diam)</f>
        <v>NA</v>
      </c>
      <c r="F198" s="1" t="str">
        <f>IF(C198=0,"","in diam")</f>
        <v/>
      </c>
      <c r="G198" s="195" t="str">
        <f>IF(C198=0,"NA",IF(curve=1,H202_pipe_diam,VLOOKUP(H202_pipe_diam,pvc_pipe_cost_cl,2)))</f>
        <v>NA</v>
      </c>
      <c r="H198" s="510" t="str">
        <f>IF(C198=0,"","in diam")</f>
        <v/>
      </c>
      <c r="I198" s="686" t="str">
        <f>IF(C198=0,"NA",IF(curve=1,pvc_pipe_eq_H2O2,VLOOKUP(H202_pipe_diam,pvc_pipe_cost_cl,3)))</f>
        <v>NA</v>
      </c>
      <c r="J198" s="356" t="str">
        <f>IF(OR(C198=0,I198="contact vendor"),"--",C198*I198)</f>
        <v>--</v>
      </c>
      <c r="K198" s="195" t="str">
        <f>IF(C198=0,"NA",VLOOKUP(H202_pipe_diam,pvc_pipe_cost_cl,IF(ss_cat="large",4,5)))</f>
        <v>NA</v>
      </c>
      <c r="L198" s="354"/>
      <c r="M198" s="5" t="str">
        <f>$B$144&amp;" - "&amp;$B$196&amp;" - "&amp;B198</f>
        <v>Piping - Dilute Hydrogen Peroxide Piping - PVC</v>
      </c>
      <c r="N198" s="694">
        <v>1</v>
      </c>
      <c r="O198" s="694">
        <v>2</v>
      </c>
      <c r="P198" s="694">
        <v>4</v>
      </c>
      <c r="Q198" s="694">
        <v>1</v>
      </c>
      <c r="R198" s="694">
        <v>2</v>
      </c>
      <c r="S198" s="694">
        <v>4</v>
      </c>
      <c r="T198" s="694">
        <v>1</v>
      </c>
      <c r="U198" s="694">
        <v>2</v>
      </c>
      <c r="V198" s="694">
        <v>4</v>
      </c>
      <c r="W198" s="694">
        <f t="shared" si="16"/>
        <v>0</v>
      </c>
      <c r="X198">
        <f t="shared" si="17"/>
        <v>0</v>
      </c>
      <c r="Y198" s="1"/>
    </row>
    <row r="199" spans="1:25" s="773" customFormat="1" x14ac:dyDescent="0.2">
      <c r="A199" s="320" t="s">
        <v>2236</v>
      </c>
      <c r="B199" s="1" t="s">
        <v>1421</v>
      </c>
      <c r="C199" s="555">
        <f>H202_pipe_length</f>
        <v>0</v>
      </c>
      <c r="D199" s="355" t="s">
        <v>1429</v>
      </c>
      <c r="E199" s="195" t="str">
        <f>IF(C199=0,"NA",H202_pipe_diam)</f>
        <v>NA</v>
      </c>
      <c r="F199" s="1" t="str">
        <f>IF(C199=0,"","in diam")</f>
        <v/>
      </c>
      <c r="G199" s="195" t="str">
        <f>IF(C199=0,"NA",IF(curve=1,H202_pipe_diam,VLOOKUP(H202_pipe_diam,ss_pipe_cost_cl,2)))</f>
        <v>NA</v>
      </c>
      <c r="H199" s="510" t="str">
        <f>IF(C199=0,"","in diam")</f>
        <v/>
      </c>
      <c r="I199" s="686" t="str">
        <f>IF(C199=0,"NA",IF(curve=1,ss_pipe_eq_H2O2,VLOOKUP(H202_pipe_diam,ss_pipe_cost_cl,3)))</f>
        <v>NA</v>
      </c>
      <c r="J199" s="356" t="str">
        <f>IF(OR(C199=0,I199="contact vendor"),"--",C199*I199)</f>
        <v>--</v>
      </c>
      <c r="K199" s="195" t="str">
        <f>IF(C199=0,"NA",VLOOKUP(H202_pipe_diam,ss_pipe_cost_cl,IF(ss_cat="large",4,5)))</f>
        <v>NA</v>
      </c>
      <c r="L199" s="354"/>
      <c r="M199" s="5" t="str">
        <f>$B$144&amp;" - "&amp;$B$196&amp;" - "&amp;B199</f>
        <v>Piping - Dilute Hydrogen Peroxide Piping - Stainless Steel</v>
      </c>
      <c r="N199" s="694">
        <v>4</v>
      </c>
      <c r="O199" s="694">
        <v>4</v>
      </c>
      <c r="P199" s="694">
        <v>1</v>
      </c>
      <c r="Q199" s="694">
        <v>4</v>
      </c>
      <c r="R199" s="694">
        <v>4</v>
      </c>
      <c r="S199" s="694">
        <v>1</v>
      </c>
      <c r="T199" s="694">
        <v>4</v>
      </c>
      <c r="U199" s="694">
        <v>4</v>
      </c>
      <c r="V199" s="694">
        <v>1</v>
      </c>
      <c r="W199" s="694">
        <f t="shared" si="16"/>
        <v>0</v>
      </c>
      <c r="X199">
        <f t="shared" si="17"/>
        <v>0</v>
      </c>
      <c r="Y199" s="1"/>
    </row>
    <row r="200" spans="1:25" s="773" customFormat="1" x14ac:dyDescent="0.2">
      <c r="A200" s="320" t="s">
        <v>2236</v>
      </c>
      <c r="B200" s="1" t="s">
        <v>581</v>
      </c>
      <c r="C200" s="555">
        <f>H202_pipe_length</f>
        <v>0</v>
      </c>
      <c r="D200" s="355" t="s">
        <v>1429</v>
      </c>
      <c r="E200" s="195" t="str">
        <f>IF(C200=0,"NA",H202_pipe_diam)</f>
        <v>NA</v>
      </c>
      <c r="F200" s="1" t="str">
        <f>IF(C200=0,"","in diam")</f>
        <v/>
      </c>
      <c r="G200" s="195" t="str">
        <f>IF(C200=0,"NA",IF(curve=1,H202_pipe_diam,VLOOKUP(H202_pipe_diam,st_pipe_cost_cl,2)))</f>
        <v>NA</v>
      </c>
      <c r="H200" s="510" t="str">
        <f>IF(C200=0,"","in diam")</f>
        <v/>
      </c>
      <c r="I200" s="686" t="str">
        <f>IF(C200=0,"NA",IF(curve=1,st_pipe_eq_H2O2,VLOOKUP(H202_pipe_diam,st_pipe_cost_cl,3)))</f>
        <v>NA</v>
      </c>
      <c r="J200" s="356" t="str">
        <f>IF(OR(C200=0,I200="contact vendor"),"--",C200*I200)</f>
        <v>--</v>
      </c>
      <c r="K200" s="195" t="str">
        <f>IF(C200=0,"NA",VLOOKUP(H202_pipe_diam,st_pipe_cost_cl,IF(ss_cat="large",4,5)))</f>
        <v>NA</v>
      </c>
      <c r="L200" s="354"/>
      <c r="M200" s="5" t="str">
        <f>$B$144&amp;" - "&amp;$B$196&amp;" - "&amp;B200</f>
        <v>Piping - Dilute Hydrogen Peroxide Piping - Steel</v>
      </c>
      <c r="N200" s="694">
        <v>3</v>
      </c>
      <c r="O200" s="694">
        <v>3</v>
      </c>
      <c r="P200" s="694">
        <v>2</v>
      </c>
      <c r="Q200" s="694">
        <v>3</v>
      </c>
      <c r="R200" s="694">
        <v>3</v>
      </c>
      <c r="S200" s="694">
        <v>2</v>
      </c>
      <c r="T200" s="694">
        <v>3</v>
      </c>
      <c r="U200" s="694">
        <v>3</v>
      </c>
      <c r="V200" s="694">
        <v>2</v>
      </c>
      <c r="W200" s="694">
        <f t="shared" si="16"/>
        <v>0</v>
      </c>
      <c r="X200">
        <f t="shared" si="17"/>
        <v>0</v>
      </c>
      <c r="Y200" s="1"/>
    </row>
    <row r="201" spans="1:25" s="773" customFormat="1" x14ac:dyDescent="0.2">
      <c r="A201" s="547">
        <v>4.1100000000000003</v>
      </c>
      <c r="B201" s="874" t="s">
        <v>4317</v>
      </c>
      <c r="C201" s="554"/>
      <c r="D201" s="272"/>
      <c r="E201" s="283"/>
      <c r="F201" s="511"/>
      <c r="G201" s="283"/>
      <c r="H201" s="511"/>
      <c r="I201" s="284"/>
      <c r="J201" s="283"/>
      <c r="K201" s="283"/>
      <c r="L201" s="192"/>
      <c r="M201" s="5"/>
      <c r="N201" s="695"/>
      <c r="O201" s="695"/>
      <c r="P201" s="695"/>
      <c r="Q201" s="695"/>
      <c r="R201" s="695"/>
      <c r="S201" s="695"/>
      <c r="T201" s="695"/>
      <c r="U201" s="695"/>
      <c r="V201" s="695"/>
      <c r="W201" s="694">
        <f t="shared" ref="W201:W203" si="18">IF(ISERROR(K201*L201),0,IF(K201&lt;1,0,L201))</f>
        <v>0</v>
      </c>
      <c r="X201">
        <f t="shared" ref="X201:X203" si="19">IF(W201,J201/K201,0)</f>
        <v>0</v>
      </c>
      <c r="Y201" s="1"/>
    </row>
    <row r="202" spans="1:25" s="773" customFormat="1" x14ac:dyDescent="0.2">
      <c r="A202" s="320" t="s">
        <v>2910</v>
      </c>
      <c r="B202" s="1" t="s">
        <v>1431</v>
      </c>
      <c r="C202" s="555">
        <f>coag_pipe_length</f>
        <v>30</v>
      </c>
      <c r="D202" s="355" t="s">
        <v>1429</v>
      </c>
      <c r="E202" s="195">
        <f>IF(C202=0,"NA",coag_pipe_diam)</f>
        <v>0.5</v>
      </c>
      <c r="F202" s="1" t="str">
        <f>IF(C202=0,"","in diam")</f>
        <v>in diam</v>
      </c>
      <c r="G202" s="195">
        <f>IF(C202=0,"NA",IF(curve=1,coag_pipe_diam,VLOOKUP(coag_pipe_diam,cpvc_pipe_cost_cl,2)))</f>
        <v>0.5</v>
      </c>
      <c r="H202" s="510" t="str">
        <f>IF(C202=0,"","in diam")</f>
        <v>in diam</v>
      </c>
      <c r="I202" s="686">
        <f>IF(C202=0,"NA",IF(curve=1,cpvc_pipe_eq_coag,VLOOKUP(coag_pipe_diam,cpvc_pipe_cost_cl,3)))</f>
        <v>2.5933440824999998</v>
      </c>
      <c r="J202" s="356">
        <f>IF(OR(C202=0,I202="contact vendor"),"--",C202*I202)</f>
        <v>77.800322475000002</v>
      </c>
      <c r="K202" s="195">
        <f>IF(C202=0,"NA",VLOOKUP(coag_pipe_diam,cpvc_pipe_cost_cl,IF(ss_cat="large",4,5)))</f>
        <v>17</v>
      </c>
      <c r="L202" s="354">
        <v>0</v>
      </c>
      <c r="M202" s="5" t="str">
        <f>$B$144&amp;" - "&amp;$B$201&amp;" - "&amp;B202</f>
        <v>Piping - Ferric Chloride Piping - CPVC</v>
      </c>
      <c r="N202" s="694">
        <v>2</v>
      </c>
      <c r="O202" s="694">
        <v>1</v>
      </c>
      <c r="P202" s="694">
        <v>1</v>
      </c>
      <c r="Q202" s="694">
        <v>2</v>
      </c>
      <c r="R202" s="694">
        <v>1</v>
      </c>
      <c r="S202" s="694">
        <v>1</v>
      </c>
      <c r="T202" s="694">
        <v>2</v>
      </c>
      <c r="U202" s="694">
        <v>1</v>
      </c>
      <c r="V202" s="694">
        <v>1</v>
      </c>
      <c r="W202" s="694">
        <f t="shared" si="18"/>
        <v>0</v>
      </c>
      <c r="X202">
        <f t="shared" si="19"/>
        <v>0</v>
      </c>
      <c r="Y202" s="1"/>
    </row>
    <row r="203" spans="1:25" s="773" customFormat="1" x14ac:dyDescent="0.2">
      <c r="A203" s="320" t="s">
        <v>2910</v>
      </c>
      <c r="B203" s="1" t="s">
        <v>580</v>
      </c>
      <c r="C203" s="555">
        <f>coag_pipe_length</f>
        <v>30</v>
      </c>
      <c r="D203" s="355" t="s">
        <v>1429</v>
      </c>
      <c r="E203" s="195">
        <f>IF(C203=0,"NA",coag_pipe_diam)</f>
        <v>0.5</v>
      </c>
      <c r="F203" s="1" t="str">
        <f>IF(C203=0,"","in diam")</f>
        <v>in diam</v>
      </c>
      <c r="G203" s="195">
        <f>IF(C203=0,"NA",IF(curve=1,coag_pipe_diam,VLOOKUP(coag_pipe_diam,pvc_pipe_cost_cl,2)))</f>
        <v>0.5</v>
      </c>
      <c r="H203" s="510" t="str">
        <f>IF(C203=0,"","in diam")</f>
        <v>in diam</v>
      </c>
      <c r="I203" s="686">
        <f>IF(C203=0,"NA",IF(curve=1,pvc_pipe_eq_coag,VLOOKUP(coag_pipe_diam,pvc_pipe_cost_cl,3)))</f>
        <v>1.8524848787500001</v>
      </c>
      <c r="J203" s="356">
        <f>IF(OR(C203=0,I203="contact vendor"),"--",C203*I203)</f>
        <v>55.574546362500001</v>
      </c>
      <c r="K203" s="195">
        <f>IF(C203=0,"NA",VLOOKUP(coag_pipe_diam,pvc_pipe_cost_cl,IF(ss_cat="large",4,5)))</f>
        <v>17</v>
      </c>
      <c r="L203" s="354">
        <v>1</v>
      </c>
      <c r="M203" s="5" t="str">
        <f>$B$144&amp;" - "&amp;$B$201&amp;" - "&amp;B203</f>
        <v>Piping - Ferric Chloride Piping - PVC</v>
      </c>
      <c r="N203" s="694">
        <v>1</v>
      </c>
      <c r="O203" s="694">
        <v>2</v>
      </c>
      <c r="P203" s="694">
        <v>2</v>
      </c>
      <c r="Q203" s="694">
        <v>1</v>
      </c>
      <c r="R203" s="694">
        <v>2</v>
      </c>
      <c r="S203" s="694">
        <v>2</v>
      </c>
      <c r="T203" s="694">
        <v>1</v>
      </c>
      <c r="U203" s="694">
        <v>2</v>
      </c>
      <c r="V203" s="694">
        <v>2</v>
      </c>
      <c r="W203" s="694">
        <f t="shared" si="18"/>
        <v>1</v>
      </c>
      <c r="X203">
        <f t="shared" si="19"/>
        <v>3.2690909625</v>
      </c>
      <c r="Y203" s="1"/>
    </row>
    <row r="204" spans="1:25" x14ac:dyDescent="0.2">
      <c r="A204" s="547">
        <v>4.12</v>
      </c>
      <c r="B204" s="13" t="s">
        <v>2911</v>
      </c>
      <c r="C204" s="554"/>
      <c r="D204" s="272"/>
      <c r="E204" s="283"/>
      <c r="F204" s="511"/>
      <c r="G204" s="283"/>
      <c r="H204" s="511"/>
      <c r="I204" s="284"/>
      <c r="J204" s="283"/>
      <c r="K204" s="283"/>
      <c r="L204" s="192"/>
      <c r="M204" s="5"/>
      <c r="N204" s="695"/>
      <c r="O204" s="695"/>
      <c r="P204" s="695"/>
      <c r="Q204" s="695"/>
      <c r="R204" s="695"/>
      <c r="S204" s="695"/>
      <c r="T204" s="695"/>
      <c r="U204" s="695"/>
      <c r="V204" s="695"/>
      <c r="W204" s="694">
        <f t="shared" si="16"/>
        <v>0</v>
      </c>
      <c r="X204">
        <f t="shared" si="17"/>
        <v>0</v>
      </c>
      <c r="Y204"/>
    </row>
    <row r="205" spans="1:25" s="773" customFormat="1" x14ac:dyDescent="0.2">
      <c r="A205" s="320" t="s">
        <v>4358</v>
      </c>
      <c r="B205" s="1" t="s">
        <v>1431</v>
      </c>
      <c r="C205" s="555">
        <f>polymer_pipe_length</f>
        <v>30</v>
      </c>
      <c r="D205" s="355" t="s">
        <v>1429</v>
      </c>
      <c r="E205" s="195">
        <f>IF(C205=0,"NA",polymer_pipe_diam)</f>
        <v>0.5</v>
      </c>
      <c r="F205" s="1" t="str">
        <f>IF(C205=0,"","in diam")</f>
        <v>in diam</v>
      </c>
      <c r="G205" s="195">
        <f>IF(C205=0,"NA",IF(curve=1,polymer_pipe_diam,VLOOKUP(polymer_pipe_diam,cpvc_pipe_cost_cl,2)))</f>
        <v>0.5</v>
      </c>
      <c r="H205" s="510" t="str">
        <f>IF(C205=0,"","in diam")</f>
        <v>in diam</v>
      </c>
      <c r="I205" s="686">
        <f>IF(C205=0,"NA",IF(curve=1,cpvc_pipe_eq_polymer,VLOOKUP(polymer_pipe_diam,cpvc_pipe_cost_cl,3)))</f>
        <v>2.5933440824999998</v>
      </c>
      <c r="J205" s="356">
        <f>IF(OR(C205=0,I205="contact vendor"),"--",C205*I205)</f>
        <v>77.800322475000002</v>
      </c>
      <c r="K205" s="195">
        <f>IF(C205=0,"NA",VLOOKUP(polymer_pipe_diam,cpvc_pipe_cost_cl,IF(ss_cat="large",4,5)))</f>
        <v>17</v>
      </c>
      <c r="L205" s="354">
        <v>0</v>
      </c>
      <c r="M205" s="5" t="str">
        <f>$B$144&amp;" - "&amp;$B$204&amp;" - "&amp;B205</f>
        <v>Piping - Polymer Addition Piping - CPVC</v>
      </c>
      <c r="N205" s="694">
        <v>2</v>
      </c>
      <c r="O205" s="694">
        <v>1</v>
      </c>
      <c r="P205" s="694">
        <v>3</v>
      </c>
      <c r="Q205" s="694">
        <v>2</v>
      </c>
      <c r="R205" s="694">
        <v>1</v>
      </c>
      <c r="S205" s="694">
        <v>3</v>
      </c>
      <c r="T205" s="694">
        <v>2</v>
      </c>
      <c r="U205" s="694">
        <v>1</v>
      </c>
      <c r="V205" s="694">
        <v>3</v>
      </c>
      <c r="W205" s="694">
        <f t="shared" si="16"/>
        <v>0</v>
      </c>
      <c r="X205">
        <f t="shared" si="17"/>
        <v>0</v>
      </c>
      <c r="Y205" s="1"/>
    </row>
    <row r="206" spans="1:25" s="773" customFormat="1" x14ac:dyDescent="0.2">
      <c r="A206" s="320" t="s">
        <v>4358</v>
      </c>
      <c r="B206" s="1" t="s">
        <v>580</v>
      </c>
      <c r="C206" s="555">
        <f>polymer_pipe_length</f>
        <v>30</v>
      </c>
      <c r="D206" s="355" t="s">
        <v>1429</v>
      </c>
      <c r="E206" s="195">
        <f>IF(C206=0,"NA",polymer_pipe_diam)</f>
        <v>0.5</v>
      </c>
      <c r="F206" s="1" t="str">
        <f>IF(C206=0,"","in diam")</f>
        <v>in diam</v>
      </c>
      <c r="G206" s="195">
        <f>IF(C206=0,"NA",IF(curve=1,polymer_pipe_diam,VLOOKUP(polymer_pipe_diam,pvc_pipe_cost_cl,2)))</f>
        <v>0.5</v>
      </c>
      <c r="H206" s="510" t="str">
        <f>IF(C206=0,"","in diam")</f>
        <v>in diam</v>
      </c>
      <c r="I206" s="686">
        <f>IF(C206=0,"NA",IF(curve=1,pvc_pipe_eq_polymer,VLOOKUP(polymer_pipe_diam,pvc_pipe_cost_cl,3)))</f>
        <v>1.8524848787500001</v>
      </c>
      <c r="J206" s="356">
        <f>IF(OR(C206=0,I206="contact vendor"),"--",C206*I206)</f>
        <v>55.574546362500001</v>
      </c>
      <c r="K206" s="195">
        <f>IF(C206=0,"NA",VLOOKUP(polymer_pipe_diam,pvc_pipe_cost_cl,IF(ss_cat="large",4,5)))</f>
        <v>17</v>
      </c>
      <c r="L206" s="354">
        <v>1</v>
      </c>
      <c r="M206" s="5" t="str">
        <f>$B$144&amp;" - "&amp;$B$204&amp;" - "&amp;B206</f>
        <v>Piping - Polymer Addition Piping - PVC</v>
      </c>
      <c r="N206" s="694">
        <v>1</v>
      </c>
      <c r="O206" s="694">
        <v>2</v>
      </c>
      <c r="P206" s="694">
        <v>4</v>
      </c>
      <c r="Q206" s="694">
        <v>1</v>
      </c>
      <c r="R206" s="694">
        <v>2</v>
      </c>
      <c r="S206" s="694">
        <v>4</v>
      </c>
      <c r="T206" s="694">
        <v>1</v>
      </c>
      <c r="U206" s="694">
        <v>2</v>
      </c>
      <c r="V206" s="694">
        <v>4</v>
      </c>
      <c r="W206" s="694">
        <f t="shared" si="16"/>
        <v>1</v>
      </c>
      <c r="X206">
        <f t="shared" si="17"/>
        <v>3.2690909625</v>
      </c>
      <c r="Y206" s="1"/>
    </row>
    <row r="207" spans="1:25" s="773" customFormat="1" x14ac:dyDescent="0.2">
      <c r="A207" s="320" t="s">
        <v>4358</v>
      </c>
      <c r="B207" s="1" t="s">
        <v>1421</v>
      </c>
      <c r="C207" s="555">
        <f>polymer_pipe_length</f>
        <v>30</v>
      </c>
      <c r="D207" s="355" t="s">
        <v>1429</v>
      </c>
      <c r="E207" s="195">
        <f>IF(C207=0,"NA",polymer_pipe_diam)</f>
        <v>0.5</v>
      </c>
      <c r="F207" s="1" t="str">
        <f>IF(C207=0,"","in diam")</f>
        <v>in diam</v>
      </c>
      <c r="G207" s="195">
        <f>IF(C207=0,"NA",IF(curve=1,polymer_pipe_diam,VLOOKUP(polymer_pipe_diam,ss_pipe_cost_cl,2)))</f>
        <v>0.5</v>
      </c>
      <c r="H207" s="510" t="str">
        <f>IF(C207=0,"","in diam")</f>
        <v>in diam</v>
      </c>
      <c r="I207" s="686">
        <f>IF(C207=0,"NA",IF(curve=1,ss_pipe_eq_polymer,VLOOKUP(polymer_pipe_diam,ss_pipe_cost_cl,3)))</f>
        <v>16.358070217374998</v>
      </c>
      <c r="J207" s="356">
        <f>IF(OR(C207=0,I207="contact vendor"),"--",C207*I207)</f>
        <v>490.74210652124992</v>
      </c>
      <c r="K207" s="195">
        <f>IF(C207=0,"NA",VLOOKUP(polymer_pipe_diam,ss_pipe_cost_cl,IF(ss_cat="large",4,5)))</f>
        <v>40</v>
      </c>
      <c r="L207" s="354">
        <v>0</v>
      </c>
      <c r="M207" s="5" t="str">
        <f>$B$144&amp;" - "&amp;$B$204&amp;" - "&amp;B207</f>
        <v>Piping - Polymer Addition Piping - Stainless Steel</v>
      </c>
      <c r="N207" s="694">
        <v>4</v>
      </c>
      <c r="O207" s="694">
        <v>4</v>
      </c>
      <c r="P207" s="694">
        <v>1</v>
      </c>
      <c r="Q207" s="694">
        <v>4</v>
      </c>
      <c r="R207" s="694">
        <v>4</v>
      </c>
      <c r="S207" s="694">
        <v>1</v>
      </c>
      <c r="T207" s="694">
        <v>4</v>
      </c>
      <c r="U207" s="694">
        <v>4</v>
      </c>
      <c r="V207" s="694">
        <v>1</v>
      </c>
      <c r="W207" s="694">
        <f t="shared" si="16"/>
        <v>0</v>
      </c>
      <c r="X207">
        <f t="shared" si="17"/>
        <v>0</v>
      </c>
      <c r="Y207" s="1"/>
    </row>
    <row r="208" spans="1:25" s="773" customFormat="1" x14ac:dyDescent="0.2">
      <c r="A208" s="320" t="s">
        <v>4358</v>
      </c>
      <c r="B208" s="1" t="s">
        <v>581</v>
      </c>
      <c r="C208" s="555">
        <f>polymer_pipe_length</f>
        <v>30</v>
      </c>
      <c r="D208" s="355" t="s">
        <v>1429</v>
      </c>
      <c r="E208" s="195">
        <f>IF(C208=0,"NA",polymer_pipe_diam)</f>
        <v>0.5</v>
      </c>
      <c r="F208" s="1" t="str">
        <f>IF(C208=0,"","in diam")</f>
        <v>in diam</v>
      </c>
      <c r="G208" s="195">
        <f>IF(C208=0,"NA",IF(curve=1,polymer_pipe_diam,VLOOKUP(polymer_pipe_diam,st_pipe_cost_cl,2)))</f>
        <v>0.5</v>
      </c>
      <c r="H208" s="510" t="str">
        <f>IF(C208=0,"","in diam")</f>
        <v>in diam</v>
      </c>
      <c r="I208" s="686">
        <f>IF(C208=0,"NA",IF(curve=1,st_pipe_eq_polymer,VLOOKUP(polymer_pipe_diam,st_pipe_cost_cl,3)))</f>
        <v>10.947783094119053</v>
      </c>
      <c r="J208" s="356">
        <f>IF(OR(C208=0,I208="contact vendor"),"--",C208*I208)</f>
        <v>328.43349282357161</v>
      </c>
      <c r="K208" s="195">
        <f>IF(C208=0,"NA",VLOOKUP(polymer_pipe_diam,st_pipe_cost_cl,IF(ss_cat="large",4,5)))</f>
        <v>33</v>
      </c>
      <c r="L208" s="354">
        <v>0</v>
      </c>
      <c r="M208" s="5" t="str">
        <f>$B$144&amp;" - "&amp;$B$204&amp;" - "&amp;B208</f>
        <v>Piping - Polymer Addition Piping - Steel</v>
      </c>
      <c r="N208" s="694">
        <v>3</v>
      </c>
      <c r="O208" s="694">
        <v>3</v>
      </c>
      <c r="P208" s="694">
        <v>2</v>
      </c>
      <c r="Q208" s="694">
        <v>3</v>
      </c>
      <c r="R208" s="694">
        <v>3</v>
      </c>
      <c r="S208" s="694">
        <v>2</v>
      </c>
      <c r="T208" s="694">
        <v>3</v>
      </c>
      <c r="U208" s="694">
        <v>3</v>
      </c>
      <c r="V208" s="694">
        <v>2</v>
      </c>
      <c r="W208" s="694">
        <f t="shared" si="16"/>
        <v>0</v>
      </c>
      <c r="X208">
        <f t="shared" si="17"/>
        <v>0</v>
      </c>
      <c r="Y208" s="1"/>
    </row>
    <row r="209" spans="1:25" x14ac:dyDescent="0.2">
      <c r="A209" s="186" t="s">
        <v>2481</v>
      </c>
      <c r="B209" s="18" t="s">
        <v>1522</v>
      </c>
      <c r="C209" s="553"/>
      <c r="D209" s="271"/>
      <c r="E209" s="369"/>
      <c r="F209" s="513"/>
      <c r="G209" s="369"/>
      <c r="H209" s="513"/>
      <c r="I209" s="877"/>
      <c r="J209" s="369"/>
      <c r="K209" s="369"/>
      <c r="L209" s="276"/>
      <c r="M209" s="5"/>
      <c r="N209" s="694"/>
      <c r="O209" s="694"/>
      <c r="P209" s="694"/>
      <c r="Q209" s="694"/>
      <c r="R209" s="694"/>
      <c r="S209" s="694"/>
      <c r="T209" s="694"/>
      <c r="U209" s="694"/>
      <c r="V209" s="694"/>
      <c r="W209" s="694">
        <f t="shared" si="16"/>
        <v>0</v>
      </c>
      <c r="X209">
        <f t="shared" si="17"/>
        <v>0</v>
      </c>
      <c r="Y209"/>
    </row>
    <row r="210" spans="1:25" x14ac:dyDescent="0.2">
      <c r="A210" s="473">
        <v>5.0999999999999996</v>
      </c>
      <c r="B210" s="13" t="s">
        <v>2463</v>
      </c>
      <c r="C210" s="554"/>
      <c r="D210" s="272"/>
      <c r="E210" s="283"/>
      <c r="F210" s="511"/>
      <c r="G210" s="283"/>
      <c r="H210" s="511"/>
      <c r="I210" s="284"/>
      <c r="J210" s="283"/>
      <c r="K210" s="283"/>
      <c r="L210" s="192"/>
      <c r="M210" s="5"/>
      <c r="N210" s="694"/>
      <c r="O210" s="694"/>
      <c r="P210" s="694"/>
      <c r="Q210" s="694"/>
      <c r="R210" s="694"/>
      <c r="S210" s="694"/>
      <c r="T210" s="694"/>
      <c r="U210" s="694"/>
      <c r="V210" s="694"/>
      <c r="W210" s="694">
        <f t="shared" si="16"/>
        <v>0</v>
      </c>
      <c r="X210">
        <f t="shared" si="17"/>
        <v>0</v>
      </c>
      <c r="Y210"/>
    </row>
    <row r="211" spans="1:25" s="773" customFormat="1" x14ac:dyDescent="0.2">
      <c r="A211" s="320" t="s">
        <v>2482</v>
      </c>
      <c r="B211" s="1" t="s">
        <v>3492</v>
      </c>
      <c r="C211" s="555">
        <f>tot_proc_MOVs</f>
        <v>12</v>
      </c>
      <c r="D211" s="355" t="s">
        <v>606</v>
      </c>
      <c r="E211" s="195">
        <f>tank_valve_size</f>
        <v>2</v>
      </c>
      <c r="F211" s="1" t="s">
        <v>1430</v>
      </c>
      <c r="G211" s="195">
        <f>IF(curve=1,tank_valve_size,VLOOKUP(tank_valve_size,pp_mov_cost_cl,2))</f>
        <v>2</v>
      </c>
      <c r="H211" s="510" t="s">
        <v>1430</v>
      </c>
      <c r="I211" s="686">
        <f>IF(curve=1,pp_mov_eq_tank,VLOOKUP(tank_valve_size,pp_mov_cost_cl,3))</f>
        <v>861.98733126223192</v>
      </c>
      <c r="J211" s="356">
        <f t="shared" ref="J211:J218" si="20">IF(I211="contact vendor","--",C211*I211)</f>
        <v>10343.847975146782</v>
      </c>
      <c r="K211" s="195">
        <f>VLOOKUP(tank_valve_size,pp_mov_cost_cl,IF(ss_cat="large",4,5))</f>
        <v>20</v>
      </c>
      <c r="L211" s="354">
        <v>1</v>
      </c>
      <c r="M211" s="35" t="str">
        <f>$B$209&amp;" - "&amp;$B$210&amp;" - "&amp;B211</f>
        <v>Valves and Fittings - Motor/Air Operated (on/off) - Process - Polypropylene/PVC</v>
      </c>
      <c r="N211" s="694">
        <v>1</v>
      </c>
      <c r="O211" s="694">
        <v>2</v>
      </c>
      <c r="P211" s="694">
        <v>3</v>
      </c>
      <c r="Q211" s="694">
        <v>1</v>
      </c>
      <c r="R211" s="694">
        <v>2</v>
      </c>
      <c r="S211" s="694">
        <v>3</v>
      </c>
      <c r="T211" s="694">
        <v>1</v>
      </c>
      <c r="U211" s="694">
        <v>2</v>
      </c>
      <c r="V211" s="694">
        <v>3</v>
      </c>
      <c r="W211" s="694">
        <f t="shared" si="16"/>
        <v>1</v>
      </c>
      <c r="X211">
        <f t="shared" si="17"/>
        <v>517.19239875733911</v>
      </c>
      <c r="Y211" s="1"/>
    </row>
    <row r="212" spans="1:25" s="773" customFormat="1" x14ac:dyDescent="0.2">
      <c r="A212" s="320" t="s">
        <v>2482</v>
      </c>
      <c r="B212" s="1" t="s">
        <v>3493</v>
      </c>
      <c r="C212" s="555">
        <f>tot_proc_MOVs</f>
        <v>12</v>
      </c>
      <c r="D212" s="355" t="s">
        <v>606</v>
      </c>
      <c r="E212" s="195">
        <f>tank_valve_size</f>
        <v>2</v>
      </c>
      <c r="F212" s="1" t="s">
        <v>1430</v>
      </c>
      <c r="G212" s="195">
        <f>IF(curve=1,tank_valve_size,VLOOKUP(tank_valve_size,ss_mov_cost_cl,2))</f>
        <v>2</v>
      </c>
      <c r="H212" s="510" t="s">
        <v>1430</v>
      </c>
      <c r="I212" s="686">
        <f>IF(curve=1,ss_mov_eq_tank,VLOOKUP(tank_valve_size,ss_mov_cost_cl,3))</f>
        <v>1534.037500743</v>
      </c>
      <c r="J212" s="356">
        <f t="shared" si="20"/>
        <v>18408.450008915999</v>
      </c>
      <c r="K212" s="195">
        <f>VLOOKUP(tank_valve_size,ss_mov_cost_cl,IF(ss_cat="large",4,5))</f>
        <v>20</v>
      </c>
      <c r="L212" s="354">
        <v>0</v>
      </c>
      <c r="M212" s="35" t="str">
        <f t="shared" ref="M212:M225" si="21">$B$209&amp;" - "&amp;$B$210&amp;" - "&amp;B212</f>
        <v>Valves and Fittings - Motor/Air Operated (on/off) - Process - Stainless Steel</v>
      </c>
      <c r="N212" s="694">
        <v>3</v>
      </c>
      <c r="O212" s="694">
        <v>3</v>
      </c>
      <c r="P212" s="694">
        <v>1</v>
      </c>
      <c r="Q212" s="694">
        <v>3</v>
      </c>
      <c r="R212" s="694">
        <v>3</v>
      </c>
      <c r="S212" s="694">
        <v>1</v>
      </c>
      <c r="T212" s="694">
        <v>3</v>
      </c>
      <c r="U212" s="694">
        <v>3</v>
      </c>
      <c r="V212" s="694">
        <v>1</v>
      </c>
      <c r="W212" s="694">
        <f t="shared" si="16"/>
        <v>0</v>
      </c>
      <c r="X212">
        <f t="shared" si="17"/>
        <v>0</v>
      </c>
      <c r="Y212" s="1"/>
    </row>
    <row r="213" spans="1:25" s="773" customFormat="1" x14ac:dyDescent="0.2">
      <c r="A213" s="320" t="s">
        <v>2482</v>
      </c>
      <c r="B213" s="1" t="s">
        <v>3494</v>
      </c>
      <c r="C213" s="555">
        <f>tot_proc_MOVs</f>
        <v>12</v>
      </c>
      <c r="D213" s="355" t="s">
        <v>606</v>
      </c>
      <c r="E213" s="195">
        <f>tank_valve_size</f>
        <v>2</v>
      </c>
      <c r="F213" s="1" t="s">
        <v>1430</v>
      </c>
      <c r="G213" s="195">
        <f>IF(curve=1,tank_valve_size,VLOOKUP(tank_valve_size,ci_mov_cost_cl,2))</f>
        <v>2</v>
      </c>
      <c r="H213" s="510" t="s">
        <v>1430</v>
      </c>
      <c r="I213" s="686">
        <f>IF(curve=1,ss_mov_eq_tank,VLOOKUP(tank_valve_size,ci_mov_cost_cl,3))</f>
        <v>1534.037500743</v>
      </c>
      <c r="J213" s="356">
        <f t="shared" si="20"/>
        <v>18408.450008915999</v>
      </c>
      <c r="K213" s="195">
        <f>VLOOKUP(tank_valve_size,ci_mov_cost_cl,IF(ss_cat="large",4,5))</f>
        <v>20</v>
      </c>
      <c r="L213" s="354">
        <v>0</v>
      </c>
      <c r="M213" s="35" t="str">
        <f t="shared" si="21"/>
        <v>Valves and Fittings - Motor/Air Operated (on/off) - Process - Cast Iron</v>
      </c>
      <c r="N213" s="694">
        <v>2</v>
      </c>
      <c r="O213" s="694">
        <v>1</v>
      </c>
      <c r="P213" s="694">
        <v>2</v>
      </c>
      <c r="Q213" s="694">
        <v>2</v>
      </c>
      <c r="R213" s="694">
        <v>1</v>
      </c>
      <c r="S213" s="694">
        <v>2</v>
      </c>
      <c r="T213" s="694">
        <v>2</v>
      </c>
      <c r="U213" s="694">
        <v>1</v>
      </c>
      <c r="V213" s="694">
        <v>2</v>
      </c>
      <c r="W213" s="694">
        <f t="shared" si="16"/>
        <v>0</v>
      </c>
      <c r="X213">
        <f t="shared" si="17"/>
        <v>0</v>
      </c>
      <c r="Y213" s="1"/>
    </row>
    <row r="214" spans="1:25" s="773" customFormat="1" x14ac:dyDescent="0.2">
      <c r="A214" s="320" t="s">
        <v>2237</v>
      </c>
      <c r="B214" s="1" t="s">
        <v>3495</v>
      </c>
      <c r="C214" s="555">
        <f>tot_back_MOVs</f>
        <v>11</v>
      </c>
      <c r="D214" s="355" t="s">
        <v>606</v>
      </c>
      <c r="E214" s="195">
        <f>back_valve_size</f>
        <v>4</v>
      </c>
      <c r="F214" s="1" t="s">
        <v>1430</v>
      </c>
      <c r="G214" s="195">
        <f>IF(curve=1,back_valve_size,VLOOKUP(back_valve_size,pp_mov_cost_cl,2))</f>
        <v>4</v>
      </c>
      <c r="H214" s="510" t="s">
        <v>1430</v>
      </c>
      <c r="I214" s="686">
        <f>IF(curve=1,pp_mov_eq_back,VLOOKUP(back_valve_size,pp_mov_cost_cl,3))</f>
        <v>1240.4363770220834</v>
      </c>
      <c r="J214" s="356">
        <f t="shared" si="20"/>
        <v>13644.800147242917</v>
      </c>
      <c r="K214" s="195">
        <f>VLOOKUP(back_valve_size,pp_mov_cost_cl,IF(ss_cat="large",4,5))</f>
        <v>20</v>
      </c>
      <c r="L214" s="354">
        <v>1</v>
      </c>
      <c r="M214" s="35" t="str">
        <f t="shared" si="21"/>
        <v>Valves and Fittings - Motor/Air Operated (on/off) - Backwash - Polypropylene/PVC</v>
      </c>
      <c r="N214" s="694">
        <v>1</v>
      </c>
      <c r="O214" s="694">
        <v>2</v>
      </c>
      <c r="P214" s="694">
        <v>3</v>
      </c>
      <c r="Q214" s="694">
        <v>1</v>
      </c>
      <c r="R214" s="694">
        <v>2</v>
      </c>
      <c r="S214" s="694">
        <v>3</v>
      </c>
      <c r="T214" s="694">
        <v>1</v>
      </c>
      <c r="U214" s="694">
        <v>2</v>
      </c>
      <c r="V214" s="694">
        <v>3</v>
      </c>
      <c r="W214" s="694">
        <f t="shared" si="16"/>
        <v>1</v>
      </c>
      <c r="X214">
        <f t="shared" si="17"/>
        <v>682.24000736214589</v>
      </c>
      <c r="Y214" s="1"/>
    </row>
    <row r="215" spans="1:25" s="773" customFormat="1" x14ac:dyDescent="0.2">
      <c r="A215" s="320" t="s">
        <v>2237</v>
      </c>
      <c r="B215" s="1" t="s">
        <v>3496</v>
      </c>
      <c r="C215" s="555">
        <f>tot_back_MOVs</f>
        <v>11</v>
      </c>
      <c r="D215" s="355" t="s">
        <v>606</v>
      </c>
      <c r="E215" s="195">
        <f>back_valve_size</f>
        <v>4</v>
      </c>
      <c r="F215" s="1" t="s">
        <v>1430</v>
      </c>
      <c r="G215" s="195">
        <f>IF(curve=1,back_valve_size,VLOOKUP(back_valve_size,ss_mov_cost_cl,2))</f>
        <v>4</v>
      </c>
      <c r="H215" s="510" t="s">
        <v>1430</v>
      </c>
      <c r="I215" s="686">
        <f>IF(curve=1,ss_mov_eq_back,VLOOKUP(back_valve_size,ss_mov_cost_cl,3))</f>
        <v>2066.2008893709999</v>
      </c>
      <c r="J215" s="356">
        <f t="shared" si="20"/>
        <v>22728.209783080998</v>
      </c>
      <c r="K215" s="195">
        <f>VLOOKUP(back_valve_size,ss_mov_cost_cl,IF(ss_cat="large",4,5))</f>
        <v>20</v>
      </c>
      <c r="L215" s="354">
        <v>0</v>
      </c>
      <c r="M215" s="35" t="str">
        <f t="shared" si="21"/>
        <v>Valves and Fittings - Motor/Air Operated (on/off) - Backwash - Stainless Steel</v>
      </c>
      <c r="N215" s="694">
        <v>3</v>
      </c>
      <c r="O215" s="694">
        <v>3</v>
      </c>
      <c r="P215" s="694">
        <v>1</v>
      </c>
      <c r="Q215" s="694">
        <v>3</v>
      </c>
      <c r="R215" s="694">
        <v>3</v>
      </c>
      <c r="S215" s="694">
        <v>1</v>
      </c>
      <c r="T215" s="694">
        <v>3</v>
      </c>
      <c r="U215" s="694">
        <v>3</v>
      </c>
      <c r="V215" s="694">
        <v>1</v>
      </c>
      <c r="W215" s="694">
        <f t="shared" si="16"/>
        <v>0</v>
      </c>
      <c r="X215">
        <f t="shared" si="17"/>
        <v>0</v>
      </c>
      <c r="Y215" s="1"/>
    </row>
    <row r="216" spans="1:25" s="773" customFormat="1" x14ac:dyDescent="0.2">
      <c r="A216" s="320" t="s">
        <v>2237</v>
      </c>
      <c r="B216" s="1" t="s">
        <v>1159</v>
      </c>
      <c r="C216" s="555">
        <f>tot_back_MOVs</f>
        <v>11</v>
      </c>
      <c r="D216" s="355" t="s">
        <v>606</v>
      </c>
      <c r="E216" s="195">
        <f>back_valve_size</f>
        <v>4</v>
      </c>
      <c r="F216" s="1" t="s">
        <v>1430</v>
      </c>
      <c r="G216" s="195">
        <f>IF(curve=1,back_valve_size,VLOOKUP(back_valve_size,ci_mov_cost_cl,2))</f>
        <v>4</v>
      </c>
      <c r="H216" s="510" t="s">
        <v>1430</v>
      </c>
      <c r="I216" s="686">
        <f>IF(curve=1,ci_mov_eq_back,VLOOKUP(back_valve_size,ci_mov_cost_cl,3))</f>
        <v>4053.3997653390002</v>
      </c>
      <c r="J216" s="356">
        <f t="shared" si="20"/>
        <v>44587.397418729</v>
      </c>
      <c r="K216" s="195">
        <f>VLOOKUP(back_valve_size,ci_mov_cost_cl,IF(ss_cat="large",4,5))</f>
        <v>20</v>
      </c>
      <c r="L216" s="354">
        <v>0</v>
      </c>
      <c r="M216" s="35" t="str">
        <f t="shared" si="21"/>
        <v>Valves and Fittings - Motor/Air Operated (on/off) - Backwash - Cast Iron</v>
      </c>
      <c r="N216" s="694">
        <v>2</v>
      </c>
      <c r="O216" s="694">
        <v>1</v>
      </c>
      <c r="P216" s="694">
        <v>2</v>
      </c>
      <c r="Q216" s="694">
        <v>2</v>
      </c>
      <c r="R216" s="694">
        <v>1</v>
      </c>
      <c r="S216" s="694">
        <v>2</v>
      </c>
      <c r="T216" s="694">
        <v>2</v>
      </c>
      <c r="U216" s="694">
        <v>1</v>
      </c>
      <c r="V216" s="694">
        <v>2</v>
      </c>
      <c r="W216" s="694">
        <f t="shared" si="16"/>
        <v>0</v>
      </c>
      <c r="X216">
        <f t="shared" si="17"/>
        <v>0</v>
      </c>
      <c r="Y216" s="1"/>
    </row>
    <row r="217" spans="1:25" s="773" customFormat="1" x14ac:dyDescent="0.2">
      <c r="A217" s="320" t="s">
        <v>2238</v>
      </c>
      <c r="B217" s="1" t="s">
        <v>2083</v>
      </c>
      <c r="C217" s="555">
        <f>tot_e_donor_MOVs</f>
        <v>8</v>
      </c>
      <c r="D217" s="355" t="s">
        <v>606</v>
      </c>
      <c r="E217" s="195">
        <f>e_donor_valve_size</f>
        <v>0.5</v>
      </c>
      <c r="F217" s="1" t="s">
        <v>1430</v>
      </c>
      <c r="G217" s="195">
        <f>IF(curve=1,e_donor_valve_size,VLOOKUP(e_donor_valve_size,pp_mov_cost_cl,2))</f>
        <v>0.5</v>
      </c>
      <c r="H217" s="510" t="s">
        <v>1430</v>
      </c>
      <c r="I217" s="686">
        <f>IF(curve=1,pp_mov_eq_e_donor,VLOOKUP(e_donor_valve_size,pp_mov_cost_cl,3))</f>
        <v>656.06319532697046</v>
      </c>
      <c r="J217" s="356">
        <f t="shared" si="20"/>
        <v>5248.5055626157637</v>
      </c>
      <c r="K217" s="195">
        <f>VLOOKUP(e_donor_valve_size,pp_mov_cost_cl,IF(ss_cat="large",4,5))</f>
        <v>20</v>
      </c>
      <c r="L217" s="354">
        <v>1</v>
      </c>
      <c r="M217" s="35" t="str">
        <f t="shared" si="21"/>
        <v>Valves and Fittings - Motor/Air Operated (on/off) - Electron Donor - Polypropylene/PVC</v>
      </c>
      <c r="N217" s="694">
        <v>1</v>
      </c>
      <c r="O217" s="694">
        <v>2</v>
      </c>
      <c r="P217" s="694">
        <v>2</v>
      </c>
      <c r="Q217" s="694">
        <v>1</v>
      </c>
      <c r="R217" s="694">
        <v>2</v>
      </c>
      <c r="S217" s="694">
        <v>2</v>
      </c>
      <c r="T217" s="694">
        <v>1</v>
      </c>
      <c r="U217" s="694">
        <v>2</v>
      </c>
      <c r="V217" s="694">
        <v>2</v>
      </c>
      <c r="W217" s="694">
        <f t="shared" si="16"/>
        <v>1</v>
      </c>
      <c r="X217">
        <f t="shared" si="17"/>
        <v>262.42527813078817</v>
      </c>
      <c r="Y217" s="1"/>
    </row>
    <row r="218" spans="1:25" s="773" customFormat="1" x14ac:dyDescent="0.2">
      <c r="A218" s="320" t="s">
        <v>2238</v>
      </c>
      <c r="B218" s="1" t="s">
        <v>2084</v>
      </c>
      <c r="C218" s="555">
        <f>tot_e_donor_MOVs</f>
        <v>8</v>
      </c>
      <c r="D218" s="355" t="s">
        <v>606</v>
      </c>
      <c r="E218" s="195">
        <f>e_donor_valve_size</f>
        <v>0.5</v>
      </c>
      <c r="F218" s="1" t="s">
        <v>1430</v>
      </c>
      <c r="G218" s="195">
        <f>IF(curve=1,e_donor_valve_size,VLOOKUP(e_donor_valve_size,ss_mov_cost_cl,2))</f>
        <v>0.5</v>
      </c>
      <c r="H218" s="510" t="s">
        <v>1430</v>
      </c>
      <c r="I218" s="686">
        <f>IF(curve=1,ss_mov_eq_e_donor,VLOOKUP(e_donor_valve_size,ss_mov_cost_cl,3))</f>
        <v>1419.4889475299999</v>
      </c>
      <c r="J218" s="356">
        <f t="shared" si="20"/>
        <v>11355.911580239999</v>
      </c>
      <c r="K218" s="195">
        <f>VLOOKUP(e_donor_valve_size,ss_mov_cost_cl,IF(ss_cat="large",4,5))</f>
        <v>20</v>
      </c>
      <c r="L218" s="354">
        <v>0</v>
      </c>
      <c r="M218" s="35" t="str">
        <f t="shared" si="21"/>
        <v>Valves and Fittings - Motor/Air Operated (on/off) - Electron Donor - Stainless Steel</v>
      </c>
      <c r="N218" s="694">
        <v>2</v>
      </c>
      <c r="O218" s="694">
        <v>1</v>
      </c>
      <c r="P218" s="694">
        <v>1</v>
      </c>
      <c r="Q218" s="694">
        <v>2</v>
      </c>
      <c r="R218" s="694">
        <v>1</v>
      </c>
      <c r="S218" s="694">
        <v>1</v>
      </c>
      <c r="T218" s="694">
        <v>2</v>
      </c>
      <c r="U218" s="694">
        <v>1</v>
      </c>
      <c r="V218" s="694">
        <v>1</v>
      </c>
      <c r="W218" s="694">
        <f t="shared" si="16"/>
        <v>0</v>
      </c>
      <c r="X218">
        <f t="shared" si="17"/>
        <v>0</v>
      </c>
      <c r="Y218" s="1"/>
    </row>
    <row r="219" spans="1:25" s="773" customFormat="1" x14ac:dyDescent="0.2">
      <c r="A219" s="320" t="s">
        <v>2239</v>
      </c>
      <c r="B219" s="1" t="s">
        <v>2085</v>
      </c>
      <c r="C219" s="555">
        <f>tot_NH4Cl_MOVs</f>
        <v>0</v>
      </c>
      <c r="D219" s="355" t="s">
        <v>606</v>
      </c>
      <c r="E219" s="195">
        <f>NH4Cl_valve_size</f>
        <v>0</v>
      </c>
      <c r="F219" s="1" t="s">
        <v>1430</v>
      </c>
      <c r="G219" s="195">
        <f>IF(curve=1,NH4Cl_valve_size,VLOOKUP(NH4Cl_valve_size,pp_mov_cost_cl,2))</f>
        <v>0</v>
      </c>
      <c r="H219" s="510" t="s">
        <v>1430</v>
      </c>
      <c r="I219" s="686" t="str">
        <f>IF(C219=0,"NA",IF(curve=1,pp_mov_eq_NH4Cl,VLOOKUP(NH4Cl_valve_size,pp_mov_cost_cl,3)))</f>
        <v>NA</v>
      </c>
      <c r="J219" s="356" t="str">
        <f>IF(OR(C219=0,I219="contact vendor"),"--",C219*I219)</f>
        <v>--</v>
      </c>
      <c r="K219" s="195">
        <f>VLOOKUP(NH4Cl_valve_size,pp_mov_cost_cl,IF(ss_cat="large",4,5))</f>
        <v>20</v>
      </c>
      <c r="L219" s="354"/>
      <c r="M219" s="35" t="str">
        <f>$B$209&amp;" - "&amp;$B$210&amp;" - "&amp;B219</f>
        <v>Valves and Fittings - Motor/Air Operated (on/off) - Ammonium Chloride - Polypropylene/PVC</v>
      </c>
      <c r="N219" s="694">
        <v>1</v>
      </c>
      <c r="O219" s="694">
        <v>2</v>
      </c>
      <c r="P219" s="694">
        <v>2</v>
      </c>
      <c r="Q219" s="694">
        <v>1</v>
      </c>
      <c r="R219" s="694">
        <v>2</v>
      </c>
      <c r="S219" s="694">
        <v>2</v>
      </c>
      <c r="T219" s="694">
        <v>1</v>
      </c>
      <c r="U219" s="694">
        <v>2</v>
      </c>
      <c r="V219" s="694">
        <v>2</v>
      </c>
      <c r="W219" s="694">
        <f t="shared" si="16"/>
        <v>0</v>
      </c>
      <c r="X219">
        <f t="shared" si="17"/>
        <v>0</v>
      </c>
      <c r="Y219" s="1"/>
    </row>
    <row r="220" spans="1:25" s="773" customFormat="1" x14ac:dyDescent="0.2">
      <c r="A220" s="320" t="s">
        <v>2239</v>
      </c>
      <c r="B220" s="1" t="s">
        <v>2086</v>
      </c>
      <c r="C220" s="555">
        <f>tot_NH4Cl_MOVs</f>
        <v>0</v>
      </c>
      <c r="D220" s="355" t="s">
        <v>606</v>
      </c>
      <c r="E220" s="195">
        <f>NH4Cl_valve_size</f>
        <v>0</v>
      </c>
      <c r="F220" s="1" t="s">
        <v>1430</v>
      </c>
      <c r="G220" s="195">
        <f>IF(curve=1,NH4Cl_valve_size,VLOOKUP(NH4Cl_valve_size,ss_mov_cost_cl,2))</f>
        <v>0</v>
      </c>
      <c r="H220" s="510" t="s">
        <v>1430</v>
      </c>
      <c r="I220" s="686" t="str">
        <f>IF(C220=0,"NA",IF(curve=1,ss_mov_eq_NH4Cl,VLOOKUP(NH4Cl_valve_size,ss_mov_cost_cl,3)))</f>
        <v>NA</v>
      </c>
      <c r="J220" s="356" t="str">
        <f>IF(OR(C220=0,I220="contact vendor"),"--",C220*I220)</f>
        <v>--</v>
      </c>
      <c r="K220" s="195">
        <f>VLOOKUP(NH4Cl_valve_size,ss_mov_cost_cl,IF(ss_cat="large",4,5))</f>
        <v>20</v>
      </c>
      <c r="L220" s="354"/>
      <c r="M220" s="35" t="str">
        <f>$B$209&amp;" - "&amp;$B$210&amp;" - "&amp;B220</f>
        <v>Valves and Fittings - Motor/Air Operated (on/off) - Ammonium Chloride - Stainless Steel</v>
      </c>
      <c r="N220" s="694">
        <v>2</v>
      </c>
      <c r="O220" s="694">
        <v>1</v>
      </c>
      <c r="P220" s="694">
        <v>1</v>
      </c>
      <c r="Q220" s="694">
        <v>2</v>
      </c>
      <c r="R220" s="694">
        <v>1</v>
      </c>
      <c r="S220" s="694">
        <v>1</v>
      </c>
      <c r="T220" s="694">
        <v>2</v>
      </c>
      <c r="U220" s="694">
        <v>1</v>
      </c>
      <c r="V220" s="694">
        <v>1</v>
      </c>
      <c r="W220" s="694">
        <f t="shared" si="16"/>
        <v>0</v>
      </c>
      <c r="X220">
        <f t="shared" si="17"/>
        <v>0</v>
      </c>
      <c r="Y220" s="1"/>
    </row>
    <row r="221" spans="1:25" s="773" customFormat="1" x14ac:dyDescent="0.2">
      <c r="A221" s="320" t="s">
        <v>2240</v>
      </c>
      <c r="B221" s="1" t="s">
        <v>2087</v>
      </c>
      <c r="C221" s="555">
        <f>tot_H3PO4_MOVs</f>
        <v>7</v>
      </c>
      <c r="D221" s="355" t="s">
        <v>606</v>
      </c>
      <c r="E221" s="195">
        <f>H3PO4_valve_size</f>
        <v>0.5</v>
      </c>
      <c r="F221" s="1" t="s">
        <v>1430</v>
      </c>
      <c r="G221" s="195">
        <f>IF(curve=1,H3PO4_valve_size,VLOOKUP(H3PO4_valve_size,pp_mov_cost_cl,2))</f>
        <v>0.5</v>
      </c>
      <c r="H221" s="510" t="s">
        <v>1430</v>
      </c>
      <c r="I221" s="686">
        <f>IF(C221=0,"NA",IF(curve=1,pp_mov_eq_H3PO4,VLOOKUP(H3PO4_valve_size,pp_mov_cost_cl,3)))</f>
        <v>656.06319532697046</v>
      </c>
      <c r="J221" s="356">
        <f>IF(OR(C221=0,I221="contact vendor"),"--",C221*I221)</f>
        <v>4592.4423672887933</v>
      </c>
      <c r="K221" s="195">
        <f>VLOOKUP(H3PO4_valve_size,pp_mov_cost_cl,IF(ss_cat="large",4,5))</f>
        <v>20</v>
      </c>
      <c r="L221" s="354">
        <v>1</v>
      </c>
      <c r="M221" s="35" t="str">
        <f>$B$209&amp;" - "&amp;$B$210&amp;" - "&amp;B221</f>
        <v>Valves and Fittings - Motor/Air Operated (on/off) - Phosphoric Acid - Polypropylene/PVC</v>
      </c>
      <c r="N221" s="694">
        <v>1</v>
      </c>
      <c r="O221" s="694">
        <v>2</v>
      </c>
      <c r="P221" s="694">
        <v>2</v>
      </c>
      <c r="Q221" s="694">
        <v>1</v>
      </c>
      <c r="R221" s="694">
        <v>2</v>
      </c>
      <c r="S221" s="694">
        <v>2</v>
      </c>
      <c r="T221" s="694">
        <v>1</v>
      </c>
      <c r="U221" s="694">
        <v>2</v>
      </c>
      <c r="V221" s="694">
        <v>2</v>
      </c>
      <c r="W221" s="694">
        <f t="shared" si="16"/>
        <v>1</v>
      </c>
      <c r="X221">
        <f t="shared" si="17"/>
        <v>229.62211836443967</v>
      </c>
      <c r="Y221" s="1"/>
    </row>
    <row r="222" spans="1:25" s="773" customFormat="1" x14ac:dyDescent="0.2">
      <c r="A222" s="320" t="s">
        <v>2240</v>
      </c>
      <c r="B222" s="1" t="s">
        <v>2088</v>
      </c>
      <c r="C222" s="555">
        <f>tot_H3PO4_MOVs</f>
        <v>7</v>
      </c>
      <c r="D222" s="355" t="s">
        <v>606</v>
      </c>
      <c r="E222" s="195">
        <f>H3PO4_valve_size</f>
        <v>0.5</v>
      </c>
      <c r="F222" s="1" t="s">
        <v>1430</v>
      </c>
      <c r="G222" s="195">
        <f>IF(curve=1,H3PO4_valve_size,VLOOKUP(H3PO4_valve_size,ss_mov_cost_cl,2))</f>
        <v>0.5</v>
      </c>
      <c r="H222" s="510" t="s">
        <v>1430</v>
      </c>
      <c r="I222" s="686">
        <f>IF(C222=0,"NA",IF(curve=1,ss_mov_eq_H3PO4,VLOOKUP(H3PO4_valve_size,ss_mov_cost_cl,3)))</f>
        <v>1419.4889475299999</v>
      </c>
      <c r="J222" s="356">
        <f>IF(OR(C222=0,I222="contact vendor"),"--",C222*I222)</f>
        <v>9936.4226327099987</v>
      </c>
      <c r="K222" s="195">
        <f>VLOOKUP(H3PO4_valve_size,ss_mov_cost_cl,IF(ss_cat="large",4,5))</f>
        <v>20</v>
      </c>
      <c r="L222" s="354">
        <v>0</v>
      </c>
      <c r="M222" s="35" t="str">
        <f>$B$209&amp;" - "&amp;$B$210&amp;" - "&amp;B222</f>
        <v>Valves and Fittings - Motor/Air Operated (on/off) - Phosphoric Acid - Stainless Steel</v>
      </c>
      <c r="N222" s="694">
        <v>2</v>
      </c>
      <c r="O222" s="694">
        <v>1</v>
      </c>
      <c r="P222" s="694">
        <v>1</v>
      </c>
      <c r="Q222" s="694">
        <v>2</v>
      </c>
      <c r="R222" s="694">
        <v>1</v>
      </c>
      <c r="S222" s="694">
        <v>1</v>
      </c>
      <c r="T222" s="694">
        <v>2</v>
      </c>
      <c r="U222" s="694">
        <v>1</v>
      </c>
      <c r="V222" s="694">
        <v>1</v>
      </c>
      <c r="W222" s="694">
        <f t="shared" si="16"/>
        <v>0</v>
      </c>
      <c r="X222">
        <f t="shared" si="17"/>
        <v>0</v>
      </c>
      <c r="Y222" s="1"/>
    </row>
    <row r="223" spans="1:25" s="870" customFormat="1" x14ac:dyDescent="0.2">
      <c r="A223" s="320" t="s">
        <v>2241</v>
      </c>
      <c r="B223" s="1" t="s">
        <v>1160</v>
      </c>
      <c r="C223" s="555">
        <f>IF(bp_pct&gt;0,tot_bp_MOVs,0)</f>
        <v>0</v>
      </c>
      <c r="D223" s="355" t="s">
        <v>606</v>
      </c>
      <c r="E223" s="195" t="str">
        <f>IF(bp_pct=0,"NA",bypass_valve_size)</f>
        <v>NA</v>
      </c>
      <c r="F223" s="1" t="str">
        <f>IF(bp_pct=0," ","in. diam")</f>
        <v xml:space="preserve"> </v>
      </c>
      <c r="G223" s="195" t="str">
        <f>IF(bp_pct=0,"NA",(IF(curve=1,bypass_valve_size,VLOOKUP(bypass_valve_size,pp_mov_cost_cl,2))))</f>
        <v>NA</v>
      </c>
      <c r="H223" s="510" t="str">
        <f>IF(bp_pct=0," ","in. diam")</f>
        <v xml:space="preserve"> </v>
      </c>
      <c r="I223" s="686" t="str">
        <f>IF(bp_pct=0,"NA",(IF(curve=1,pp_mov_eq_bp,VLOOKUP(bypass_valve_size,pp_mov_cost_cl,3))))</f>
        <v>NA</v>
      </c>
      <c r="J223" s="356">
        <f>IF(bp_pct=0,0,IF(I223="contact vendor","--",C223*I223))</f>
        <v>0</v>
      </c>
      <c r="K223" s="195" t="str">
        <f>IF(bp_pct=0,"NA",VLOOKUP(bypass_valve_size,pp_mov_cost_cl,IF(ss_cat="large",4,5)))</f>
        <v>NA</v>
      </c>
      <c r="L223" s="354"/>
      <c r="M223" s="35" t="str">
        <f t="shared" si="21"/>
        <v>Valves and Fittings - Motor/Air Operated (on/off) - Bypass - Polypropylene/PVC</v>
      </c>
      <c r="N223" s="694">
        <v>1</v>
      </c>
      <c r="O223" s="694">
        <v>2</v>
      </c>
      <c r="P223" s="694">
        <v>3</v>
      </c>
      <c r="Q223" s="694">
        <v>1</v>
      </c>
      <c r="R223" s="694">
        <v>2</v>
      </c>
      <c r="S223" s="694">
        <v>3</v>
      </c>
      <c r="T223" s="694">
        <v>1</v>
      </c>
      <c r="U223" s="694">
        <v>2</v>
      </c>
      <c r="V223" s="694">
        <v>3</v>
      </c>
      <c r="W223" s="694">
        <f t="shared" si="16"/>
        <v>0</v>
      </c>
      <c r="X223">
        <f t="shared" si="17"/>
        <v>0</v>
      </c>
      <c r="Y223" s="30"/>
    </row>
    <row r="224" spans="1:25" s="870" customFormat="1" x14ac:dyDescent="0.2">
      <c r="A224" s="320" t="s">
        <v>2241</v>
      </c>
      <c r="B224" s="1" t="s">
        <v>1161</v>
      </c>
      <c r="C224" s="555">
        <f>IF(bp_pct&gt;0,tot_bp_MOVs,0)</f>
        <v>0</v>
      </c>
      <c r="D224" s="355" t="s">
        <v>606</v>
      </c>
      <c r="E224" s="195" t="str">
        <f>IF(bp_pct=0,"NA",bypass_valve_size)</f>
        <v>NA</v>
      </c>
      <c r="F224" s="1" t="str">
        <f>IF(bp_pct=0," ","in. diam")</f>
        <v xml:space="preserve"> </v>
      </c>
      <c r="G224" s="195" t="str">
        <f>IF(bp_pct=0,"NA",(IF(curve=1,bypass_valve_size,VLOOKUP(bypass_valve_size,ss_mov_cost_cl,2))))</f>
        <v>NA</v>
      </c>
      <c r="H224" s="510" t="str">
        <f>IF(bp_pct=0," ","in. diam")</f>
        <v xml:space="preserve"> </v>
      </c>
      <c r="I224" s="686" t="str">
        <f>IF(bp_pct=0,"NA",(IF(curve=1,ss_mov_eq_bp,VLOOKUP(bypass_valve_size,ss_mov_cost_cl,3))))</f>
        <v>NA</v>
      </c>
      <c r="J224" s="356">
        <f>IF(bp_pct=0,0,IF(I224="contact vendor","--",C224*I224))</f>
        <v>0</v>
      </c>
      <c r="K224" s="195" t="str">
        <f>IF(bp_pct=0,"NA",VLOOKUP(bypass_valve_size,ss_mov_cost_cl,IF(ss_cat="large",4,5)))</f>
        <v>NA</v>
      </c>
      <c r="L224" s="354"/>
      <c r="M224" s="35" t="str">
        <f t="shared" si="21"/>
        <v>Valves and Fittings - Motor/Air Operated (on/off) - Bypass - Stainless Steel</v>
      </c>
      <c r="N224" s="694">
        <v>3</v>
      </c>
      <c r="O224" s="694">
        <v>3</v>
      </c>
      <c r="P224" s="694">
        <v>1</v>
      </c>
      <c r="Q224" s="694">
        <v>3</v>
      </c>
      <c r="R224" s="694">
        <v>3</v>
      </c>
      <c r="S224" s="694">
        <v>1</v>
      </c>
      <c r="T224" s="694">
        <v>3</v>
      </c>
      <c r="U224" s="694">
        <v>3</v>
      </c>
      <c r="V224" s="694">
        <v>1</v>
      </c>
      <c r="W224" s="694">
        <f t="shared" si="16"/>
        <v>0</v>
      </c>
      <c r="X224">
        <f t="shared" si="17"/>
        <v>0</v>
      </c>
      <c r="Y224" s="30"/>
    </row>
    <row r="225" spans="1:25" s="870" customFormat="1" x14ac:dyDescent="0.2">
      <c r="A225" s="320" t="s">
        <v>2241</v>
      </c>
      <c r="B225" s="1" t="s">
        <v>1162</v>
      </c>
      <c r="C225" s="555">
        <f>IF(bp_pct&gt;0,tot_bp_MOVs,0)</f>
        <v>0</v>
      </c>
      <c r="D225" s="355" t="s">
        <v>606</v>
      </c>
      <c r="E225" s="195" t="str">
        <f>IF(bp_pct=0,"NA",bypass_valve_size)</f>
        <v>NA</v>
      </c>
      <c r="F225" s="1" t="str">
        <f>IF(bp_pct=0," ","in. diam")</f>
        <v xml:space="preserve"> </v>
      </c>
      <c r="G225" s="195" t="str">
        <f>IF(bp_pct=0,"NA",(IF(curve=1,bypass_valve_size,VLOOKUP(bypass_valve_size,ci_mov_cost_cl,2))))</f>
        <v>NA</v>
      </c>
      <c r="H225" s="510" t="str">
        <f>IF(bp_pct=0," ","in. diam")</f>
        <v xml:space="preserve"> </v>
      </c>
      <c r="I225" s="686" t="str">
        <f>IF(bp_pct=0,"NA",(IF(curve=1,ci_mov_eq_bp,VLOOKUP(bypass_valve_size,ci_mov_cost_cl,3))))</f>
        <v>NA</v>
      </c>
      <c r="J225" s="356">
        <f>IF(bp_pct=0,0,IF(I225="contact vendor","--",C225*I225))</f>
        <v>0</v>
      </c>
      <c r="K225" s="195" t="str">
        <f>IF(bp_pct=0,"NA",VLOOKUP(bypass_valve_size,ci_mov_cost_cl,IF(ss_cat="large",4,5)))</f>
        <v>NA</v>
      </c>
      <c r="L225" s="354"/>
      <c r="M225" s="35" t="str">
        <f t="shared" si="21"/>
        <v>Valves and Fittings - Motor/Air Operated (on/off) - Bypass - Cast Iron</v>
      </c>
      <c r="N225" s="694">
        <v>2</v>
      </c>
      <c r="O225" s="694">
        <v>1</v>
      </c>
      <c r="P225" s="694">
        <v>2</v>
      </c>
      <c r="Q225" s="694">
        <v>2</v>
      </c>
      <c r="R225" s="694">
        <v>1</v>
      </c>
      <c r="S225" s="694">
        <v>2</v>
      </c>
      <c r="T225" s="694">
        <v>2</v>
      </c>
      <c r="U225" s="694">
        <v>1</v>
      </c>
      <c r="V225" s="694">
        <v>2</v>
      </c>
      <c r="W225" s="694">
        <f t="shared" si="16"/>
        <v>0</v>
      </c>
      <c r="X225">
        <f t="shared" si="17"/>
        <v>0</v>
      </c>
      <c r="Y225" s="30"/>
    </row>
    <row r="226" spans="1:25" s="870" customFormat="1" x14ac:dyDescent="0.2">
      <c r="A226" s="320" t="s">
        <v>2242</v>
      </c>
      <c r="B226" s="1" t="s">
        <v>1772</v>
      </c>
      <c r="C226" s="555">
        <f>total_res_MOVs</f>
        <v>3</v>
      </c>
      <c r="D226" s="355" t="s">
        <v>606</v>
      </c>
      <c r="E226" s="195">
        <f>IF(C226=0,"NA",res_valve_size)</f>
        <v>1</v>
      </c>
      <c r="F226" s="1" t="str">
        <f t="shared" ref="F226:F231" si="22">IF(C226=0,"","in. diam")</f>
        <v>in. diam</v>
      </c>
      <c r="G226" s="195">
        <f>IF(C226=0,"NA",IF(curve=1,res_valve_size,VLOOKUP(res_valve_size,pp_mov_cost_cl,2)))</f>
        <v>1</v>
      </c>
      <c r="H226" s="510" t="str">
        <f t="shared" ref="H226:H231" si="23">IF(C226=0,"","in. diam")</f>
        <v>in. diam</v>
      </c>
      <c r="I226" s="686">
        <f>IF(C226=0,0,IF(curve=1,pp_mov_eq_res,VLOOKUP(res_valve_size,pp_mov_cost_cl,3)))</f>
        <v>718.56172045364531</v>
      </c>
      <c r="J226" s="356">
        <f t="shared" ref="J226:J231" si="24">IF(I226="contact vendor","--",C226*I226)</f>
        <v>2155.685161360936</v>
      </c>
      <c r="K226" s="195">
        <f>IF(C226=0,"NA",VLOOKUP(res_valve_size,pp_mov_cost_cl,IF(ss_cat="large",4,5)))</f>
        <v>20</v>
      </c>
      <c r="L226" s="354">
        <v>1</v>
      </c>
      <c r="M226" s="35" t="str">
        <f t="shared" ref="M226:M231" si="25">$B$209 &amp; " - " &amp; $B$210&amp;" "&amp;" - "&amp;B226</f>
        <v>Valves and Fittings - Motor/Air Operated (on/off)  - Residuals - Polypropylene/PVC</v>
      </c>
      <c r="N226" s="694">
        <v>1</v>
      </c>
      <c r="O226" s="694">
        <v>2</v>
      </c>
      <c r="P226" s="694">
        <v>3</v>
      </c>
      <c r="Q226" s="694">
        <v>1</v>
      </c>
      <c r="R226" s="694">
        <v>2</v>
      </c>
      <c r="S226" s="694">
        <v>3</v>
      </c>
      <c r="T226" s="694">
        <v>1</v>
      </c>
      <c r="U226" s="694">
        <v>2</v>
      </c>
      <c r="V226" s="694">
        <v>3</v>
      </c>
      <c r="W226" s="694">
        <f t="shared" si="16"/>
        <v>1</v>
      </c>
      <c r="X226">
        <f t="shared" si="17"/>
        <v>107.7842580680468</v>
      </c>
      <c r="Y226" s="30"/>
    </row>
    <row r="227" spans="1:25" s="870" customFormat="1" x14ac:dyDescent="0.2">
      <c r="A227" s="320" t="s">
        <v>2242</v>
      </c>
      <c r="B227" s="1" t="s">
        <v>1773</v>
      </c>
      <c r="C227" s="555">
        <f>total_res_MOVs</f>
        <v>3</v>
      </c>
      <c r="D227" s="355" t="s">
        <v>606</v>
      </c>
      <c r="E227" s="195">
        <f>IF(C227=0,"NA",res_valve_size)</f>
        <v>1</v>
      </c>
      <c r="F227" s="1" t="str">
        <f t="shared" si="22"/>
        <v>in. diam</v>
      </c>
      <c r="G227" s="195">
        <f>IF(C227=0,"NA",IF(curve=1,res_valve_size,VLOOKUP(res_valve_size,ss_mov_cost_cl,2)))</f>
        <v>1</v>
      </c>
      <c r="H227" s="510" t="str">
        <f t="shared" si="23"/>
        <v>in. diam</v>
      </c>
      <c r="I227" s="686">
        <f>IF(C227=0,0,IF(curve=1,ss_mov_eq_res,VLOOKUP(res_valve_size,ss_mov_cost_cl,3)))</f>
        <v>1432.791531694</v>
      </c>
      <c r="J227" s="356">
        <f t="shared" si="24"/>
        <v>4298.3745950820003</v>
      </c>
      <c r="K227" s="195">
        <f>IF(C227=0,"NA",VLOOKUP(res_valve_size,ss_mov_cost_cl,IF(ss_cat="large",4,5)))</f>
        <v>20</v>
      </c>
      <c r="L227" s="354">
        <v>0</v>
      </c>
      <c r="M227" s="35" t="str">
        <f t="shared" si="25"/>
        <v>Valves and Fittings - Motor/Air Operated (on/off)  - Residuals - Stainless Steel</v>
      </c>
      <c r="N227" s="694">
        <v>3</v>
      </c>
      <c r="O227" s="694">
        <v>3</v>
      </c>
      <c r="P227" s="694">
        <v>1</v>
      </c>
      <c r="Q227" s="694">
        <v>3</v>
      </c>
      <c r="R227" s="694">
        <v>3</v>
      </c>
      <c r="S227" s="694">
        <v>1</v>
      </c>
      <c r="T227" s="694">
        <v>3</v>
      </c>
      <c r="U227" s="694">
        <v>3</v>
      </c>
      <c r="V227" s="694">
        <v>1</v>
      </c>
      <c r="W227" s="694">
        <f t="shared" si="16"/>
        <v>0</v>
      </c>
      <c r="X227">
        <f t="shared" si="17"/>
        <v>0</v>
      </c>
      <c r="Y227" s="30"/>
    </row>
    <row r="228" spans="1:25" s="870" customFormat="1" x14ac:dyDescent="0.2">
      <c r="A228" s="320" t="s">
        <v>2242</v>
      </c>
      <c r="B228" s="1" t="s">
        <v>1459</v>
      </c>
      <c r="C228" s="555">
        <f>total_res_MOVs</f>
        <v>3</v>
      </c>
      <c r="D228" s="355" t="s">
        <v>606</v>
      </c>
      <c r="E228" s="195">
        <f>IF(C228=0,"NA",res_valve_size)</f>
        <v>1</v>
      </c>
      <c r="F228" s="1" t="str">
        <f t="shared" si="22"/>
        <v>in. diam</v>
      </c>
      <c r="G228" s="195">
        <f>IF(C228=0,"NA",IF(curve=1,res_valve_size,VLOOKUP(res_valve_size,ci_mov_cost_cl,2)))</f>
        <v>1</v>
      </c>
      <c r="H228" s="510" t="str">
        <f t="shared" si="23"/>
        <v>in. diam</v>
      </c>
      <c r="I228" s="686">
        <f>IF(C228=0,0,IF(curve=1,ci_mov_eq_res,VLOOKUP(res_valve_size,ci_mov_cost_cl,3)))</f>
        <v>139.56351552299998</v>
      </c>
      <c r="J228" s="356">
        <f t="shared" si="24"/>
        <v>418.69054656899993</v>
      </c>
      <c r="K228" s="195">
        <f>IF(C228=0,"NA",VLOOKUP(res_valve_size,ci_mov_cost_cl,IF(ss_cat="large",4,5)))</f>
        <v>20</v>
      </c>
      <c r="L228" s="354">
        <v>0</v>
      </c>
      <c r="M228" s="35" t="str">
        <f t="shared" si="25"/>
        <v>Valves and Fittings - Motor/Air Operated (on/off)  - Residuals - Cast Iron</v>
      </c>
      <c r="N228" s="694">
        <v>2</v>
      </c>
      <c r="O228" s="694">
        <v>1</v>
      </c>
      <c r="P228" s="694">
        <v>2</v>
      </c>
      <c r="Q228" s="694">
        <v>2</v>
      </c>
      <c r="R228" s="694">
        <v>1</v>
      </c>
      <c r="S228" s="694">
        <v>2</v>
      </c>
      <c r="T228" s="694">
        <v>2</v>
      </c>
      <c r="U228" s="694">
        <v>1</v>
      </c>
      <c r="V228" s="694">
        <v>2</v>
      </c>
      <c r="W228" s="694">
        <f t="shared" si="16"/>
        <v>0</v>
      </c>
      <c r="X228">
        <f t="shared" si="17"/>
        <v>0</v>
      </c>
      <c r="Y228" s="30"/>
    </row>
    <row r="229" spans="1:25" s="870" customFormat="1" x14ac:dyDescent="0.2">
      <c r="A229" s="320" t="s">
        <v>2243</v>
      </c>
      <c r="B229" s="1" t="s">
        <v>4367</v>
      </c>
      <c r="C229" s="555">
        <f>tot_air_MOVs</f>
        <v>2</v>
      </c>
      <c r="D229" s="355" t="s">
        <v>606</v>
      </c>
      <c r="E229" s="195">
        <f>IF(C229=0,"NA",air_valve_size)</f>
        <v>2</v>
      </c>
      <c r="F229" s="1" t="str">
        <f t="shared" si="22"/>
        <v>in. diam</v>
      </c>
      <c r="G229" s="195">
        <f>IF(C229=0,"NA",IF(curve=1,air_valve_size,VLOOKUP(air_valve_size,pp_mov_cost_cl,2)))</f>
        <v>2</v>
      </c>
      <c r="H229" s="510" t="str">
        <f t="shared" si="23"/>
        <v>in. diam</v>
      </c>
      <c r="I229" s="686">
        <f>IF(C229=0,0,IF(curve=1,pp_mov_eq_air,VLOOKUP(air_valve_size,pp_mov_cost_cl,3)))</f>
        <v>861.98733126223192</v>
      </c>
      <c r="J229" s="356">
        <f t="shared" si="24"/>
        <v>1723.9746625244638</v>
      </c>
      <c r="K229" s="195">
        <f>IF(C229=0,"NA",VLOOKUP(air_valve_size,pp_mov_cost_cl,IF(ss_cat="large",4,5)))</f>
        <v>20</v>
      </c>
      <c r="L229" s="354">
        <v>1</v>
      </c>
      <c r="M229" s="35" t="str">
        <f t="shared" si="25"/>
        <v>Valves and Fittings - Motor/Air Operated (on/off)  - Air Scour - Polypropylene/PVC</v>
      </c>
      <c r="N229" s="694">
        <v>1</v>
      </c>
      <c r="O229" s="694">
        <v>2</v>
      </c>
      <c r="P229" s="694">
        <v>3</v>
      </c>
      <c r="Q229" s="694">
        <v>1</v>
      </c>
      <c r="R229" s="694">
        <v>2</v>
      </c>
      <c r="S229" s="694">
        <v>3</v>
      </c>
      <c r="T229" s="694">
        <v>1</v>
      </c>
      <c r="U229" s="694">
        <v>2</v>
      </c>
      <c r="V229" s="694">
        <v>3</v>
      </c>
      <c r="W229" s="694">
        <f t="shared" si="16"/>
        <v>1</v>
      </c>
      <c r="X229">
        <f t="shared" si="17"/>
        <v>86.198733126223189</v>
      </c>
      <c r="Y229" s="30"/>
    </row>
    <row r="230" spans="1:25" s="870" customFormat="1" x14ac:dyDescent="0.2">
      <c r="A230" s="320" t="s">
        <v>2243</v>
      </c>
      <c r="B230" s="1" t="s">
        <v>4368</v>
      </c>
      <c r="C230" s="555">
        <f>tot_air_MOVs</f>
        <v>2</v>
      </c>
      <c r="D230" s="355" t="s">
        <v>606</v>
      </c>
      <c r="E230" s="195">
        <f>IF(C230=0,"NA",air_valve_size)</f>
        <v>2</v>
      </c>
      <c r="F230" s="1" t="str">
        <f t="shared" si="22"/>
        <v>in. diam</v>
      </c>
      <c r="G230" s="195">
        <f>IF(C230=0,"NA",IF(curve=1,air_valve_size,VLOOKUP(air_valve_size,ss_mov_cost_cl,2)))</f>
        <v>2</v>
      </c>
      <c r="H230" s="510" t="str">
        <f t="shared" si="23"/>
        <v>in. diam</v>
      </c>
      <c r="I230" s="686">
        <f>IF(C230=0,0,IF(curve=1,ss_mov_eq_air,VLOOKUP(air_valve_size,ss_mov_cost_cl,3)))</f>
        <v>1534.037500743</v>
      </c>
      <c r="J230" s="356">
        <f t="shared" si="24"/>
        <v>3068.075001486</v>
      </c>
      <c r="K230" s="195">
        <f>IF(C230=0,"NA",VLOOKUP(air_valve_size,ss_mov_cost_cl,IF(ss_cat="large",4,5)))</f>
        <v>20</v>
      </c>
      <c r="L230" s="354">
        <v>0</v>
      </c>
      <c r="M230" s="35" t="str">
        <f t="shared" si="25"/>
        <v>Valves and Fittings - Motor/Air Operated (on/off)  - Air Scour - Stainless Steel</v>
      </c>
      <c r="N230" s="694">
        <v>3</v>
      </c>
      <c r="O230" s="694">
        <v>3</v>
      </c>
      <c r="P230" s="694">
        <v>1</v>
      </c>
      <c r="Q230" s="694">
        <v>3</v>
      </c>
      <c r="R230" s="694">
        <v>3</v>
      </c>
      <c r="S230" s="694">
        <v>1</v>
      </c>
      <c r="T230" s="694">
        <v>3</v>
      </c>
      <c r="U230" s="694">
        <v>3</v>
      </c>
      <c r="V230" s="694">
        <v>1</v>
      </c>
      <c r="W230" s="694">
        <f t="shared" si="16"/>
        <v>0</v>
      </c>
      <c r="X230">
        <f t="shared" si="17"/>
        <v>0</v>
      </c>
      <c r="Y230" s="30"/>
    </row>
    <row r="231" spans="1:25" s="870" customFormat="1" x14ac:dyDescent="0.2">
      <c r="A231" s="320" t="s">
        <v>2243</v>
      </c>
      <c r="B231" s="1" t="s">
        <v>4369</v>
      </c>
      <c r="C231" s="555">
        <f>tot_air_MOVs</f>
        <v>2</v>
      </c>
      <c r="D231" s="355" t="s">
        <v>606</v>
      </c>
      <c r="E231" s="195">
        <f>IF(C231=0,"NA",air_valve_size)</f>
        <v>2</v>
      </c>
      <c r="F231" s="1" t="str">
        <f t="shared" si="22"/>
        <v>in. diam</v>
      </c>
      <c r="G231" s="195">
        <f>IF(C231=0,"NA",IF(curve=1,air_valve_size,VLOOKUP(air_valve_size,ci_mov_cost_cl,2)))</f>
        <v>2</v>
      </c>
      <c r="H231" s="510" t="str">
        <f t="shared" si="23"/>
        <v>in. diam</v>
      </c>
      <c r="I231" s="686">
        <f>IF(C231=0,0,IF(curve=1,ci_mov_eq_air,VLOOKUP(air_valve_size,ci_mov_cost_cl,3)))</f>
        <v>1444.175598795</v>
      </c>
      <c r="J231" s="356">
        <f t="shared" si="24"/>
        <v>2888.3511975900001</v>
      </c>
      <c r="K231" s="195">
        <f>IF(C231=0,"NA",VLOOKUP(air_valve_size,ci_mov_cost_cl,IF(ss_cat="large",4,5)))</f>
        <v>20</v>
      </c>
      <c r="L231" s="354">
        <v>0</v>
      </c>
      <c r="M231" s="35" t="str">
        <f t="shared" si="25"/>
        <v>Valves and Fittings - Motor/Air Operated (on/off)  - Air Scour - Cast Iron</v>
      </c>
      <c r="N231" s="694">
        <v>2</v>
      </c>
      <c r="O231" s="694">
        <v>1</v>
      </c>
      <c r="P231" s="694">
        <v>2</v>
      </c>
      <c r="Q231" s="694">
        <v>2</v>
      </c>
      <c r="R231" s="694">
        <v>1</v>
      </c>
      <c r="S231" s="694">
        <v>2</v>
      </c>
      <c r="T231" s="694">
        <v>2</v>
      </c>
      <c r="U231" s="694">
        <v>1</v>
      </c>
      <c r="V231" s="694">
        <v>2</v>
      </c>
      <c r="W231" s="694">
        <f t="shared" si="16"/>
        <v>0</v>
      </c>
      <c r="X231">
        <f t="shared" si="17"/>
        <v>0</v>
      </c>
      <c r="Y231" s="30"/>
    </row>
    <row r="232" spans="1:25" s="773" customFormat="1" x14ac:dyDescent="0.2">
      <c r="A232" s="320" t="s">
        <v>2244</v>
      </c>
      <c r="B232" s="1" t="s">
        <v>843</v>
      </c>
      <c r="C232" s="555">
        <f>tot_rec_MOVs</f>
        <v>0</v>
      </c>
      <c r="D232" s="355" t="s">
        <v>606</v>
      </c>
      <c r="E232" s="195">
        <f>rec_valve_size</f>
        <v>0</v>
      </c>
      <c r="F232" s="1" t="s">
        <v>1430</v>
      </c>
      <c r="G232" s="195">
        <f>IF(curve=1,rec_valve_size,VLOOKUP(rec_valve_size,pp_mov_cost_cl,2))</f>
        <v>0</v>
      </c>
      <c r="H232" s="510" t="s">
        <v>1430</v>
      </c>
      <c r="I232" s="686" t="str">
        <f>IF(C232=0,"NA",IF(curve=1,pp_mov_eq_rec,VLOOKUP(rec_valve_size,pp_mov_cost_cl,3)))</f>
        <v>NA</v>
      </c>
      <c r="J232" s="356" t="str">
        <f>IF(OR(C232=0,I232="contact vendor"),"--",C232*I232)</f>
        <v>--</v>
      </c>
      <c r="K232" s="195">
        <f>VLOOKUP(rec_valve_size,pp_mov_cost_cl,IF(ss_cat="large",4,5))</f>
        <v>20</v>
      </c>
      <c r="L232" s="354"/>
      <c r="M232" s="35" t="str">
        <f>$B$209&amp;" - "&amp;$B$210&amp;" - "&amp;B232</f>
        <v>Valves and Fittings - Motor/Air Operated (on/off) - Fluidized Bed Recycle - Polypropylene/PVC</v>
      </c>
      <c r="N232" s="694">
        <v>1</v>
      </c>
      <c r="O232" s="694">
        <v>2</v>
      </c>
      <c r="P232" s="694">
        <v>2</v>
      </c>
      <c r="Q232" s="694">
        <v>1</v>
      </c>
      <c r="R232" s="694">
        <v>2</v>
      </c>
      <c r="S232" s="694">
        <v>2</v>
      </c>
      <c r="T232" s="694">
        <v>1</v>
      </c>
      <c r="U232" s="694">
        <v>2</v>
      </c>
      <c r="V232" s="694">
        <v>2</v>
      </c>
      <c r="W232" s="694">
        <f t="shared" si="16"/>
        <v>0</v>
      </c>
      <c r="X232">
        <f t="shared" si="17"/>
        <v>0</v>
      </c>
      <c r="Y232" s="1"/>
    </row>
    <row r="233" spans="1:25" s="773" customFormat="1" x14ac:dyDescent="0.2">
      <c r="A233" s="320" t="s">
        <v>2244</v>
      </c>
      <c r="B233" s="1" t="s">
        <v>844</v>
      </c>
      <c r="C233" s="555">
        <f>tot_rec_MOVs</f>
        <v>0</v>
      </c>
      <c r="D233" s="355" t="s">
        <v>606</v>
      </c>
      <c r="E233" s="195">
        <f>rec_valve_size</f>
        <v>0</v>
      </c>
      <c r="F233" s="1" t="s">
        <v>1430</v>
      </c>
      <c r="G233" s="195">
        <f>IF(curve=1,rec_valve_size,VLOOKUP(rec_valve_size,ss_mov_cost_cl,2))</f>
        <v>0</v>
      </c>
      <c r="H233" s="510" t="s">
        <v>1430</v>
      </c>
      <c r="I233" s="686" t="str">
        <f>IF(C233=0,"NA",IF(curve=1,ss_mov_eq_rec,VLOOKUP(rec_valve_size,ss_mov_cost_cl,3)))</f>
        <v>NA</v>
      </c>
      <c r="J233" s="356" t="str">
        <f>IF(OR(C233=0,I233="contact vendor"),"--",C233*I233)</f>
        <v>--</v>
      </c>
      <c r="K233" s="195">
        <f>VLOOKUP(rec_valve_size,ss_mov_cost_cl,IF(ss_cat="large",4,5))</f>
        <v>20</v>
      </c>
      <c r="L233" s="354"/>
      <c r="M233" s="35" t="str">
        <f>$B$209&amp;" - "&amp;$B$210&amp;" - "&amp;B233</f>
        <v>Valves and Fittings - Motor/Air Operated (on/off) - Fluidized Bed Recycle - Stainless Steel</v>
      </c>
      <c r="N233" s="694">
        <v>2</v>
      </c>
      <c r="O233" s="694">
        <v>1</v>
      </c>
      <c r="P233" s="694">
        <v>1</v>
      </c>
      <c r="Q233" s="694">
        <v>2</v>
      </c>
      <c r="R233" s="694">
        <v>1</v>
      </c>
      <c r="S233" s="694">
        <v>1</v>
      </c>
      <c r="T233" s="694">
        <v>2</v>
      </c>
      <c r="U233" s="694">
        <v>1</v>
      </c>
      <c r="V233" s="694">
        <v>1</v>
      </c>
      <c r="W233" s="694">
        <f t="shared" si="16"/>
        <v>0</v>
      </c>
      <c r="X233">
        <f t="shared" si="17"/>
        <v>0</v>
      </c>
      <c r="Y233" s="1"/>
    </row>
    <row r="234" spans="1:25" s="773" customFormat="1" x14ac:dyDescent="0.2">
      <c r="A234" s="320" t="s">
        <v>2245</v>
      </c>
      <c r="B234" s="1" t="s">
        <v>143</v>
      </c>
      <c r="C234" s="555">
        <f>tot_H2O2_MOVs</f>
        <v>0</v>
      </c>
      <c r="D234" s="355" t="s">
        <v>606</v>
      </c>
      <c r="E234" s="195">
        <f>H2O2_valve_size</f>
        <v>0</v>
      </c>
      <c r="F234" s="1" t="s">
        <v>1430</v>
      </c>
      <c r="G234" s="195">
        <f>IF(curve=1,H2O2_valve_size,VLOOKUP(H2O2_valve_size,pp_mov_cost_cl,2))</f>
        <v>0</v>
      </c>
      <c r="H234" s="510" t="s">
        <v>1430</v>
      </c>
      <c r="I234" s="686" t="str">
        <f>IF(C234=0,"NA",IF(curve=1,pp_mov_eq_H2O2,VLOOKUP(H2O2_valve_size,pp_mov_cost_cl,3)))</f>
        <v>NA</v>
      </c>
      <c r="J234" s="356" t="str">
        <f>IF(OR(C234=0,I234="contact vendor"),"--",C234*I234)</f>
        <v>--</v>
      </c>
      <c r="K234" s="195">
        <f>VLOOKUP(H2O2_valve_size,pp_mov_cost_cl,IF(ss_cat="large",4,5))</f>
        <v>20</v>
      </c>
      <c r="L234" s="354"/>
      <c r="M234" s="35" t="str">
        <f>$B$209&amp;" - "&amp;$B$210&amp;" - "&amp;B234</f>
        <v>Valves and Fittings - Motor/Air Operated (on/off) - Hydrogen Peroxide - Polypropylene/PVC</v>
      </c>
      <c r="N234" s="694">
        <v>1</v>
      </c>
      <c r="O234" s="694">
        <v>2</v>
      </c>
      <c r="P234" s="694">
        <v>2</v>
      </c>
      <c r="Q234" s="694">
        <v>1</v>
      </c>
      <c r="R234" s="694">
        <v>2</v>
      </c>
      <c r="S234" s="694">
        <v>2</v>
      </c>
      <c r="T234" s="694">
        <v>1</v>
      </c>
      <c r="U234" s="694">
        <v>2</v>
      </c>
      <c r="V234" s="694">
        <v>2</v>
      </c>
      <c r="W234" s="694">
        <f t="shared" si="16"/>
        <v>0</v>
      </c>
      <c r="X234">
        <f t="shared" si="17"/>
        <v>0</v>
      </c>
      <c r="Y234" s="1"/>
    </row>
    <row r="235" spans="1:25" s="773" customFormat="1" x14ac:dyDescent="0.2">
      <c r="A235" s="320" t="s">
        <v>2245</v>
      </c>
      <c r="B235" s="1" t="s">
        <v>144</v>
      </c>
      <c r="C235" s="555">
        <f>tot_H2O2_MOVs</f>
        <v>0</v>
      </c>
      <c r="D235" s="355" t="s">
        <v>606</v>
      </c>
      <c r="E235" s="195">
        <f>H2O2_valve_size</f>
        <v>0</v>
      </c>
      <c r="F235" s="1" t="s">
        <v>1430</v>
      </c>
      <c r="G235" s="195">
        <f>IF(curve=1,H2O2_valve_size,VLOOKUP(H2O2_valve_size,ss_mov_cost_cl,2))</f>
        <v>0</v>
      </c>
      <c r="H235" s="510" t="s">
        <v>1430</v>
      </c>
      <c r="I235" s="686" t="str">
        <f>IF(C235=0,"NA",IF(curve=1,ss_mov_eq_H2O2,VLOOKUP(H2O2_valve_size,ss_mov_cost_cl,3)))</f>
        <v>NA</v>
      </c>
      <c r="J235" s="356" t="str">
        <f>IF(OR(C235=0,I235="contact vendor"),"--",C235*I235)</f>
        <v>--</v>
      </c>
      <c r="K235" s="195">
        <f>VLOOKUP(H2O2_valve_size,ss_mov_cost_cl,IF(ss_cat="large",4,5))</f>
        <v>20</v>
      </c>
      <c r="L235" s="354"/>
      <c r="M235" s="35" t="str">
        <f>$B$209&amp;" - "&amp;$B$210&amp;" - "&amp;B235</f>
        <v>Valves and Fittings - Motor/Air Operated (on/off) - Hydrogen Peroxide - Stainless Steel</v>
      </c>
      <c r="N235" s="694">
        <v>2</v>
      </c>
      <c r="O235" s="694">
        <v>1</v>
      </c>
      <c r="P235" s="694">
        <v>1</v>
      </c>
      <c r="Q235" s="694">
        <v>2</v>
      </c>
      <c r="R235" s="694">
        <v>1</v>
      </c>
      <c r="S235" s="694">
        <v>1</v>
      </c>
      <c r="T235" s="694">
        <v>2</v>
      </c>
      <c r="U235" s="694">
        <v>1</v>
      </c>
      <c r="V235" s="694">
        <v>1</v>
      </c>
      <c r="W235" s="694">
        <f t="shared" si="16"/>
        <v>0</v>
      </c>
      <c r="X235">
        <f t="shared" si="17"/>
        <v>0</v>
      </c>
      <c r="Y235" s="1"/>
    </row>
    <row r="236" spans="1:25" s="870" customFormat="1" x14ac:dyDescent="0.2">
      <c r="A236" s="320" t="s">
        <v>2854</v>
      </c>
      <c r="B236" s="1" t="s">
        <v>4359</v>
      </c>
      <c r="C236" s="555">
        <f>tot_bio_air_MOVs</f>
        <v>0</v>
      </c>
      <c r="D236" s="355" t="s">
        <v>606</v>
      </c>
      <c r="E236" s="195" t="str">
        <f>IF(C236=0,"NA",bio_air_valve_size)</f>
        <v>NA</v>
      </c>
      <c r="F236" s="1" t="str">
        <f t="shared" ref="F236:F241" si="26">IF(C236=0,"","in. diam")</f>
        <v/>
      </c>
      <c r="G236" s="195" t="str">
        <f>IF(C236=0,"NA",IF(curve=1,bio_air_valve_size,VLOOKUP(bio_air_valve_size,pp_mov_cost_cl,2)))</f>
        <v>NA</v>
      </c>
      <c r="H236" s="510" t="str">
        <f t="shared" ref="H236:H241" si="27">IF(C236=0,"","in. diam")</f>
        <v/>
      </c>
      <c r="I236" s="686">
        <f>IF(C236=0,0,IF(curve=1,pp_mov_eq_bio_air,VLOOKUP(bio_air_valve_size,pp_mov_cost_cl,3)))</f>
        <v>0</v>
      </c>
      <c r="J236" s="356">
        <f t="shared" ref="J236:J241" si="28">IF(I236="contact vendor","--",C236*I236)</f>
        <v>0</v>
      </c>
      <c r="K236" s="195" t="str">
        <f>IF(C236=0,"NA",VLOOKUP(bio_air_valve_size,pp_mov_cost_cl,IF(ss_cat="large",4,5)))</f>
        <v>NA</v>
      </c>
      <c r="L236" s="354"/>
      <c r="M236" s="35" t="str">
        <f t="shared" ref="M236:M241" si="29">$B$209 &amp; " - " &amp; $B$210&amp;" "&amp;" - "&amp;B236</f>
        <v>Valves and Fittings - Motor/Air Operated (on/off)  - Air Biomass Removal - Polypropylene/PVC</v>
      </c>
      <c r="N236" s="694">
        <v>1</v>
      </c>
      <c r="O236" s="694">
        <v>2</v>
      </c>
      <c r="P236" s="694">
        <v>3</v>
      </c>
      <c r="Q236" s="694">
        <v>1</v>
      </c>
      <c r="R236" s="694">
        <v>2</v>
      </c>
      <c r="S236" s="694">
        <v>3</v>
      </c>
      <c r="T236" s="694">
        <v>1</v>
      </c>
      <c r="U236" s="694">
        <v>2</v>
      </c>
      <c r="V236" s="694">
        <v>3</v>
      </c>
      <c r="W236" s="694">
        <f t="shared" si="16"/>
        <v>0</v>
      </c>
      <c r="X236">
        <f t="shared" si="17"/>
        <v>0</v>
      </c>
      <c r="Y236" s="30"/>
    </row>
    <row r="237" spans="1:25" s="870" customFormat="1" x14ac:dyDescent="0.2">
      <c r="A237" s="320" t="s">
        <v>2854</v>
      </c>
      <c r="B237" s="1" t="s">
        <v>4360</v>
      </c>
      <c r="C237" s="555">
        <f>tot_bio_air_MOVs</f>
        <v>0</v>
      </c>
      <c r="D237" s="355" t="s">
        <v>606</v>
      </c>
      <c r="E237" s="195" t="str">
        <f>IF(C237=0,"NA",bio_air_valve_size)</f>
        <v>NA</v>
      </c>
      <c r="F237" s="1" t="str">
        <f t="shared" si="26"/>
        <v/>
      </c>
      <c r="G237" s="195" t="str">
        <f>IF(C237=0,"NA",IF(curve=1,bio_air_valve_size,VLOOKUP(bio_air_valve_size,ss_mov_cost_cl,2)))</f>
        <v>NA</v>
      </c>
      <c r="H237" s="510" t="str">
        <f t="shared" si="27"/>
        <v/>
      </c>
      <c r="I237" s="686">
        <f>IF(C237=0,0,IF(curve=1,ss_mov_eq_bio_air,VLOOKUP(bio_air_valve_size,ss_mov_cost_cl,3)))</f>
        <v>0</v>
      </c>
      <c r="J237" s="356">
        <f t="shared" si="28"/>
        <v>0</v>
      </c>
      <c r="K237" s="195" t="str">
        <f>IF(C237=0,"NA",VLOOKUP(bio_air_valve_size,ss_mov_cost_cl,IF(ss_cat="large",4,5)))</f>
        <v>NA</v>
      </c>
      <c r="L237" s="354"/>
      <c r="M237" s="35" t="str">
        <f t="shared" si="29"/>
        <v>Valves and Fittings - Motor/Air Operated (on/off)  - Air  Biomass Removal - Stainless Steel</v>
      </c>
      <c r="N237" s="694">
        <v>3</v>
      </c>
      <c r="O237" s="694">
        <v>3</v>
      </c>
      <c r="P237" s="694">
        <v>1</v>
      </c>
      <c r="Q237" s="694">
        <v>3</v>
      </c>
      <c r="R237" s="694">
        <v>3</v>
      </c>
      <c r="S237" s="694">
        <v>1</v>
      </c>
      <c r="T237" s="694">
        <v>3</v>
      </c>
      <c r="U237" s="694">
        <v>3</v>
      </c>
      <c r="V237" s="694">
        <v>1</v>
      </c>
      <c r="W237" s="694">
        <f t="shared" si="16"/>
        <v>0</v>
      </c>
      <c r="X237">
        <f t="shared" si="17"/>
        <v>0</v>
      </c>
      <c r="Y237" s="30"/>
    </row>
    <row r="238" spans="1:25" s="870" customFormat="1" x14ac:dyDescent="0.2">
      <c r="A238" s="320" t="s">
        <v>2854</v>
      </c>
      <c r="B238" s="1" t="s">
        <v>4361</v>
      </c>
      <c r="C238" s="555">
        <f>tot_bio_air_MOVs</f>
        <v>0</v>
      </c>
      <c r="D238" s="355" t="s">
        <v>606</v>
      </c>
      <c r="E238" s="195" t="str">
        <f>IF(C238=0,"NA",bio_air_valve_size)</f>
        <v>NA</v>
      </c>
      <c r="F238" s="1" t="str">
        <f t="shared" si="26"/>
        <v/>
      </c>
      <c r="G238" s="195" t="str">
        <f>IF(C238=0,"NA",IF(curve=1,bio_air_valve_size,VLOOKUP(bio_air_valve_size,ci_mov_cost_cl,2)))</f>
        <v>NA</v>
      </c>
      <c r="H238" s="510" t="str">
        <f t="shared" si="27"/>
        <v/>
      </c>
      <c r="I238" s="686">
        <f>IF(C238=0,0,IF(curve=1,ci_mov_eq_bio_air,VLOOKUP(bio_air_valve_size,ci_mov_cost_cl,3)))</f>
        <v>0</v>
      </c>
      <c r="J238" s="356">
        <f t="shared" si="28"/>
        <v>0</v>
      </c>
      <c r="K238" s="195" t="str">
        <f>IF(C238=0,"NA",VLOOKUP(bio_air_valve_size,ci_mov_cost_cl,IF(ss_cat="large",4,5)))</f>
        <v>NA</v>
      </c>
      <c r="L238" s="354"/>
      <c r="M238" s="35" t="str">
        <f t="shared" si="29"/>
        <v>Valves and Fittings - Motor/Air Operated (on/off)  - Air  Biomass Removal - Cast Iron</v>
      </c>
      <c r="N238" s="694">
        <v>2</v>
      </c>
      <c r="O238" s="694">
        <v>1</v>
      </c>
      <c r="P238" s="694">
        <v>2</v>
      </c>
      <c r="Q238" s="694">
        <v>2</v>
      </c>
      <c r="R238" s="694">
        <v>1</v>
      </c>
      <c r="S238" s="694">
        <v>2</v>
      </c>
      <c r="T238" s="694">
        <v>2</v>
      </c>
      <c r="U238" s="694">
        <v>1</v>
      </c>
      <c r="V238" s="694">
        <v>2</v>
      </c>
      <c r="W238" s="694">
        <f t="shared" si="16"/>
        <v>0</v>
      </c>
      <c r="X238">
        <f t="shared" si="17"/>
        <v>0</v>
      </c>
      <c r="Y238" s="30"/>
    </row>
    <row r="239" spans="1:25" s="870" customFormat="1" x14ac:dyDescent="0.2">
      <c r="A239" s="320" t="s">
        <v>2855</v>
      </c>
      <c r="B239" s="1" t="s">
        <v>4362</v>
      </c>
      <c r="C239" s="555">
        <f>tot_aeration_MOVs</f>
        <v>3</v>
      </c>
      <c r="D239" s="355" t="s">
        <v>606</v>
      </c>
      <c r="E239" s="195">
        <f>IF(C239=0,"NA",air_valve_size)</f>
        <v>2</v>
      </c>
      <c r="F239" s="1" t="str">
        <f t="shared" si="26"/>
        <v>in. diam</v>
      </c>
      <c r="G239" s="195">
        <f>IF(C239=0,"NA",IF(curve=1,aeration_valve_size,VLOOKUP(aeration_valve_size,pp_mov_cost_cl,2)))</f>
        <v>1.5</v>
      </c>
      <c r="H239" s="510" t="str">
        <f t="shared" si="27"/>
        <v>in. diam</v>
      </c>
      <c r="I239" s="686">
        <f>IF(C239=0,0,IF(curve=1,pp_mov_eq_aeration,VLOOKUP(aeration_valve_size,pp_mov_cost_cl,3)))</f>
        <v>787.01404038367423</v>
      </c>
      <c r="J239" s="356">
        <f t="shared" si="28"/>
        <v>2361.0421211510229</v>
      </c>
      <c r="K239" s="195">
        <f>IF(C239=0,"NA",VLOOKUP(aeration_valve_size,pp_mov_cost_cl,IF(ss_cat="large",4,5)))</f>
        <v>20</v>
      </c>
      <c r="L239" s="354">
        <v>1</v>
      </c>
      <c r="M239" s="35" t="str">
        <f t="shared" si="29"/>
        <v>Valves and Fittings - Motor/Air Operated (on/off)  - Aeration - Polypropylene/PVC</v>
      </c>
      <c r="N239" s="694">
        <v>1</v>
      </c>
      <c r="O239" s="694">
        <v>2</v>
      </c>
      <c r="P239" s="694">
        <v>3</v>
      </c>
      <c r="Q239" s="694">
        <v>1</v>
      </c>
      <c r="R239" s="694">
        <v>2</v>
      </c>
      <c r="S239" s="694">
        <v>3</v>
      </c>
      <c r="T239" s="694">
        <v>1</v>
      </c>
      <c r="U239" s="694">
        <v>2</v>
      </c>
      <c r="V239" s="694">
        <v>3</v>
      </c>
      <c r="W239" s="694">
        <f t="shared" si="16"/>
        <v>1</v>
      </c>
      <c r="X239">
        <f t="shared" si="17"/>
        <v>118.05210605755114</v>
      </c>
      <c r="Y239" s="30"/>
    </row>
    <row r="240" spans="1:25" s="870" customFormat="1" x14ac:dyDescent="0.2">
      <c r="A240" s="320" t="s">
        <v>2855</v>
      </c>
      <c r="B240" s="1" t="s">
        <v>4363</v>
      </c>
      <c r="C240" s="555">
        <f>tot_aeration_MOVs</f>
        <v>3</v>
      </c>
      <c r="D240" s="355" t="s">
        <v>606</v>
      </c>
      <c r="E240" s="195">
        <f>IF(C240=0,"NA",air_valve_size)</f>
        <v>2</v>
      </c>
      <c r="F240" s="1" t="str">
        <f t="shared" si="26"/>
        <v>in. diam</v>
      </c>
      <c r="G240" s="195">
        <f>IF(C240=0,"NA",IF(curve=1,aeration_valve_size,VLOOKUP(aeration_valve_size,ss_mov_cost_cl,2)))</f>
        <v>1.5</v>
      </c>
      <c r="H240" s="510" t="str">
        <f t="shared" si="27"/>
        <v>in. diam</v>
      </c>
      <c r="I240" s="686">
        <f>IF(C240=0,0,IF(curve=1,ss_mov_eq_aeration,VLOOKUP(aeration_valve_size,ss_mov_cost_cl,3)))</f>
        <v>1470.6040464835</v>
      </c>
      <c r="J240" s="356">
        <f t="shared" si="28"/>
        <v>4411.8121394504997</v>
      </c>
      <c r="K240" s="195">
        <f>IF(C240=0,"NA",VLOOKUP(aeration_valve_size,ss_mov_cost_cl,IF(ss_cat="large",4,5)))</f>
        <v>20</v>
      </c>
      <c r="L240" s="354">
        <v>0</v>
      </c>
      <c r="M240" s="35" t="str">
        <f t="shared" si="29"/>
        <v>Valves and Fittings - Motor/Air Operated (on/off)  - Aeration - Stainless Steel</v>
      </c>
      <c r="N240" s="694">
        <v>3</v>
      </c>
      <c r="O240" s="694">
        <v>3</v>
      </c>
      <c r="P240" s="694">
        <v>1</v>
      </c>
      <c r="Q240" s="694">
        <v>3</v>
      </c>
      <c r="R240" s="694">
        <v>3</v>
      </c>
      <c r="S240" s="694">
        <v>1</v>
      </c>
      <c r="T240" s="694">
        <v>3</v>
      </c>
      <c r="U240" s="694">
        <v>3</v>
      </c>
      <c r="V240" s="694">
        <v>1</v>
      </c>
      <c r="W240" s="694">
        <f t="shared" si="16"/>
        <v>0</v>
      </c>
      <c r="X240">
        <f t="shared" si="17"/>
        <v>0</v>
      </c>
      <c r="Y240" s="30"/>
    </row>
    <row r="241" spans="1:25" s="870" customFormat="1" x14ac:dyDescent="0.2">
      <c r="A241" s="320" t="s">
        <v>2855</v>
      </c>
      <c r="B241" s="1" t="s">
        <v>4364</v>
      </c>
      <c r="C241" s="555">
        <f>tot_aeration_MOVs</f>
        <v>3</v>
      </c>
      <c r="D241" s="355" t="s">
        <v>606</v>
      </c>
      <c r="E241" s="195">
        <f>IF(C241=0,"NA",air_valve_size)</f>
        <v>2</v>
      </c>
      <c r="F241" s="1" t="str">
        <f t="shared" si="26"/>
        <v>in. diam</v>
      </c>
      <c r="G241" s="195">
        <f>IF(C241=0,"NA",IF(curve=1,aeration_valve_size,VLOOKUP(aeration_valve_size,ci_mov_cost_cl,2)))</f>
        <v>1.5</v>
      </c>
      <c r="H241" s="510" t="str">
        <f t="shared" si="27"/>
        <v>in. diam</v>
      </c>
      <c r="I241" s="686">
        <f>IF(C241=0,0,IF(curve=1,ci_mov_eq_aeration,VLOOKUP(aeration_valve_size,ci_mov_cost_cl,3)))</f>
        <v>791.86955715900012</v>
      </c>
      <c r="J241" s="356">
        <f t="shared" si="28"/>
        <v>2375.6086714770004</v>
      </c>
      <c r="K241" s="195">
        <f>IF(C241=0,"NA",VLOOKUP(aeration_valve_size,ci_mov_cost_cl,IF(ss_cat="large",4,5)))</f>
        <v>20</v>
      </c>
      <c r="L241" s="354">
        <v>0</v>
      </c>
      <c r="M241" s="35" t="str">
        <f t="shared" si="29"/>
        <v>Valves and Fittings - Motor/Air Operated (on/off)  - Aeration - Cast Iron</v>
      </c>
      <c r="N241" s="694">
        <v>2</v>
      </c>
      <c r="O241" s="694">
        <v>1</v>
      </c>
      <c r="P241" s="694">
        <v>2</v>
      </c>
      <c r="Q241" s="694">
        <v>2</v>
      </c>
      <c r="R241" s="694">
        <v>1</v>
      </c>
      <c r="S241" s="694">
        <v>2</v>
      </c>
      <c r="T241" s="694">
        <v>2</v>
      </c>
      <c r="U241" s="694">
        <v>1</v>
      </c>
      <c r="V241" s="694">
        <v>2</v>
      </c>
      <c r="W241" s="694">
        <f t="shared" si="16"/>
        <v>0</v>
      </c>
      <c r="X241">
        <f t="shared" si="17"/>
        <v>0</v>
      </c>
      <c r="Y241" s="30"/>
    </row>
    <row r="242" spans="1:25" s="870" customFormat="1" x14ac:dyDescent="0.2">
      <c r="A242" s="320" t="s">
        <v>2942</v>
      </c>
      <c r="B242" s="1" t="s">
        <v>4366</v>
      </c>
      <c r="C242" s="555">
        <f>tot_coag_MOVs</f>
        <v>5</v>
      </c>
      <c r="D242" s="355" t="s">
        <v>606</v>
      </c>
      <c r="E242" s="195">
        <f>IF(C242=0,"NA",coag_valve_size)</f>
        <v>0.5</v>
      </c>
      <c r="F242" s="1" t="str">
        <f>IF(C242=0,"","in. diam")</f>
        <v>in. diam</v>
      </c>
      <c r="G242" s="195">
        <f>IF(C242=0,"NA",IF(curve=1,coag_valve_size,VLOOKUP(coag_valve_size,pp_mov_cost_cl,2)))</f>
        <v>0.5</v>
      </c>
      <c r="H242" s="510" t="str">
        <f>IF(C242=0,"","in. diam")</f>
        <v>in. diam</v>
      </c>
      <c r="I242" s="686">
        <f>IF(C242=0,0,IF(curve=1,pp_mov_eq_coag,VLOOKUP(coag_valve_size,pp_mov_cost_cl,3)))</f>
        <v>656.06319532697046</v>
      </c>
      <c r="J242" s="356">
        <f>IF(I242="contact vendor","--",C242*I242)</f>
        <v>3280.3159766348522</v>
      </c>
      <c r="K242" s="195">
        <f>IF(C242=0,"NA",VLOOKUP(coag_valve_size,pp_mov_cost_cl,IF(ss_cat="large",4,5)))</f>
        <v>20</v>
      </c>
      <c r="L242" s="354">
        <v>1</v>
      </c>
      <c r="M242" s="35" t="str">
        <f>$B$209 &amp; " - " &amp; $B$210&amp;" "&amp;" - "&amp;B242</f>
        <v>Valves and Fittings - Motor/Air Operated (on/off)  - Ferric Chloride - Polypropylene/PVC</v>
      </c>
      <c r="N242" s="694">
        <v>1</v>
      </c>
      <c r="O242" s="694">
        <v>1</v>
      </c>
      <c r="P242" s="694">
        <v>1</v>
      </c>
      <c r="Q242" s="694">
        <v>1</v>
      </c>
      <c r="R242" s="694">
        <v>1</v>
      </c>
      <c r="S242" s="694">
        <v>1</v>
      </c>
      <c r="T242" s="694">
        <v>1</v>
      </c>
      <c r="U242" s="694">
        <v>1</v>
      </c>
      <c r="V242" s="694">
        <v>1</v>
      </c>
      <c r="W242" s="694">
        <f t="shared" ref="W242" si="30">IF(ISERROR(K242*L242),0,IF(K242&lt;1,0,L242))</f>
        <v>1</v>
      </c>
      <c r="X242">
        <f t="shared" ref="X242" si="31">IF(W242,J242/K242,0)</f>
        <v>164.01579883174261</v>
      </c>
      <c r="Y242" s="30"/>
    </row>
    <row r="243" spans="1:25" s="870" customFormat="1" x14ac:dyDescent="0.2">
      <c r="A243" s="320" t="s">
        <v>4365</v>
      </c>
      <c r="B243" s="1" t="s">
        <v>751</v>
      </c>
      <c r="C243" s="555">
        <f>tot_polymer_MOVs</f>
        <v>4</v>
      </c>
      <c r="D243" s="355" t="s">
        <v>606</v>
      </c>
      <c r="E243" s="195">
        <f>IF(C243=0,"NA",polymer_valve_size)</f>
        <v>0.5</v>
      </c>
      <c r="F243" s="1" t="str">
        <f>IF(C243=0,"","in. diam")</f>
        <v>in. diam</v>
      </c>
      <c r="G243" s="195">
        <f>IF(C243=0,"NA",IF(curve=1,polymer_valve_size,VLOOKUP(polymer_valve_size,pp_mov_cost_cl,2)))</f>
        <v>0.5</v>
      </c>
      <c r="H243" s="510" t="str">
        <f>IF(C243=0,"","in. diam")</f>
        <v>in. diam</v>
      </c>
      <c r="I243" s="686">
        <f>IF(C243=0,0,IF(curve=1,pp_mov_eq_polymer,VLOOKUP(polymer_valve_size,pp_mov_cost_cl,3)))</f>
        <v>656.06319532697046</v>
      </c>
      <c r="J243" s="356">
        <f>IF(I243="contact vendor","--",C243*I243)</f>
        <v>2624.2527813078818</v>
      </c>
      <c r="K243" s="195">
        <f>IF(C243=0,"NA",VLOOKUP(polymer_valve_size,pp_mov_cost_cl,IF(ss_cat="large",4,5)))</f>
        <v>20</v>
      </c>
      <c r="L243" s="354">
        <v>1</v>
      </c>
      <c r="M243" s="35" t="str">
        <f>$B$209 &amp; " - " &amp; $B$210&amp;" "&amp;" - "&amp;B243</f>
        <v>Valves and Fittings - Motor/Air Operated (on/off)  - Polymer - Polypropylene/PVC</v>
      </c>
      <c r="N243" s="694">
        <v>1</v>
      </c>
      <c r="O243" s="694">
        <v>2</v>
      </c>
      <c r="P243" s="694">
        <v>3</v>
      </c>
      <c r="Q243" s="694">
        <v>1</v>
      </c>
      <c r="R243" s="694">
        <v>2</v>
      </c>
      <c r="S243" s="694">
        <v>3</v>
      </c>
      <c r="T243" s="694">
        <v>1</v>
      </c>
      <c r="U243" s="694">
        <v>2</v>
      </c>
      <c r="V243" s="694">
        <v>3</v>
      </c>
      <c r="W243" s="694">
        <f t="shared" si="16"/>
        <v>1</v>
      </c>
      <c r="X243">
        <f t="shared" si="17"/>
        <v>131.21263906539409</v>
      </c>
      <c r="Y243" s="30"/>
    </row>
    <row r="244" spans="1:25" s="870" customFormat="1" x14ac:dyDescent="0.2">
      <c r="A244" s="320" t="s">
        <v>4365</v>
      </c>
      <c r="B244" s="1" t="s">
        <v>752</v>
      </c>
      <c r="C244" s="555">
        <f>tot_polymer_MOVs</f>
        <v>4</v>
      </c>
      <c r="D244" s="355" t="s">
        <v>606</v>
      </c>
      <c r="E244" s="195">
        <f>IF(C244=0,"NA",polymer_valve_size)</f>
        <v>0.5</v>
      </c>
      <c r="F244" s="1" t="str">
        <f>IF(C244=0,"","in. diam")</f>
        <v>in. diam</v>
      </c>
      <c r="G244" s="195">
        <f>IF(C244=0,"NA",IF(curve=1,polymer_valve_size,VLOOKUP(polymer_valve_size,ss_mov_cost_cl,2)))</f>
        <v>0.5</v>
      </c>
      <c r="H244" s="510" t="str">
        <f>IF(C244=0,"","in. diam")</f>
        <v>in. diam</v>
      </c>
      <c r="I244" s="686">
        <f>IF(C244=0,0,IF(curve=1,ss_mov_eq_polymer,VLOOKUP(polymer_valve_size,ss_mov_cost_cl,3)))</f>
        <v>1419.4889475299999</v>
      </c>
      <c r="J244" s="356">
        <f>IF(I244="contact vendor","--",C244*I244)</f>
        <v>5677.9557901199996</v>
      </c>
      <c r="K244" s="195">
        <f>IF(C244=0,"NA",VLOOKUP(polymer_valve_size,ss_mov_cost_cl,IF(ss_cat="large",4,5)))</f>
        <v>20</v>
      </c>
      <c r="L244" s="354">
        <v>0</v>
      </c>
      <c r="M244" s="35" t="str">
        <f>$B$209 &amp; " - " &amp; $B$210&amp;" "&amp;" - "&amp;B244</f>
        <v>Valves and Fittings - Motor/Air Operated (on/off)  - Polymer - Stainless Steel</v>
      </c>
      <c r="N244" s="694">
        <v>3</v>
      </c>
      <c r="O244" s="694">
        <v>3</v>
      </c>
      <c r="P244" s="694">
        <v>1</v>
      </c>
      <c r="Q244" s="694">
        <v>3</v>
      </c>
      <c r="R244" s="694">
        <v>3</v>
      </c>
      <c r="S244" s="694">
        <v>1</v>
      </c>
      <c r="T244" s="694">
        <v>3</v>
      </c>
      <c r="U244" s="694">
        <v>3</v>
      </c>
      <c r="V244" s="694">
        <v>1</v>
      </c>
      <c r="W244" s="694">
        <f t="shared" si="16"/>
        <v>0</v>
      </c>
      <c r="X244">
        <f t="shared" si="17"/>
        <v>0</v>
      </c>
      <c r="Y244" s="30"/>
    </row>
    <row r="245" spans="1:25" s="870" customFormat="1" x14ac:dyDescent="0.2">
      <c r="A245" s="320" t="s">
        <v>4365</v>
      </c>
      <c r="B245" s="1" t="s">
        <v>753</v>
      </c>
      <c r="C245" s="555">
        <f>tot_polymer_MOVs</f>
        <v>4</v>
      </c>
      <c r="D245" s="355" t="s">
        <v>606</v>
      </c>
      <c r="E245" s="195">
        <f>IF(C245=0,"NA",polymer_valve_size)</f>
        <v>0.5</v>
      </c>
      <c r="F245" s="1" t="str">
        <f>IF(C245=0,"","in. diam")</f>
        <v>in. diam</v>
      </c>
      <c r="G245" s="195">
        <f>IF(C245=0,"NA",IF(curve=1,polymer_valve_size,VLOOKUP(polymer_valve_size,ci_mov_cost_cl,2)))</f>
        <v>0.5</v>
      </c>
      <c r="H245" s="510" t="str">
        <f>IF(C245=0,"","in. diam")</f>
        <v>in. diam</v>
      </c>
      <c r="I245" s="686" t="str">
        <f>IF(C245=0,0,IF(curve=1,ci_mov_eq_polymer,VLOOKUP(polymer_valve_size,ci_mov_cost_cl,3)))</f>
        <v>contact vendor</v>
      </c>
      <c r="J245" s="356" t="str">
        <f>IF(I245="contact vendor","--",C245*I245)</f>
        <v>--</v>
      </c>
      <c r="K245" s="195">
        <f>IF(C245=0,"NA",VLOOKUP(polymer_valve_size,ci_mov_cost_cl,IF(ss_cat="large",4,5)))</f>
        <v>20</v>
      </c>
      <c r="L245" s="354">
        <v>0</v>
      </c>
      <c r="M245" s="35" t="str">
        <f>$B$209 &amp; " - " &amp; $B$210&amp;" "&amp;" - "&amp;B245</f>
        <v>Valves and Fittings - Motor/Air Operated (on/off)  - Polymer - Cast Iron</v>
      </c>
      <c r="N245" s="694">
        <v>2</v>
      </c>
      <c r="O245" s="694">
        <v>1</v>
      </c>
      <c r="P245" s="694">
        <v>2</v>
      </c>
      <c r="Q245" s="694">
        <v>2</v>
      </c>
      <c r="R245" s="694">
        <v>1</v>
      </c>
      <c r="S245" s="694">
        <v>2</v>
      </c>
      <c r="T245" s="694">
        <v>2</v>
      </c>
      <c r="U245" s="694">
        <v>1</v>
      </c>
      <c r="V245" s="694">
        <v>2</v>
      </c>
      <c r="W245" s="694">
        <f t="shared" si="16"/>
        <v>0</v>
      </c>
      <c r="X245">
        <f t="shared" si="17"/>
        <v>0</v>
      </c>
      <c r="Y245" s="30"/>
    </row>
    <row r="246" spans="1:25" x14ac:dyDescent="0.2">
      <c r="A246" s="473">
        <v>5.2</v>
      </c>
      <c r="B246" s="13" t="s">
        <v>2551</v>
      </c>
      <c r="C246" s="558"/>
      <c r="D246" s="179"/>
      <c r="E246" s="283"/>
      <c r="F246" s="511"/>
      <c r="G246" s="283"/>
      <c r="H246" s="511"/>
      <c r="I246" s="284"/>
      <c r="J246" s="283"/>
      <c r="K246" s="283"/>
      <c r="L246" s="192"/>
      <c r="M246" s="5"/>
      <c r="N246" s="694"/>
      <c r="O246" s="694"/>
      <c r="P246" s="694"/>
      <c r="Q246" s="694"/>
      <c r="R246" s="694"/>
      <c r="S246" s="694"/>
      <c r="T246" s="694"/>
      <c r="U246" s="694"/>
      <c r="V246" s="694"/>
      <c r="W246" s="694">
        <f t="shared" si="16"/>
        <v>0</v>
      </c>
      <c r="X246">
        <f t="shared" si="17"/>
        <v>0</v>
      </c>
      <c r="Y246"/>
    </row>
    <row r="247" spans="1:25" s="773" customFormat="1" x14ac:dyDescent="0.2">
      <c r="A247" s="320" t="s">
        <v>2483</v>
      </c>
      <c r="B247" s="1" t="s">
        <v>4410</v>
      </c>
      <c r="C247" s="555">
        <f>tot_man_valves</f>
        <v>2</v>
      </c>
      <c r="D247" s="355" t="s">
        <v>606</v>
      </c>
      <c r="E247" s="195">
        <f>in_valve_size</f>
        <v>3</v>
      </c>
      <c r="F247" s="1" t="s">
        <v>1430</v>
      </c>
      <c r="G247" s="195">
        <f>IF(curve=1,in_valve_size,VLOOKUP(in_valve_size,pp_man_cost_cl,2))</f>
        <v>3</v>
      </c>
      <c r="H247" s="510" t="s">
        <v>1430</v>
      </c>
      <c r="I247" s="686">
        <f>IF(curve=1,pp_man_eq,VLOOKUP(in_valve_size,pp_man_cost_cl,3))</f>
        <v>357.23104862500003</v>
      </c>
      <c r="J247" s="356">
        <f t="shared" ref="J247:J254" si="32">IF(I247="contact vendor","--",C247*I247)</f>
        <v>714.46209725000006</v>
      </c>
      <c r="K247" s="195">
        <f>VLOOKUP(in_valve_size,pp_man_cost_cl,IF(ss_cat="large",4,5))</f>
        <v>20</v>
      </c>
      <c r="L247" s="354">
        <v>1</v>
      </c>
      <c r="M247" s="35" t="str">
        <f t="shared" ref="M247:M261" si="33">$B$209&amp;" - "&amp;$B$246&amp;" - "&amp;B247</f>
        <v>Valves and Fittings - Manual - Influent and treated water - Polypropylene/PVC</v>
      </c>
      <c r="N247" s="694">
        <v>1</v>
      </c>
      <c r="O247" s="694">
        <v>2</v>
      </c>
      <c r="P247" s="694">
        <v>3</v>
      </c>
      <c r="Q247" s="694">
        <v>1</v>
      </c>
      <c r="R247" s="694">
        <v>2</v>
      </c>
      <c r="S247" s="694">
        <v>3</v>
      </c>
      <c r="T247" s="694">
        <v>1</v>
      </c>
      <c r="U247" s="694">
        <v>2</v>
      </c>
      <c r="V247" s="694">
        <v>3</v>
      </c>
      <c r="W247" s="694">
        <f t="shared" si="16"/>
        <v>1</v>
      </c>
      <c r="X247">
        <f t="shared" si="17"/>
        <v>35.723104862500001</v>
      </c>
      <c r="Y247" s="1"/>
    </row>
    <row r="248" spans="1:25" s="773" customFormat="1" x14ac:dyDescent="0.2">
      <c r="A248" s="320" t="s">
        <v>2483</v>
      </c>
      <c r="B248" s="1" t="s">
        <v>4411</v>
      </c>
      <c r="C248" s="555">
        <f>tot_man_valves</f>
        <v>2</v>
      </c>
      <c r="D248" s="355" t="s">
        <v>606</v>
      </c>
      <c r="E248" s="195">
        <f>in_valve_size</f>
        <v>3</v>
      </c>
      <c r="F248" s="1" t="s">
        <v>1430</v>
      </c>
      <c r="G248" s="195">
        <f>IF(curve=1,in_valve_size,VLOOKUP(in_valve_size,ss_man_cost_cl,2))</f>
        <v>3</v>
      </c>
      <c r="H248" s="510" t="s">
        <v>1430</v>
      </c>
      <c r="I248" s="686">
        <f>IF(curve=1,ss_man_eq,VLOOKUP(in_valve_size,ss_man_cost_cl,3))</f>
        <v>752.06143456811571</v>
      </c>
      <c r="J248" s="356">
        <f t="shared" si="32"/>
        <v>1504.1228691362314</v>
      </c>
      <c r="K248" s="195">
        <f>VLOOKUP(in_valve_size,ss_man_cost_cl,IF(ss_cat="large",4,5))</f>
        <v>20</v>
      </c>
      <c r="L248" s="354">
        <v>0</v>
      </c>
      <c r="M248" s="35" t="str">
        <f t="shared" si="33"/>
        <v>Valves and Fittings - Manual - Influent and treated water - Stainless Steel</v>
      </c>
      <c r="N248" s="694">
        <v>3</v>
      </c>
      <c r="O248" s="694">
        <v>3</v>
      </c>
      <c r="P248" s="694">
        <v>1</v>
      </c>
      <c r="Q248" s="694">
        <v>3</v>
      </c>
      <c r="R248" s="694">
        <v>3</v>
      </c>
      <c r="S248" s="694">
        <v>1</v>
      </c>
      <c r="T248" s="694">
        <v>3</v>
      </c>
      <c r="U248" s="694">
        <v>3</v>
      </c>
      <c r="V248" s="694">
        <v>1</v>
      </c>
      <c r="W248" s="694">
        <f t="shared" si="16"/>
        <v>0</v>
      </c>
      <c r="X248">
        <f t="shared" si="17"/>
        <v>0</v>
      </c>
      <c r="Y248" s="1"/>
    </row>
    <row r="249" spans="1:25" s="773" customFormat="1" x14ac:dyDescent="0.2">
      <c r="A249" s="320" t="s">
        <v>2483</v>
      </c>
      <c r="B249" s="1" t="s">
        <v>4412</v>
      </c>
      <c r="C249" s="555">
        <f>tot_man_valves</f>
        <v>2</v>
      </c>
      <c r="D249" s="355" t="s">
        <v>606</v>
      </c>
      <c r="E249" s="195">
        <f>in_valve_size</f>
        <v>3</v>
      </c>
      <c r="F249" s="1" t="s">
        <v>1430</v>
      </c>
      <c r="G249" s="195">
        <f>IF(curve=1,in_valve_size,VLOOKUP(in_valve_size,ci_bfv_cost_cl,2))</f>
        <v>3</v>
      </c>
      <c r="H249" s="510" t="s">
        <v>1430</v>
      </c>
      <c r="I249" s="686">
        <f>IF(curve=1,ci_bfv_eq,VLOOKUP(in_valve_size,ci_bfv_cost_cl,3))</f>
        <v>700.10221053138082</v>
      </c>
      <c r="J249" s="356">
        <f t="shared" si="32"/>
        <v>1400.2044210627616</v>
      </c>
      <c r="K249" s="195">
        <f>VLOOKUP(in_valve_size,ci_bfv_cost_cl,IF(ss_cat="large",4,5))</f>
        <v>20</v>
      </c>
      <c r="L249" s="354">
        <v>0</v>
      </c>
      <c r="M249" s="35" t="str">
        <f t="shared" si="33"/>
        <v>Valves and Fittings - Manual - Influent and treated water - Cast Iron</v>
      </c>
      <c r="N249" s="694">
        <v>2</v>
      </c>
      <c r="O249" s="694">
        <v>1</v>
      </c>
      <c r="P249" s="694">
        <v>2</v>
      </c>
      <c r="Q249" s="694">
        <v>2</v>
      </c>
      <c r="R249" s="694">
        <v>1</v>
      </c>
      <c r="S249" s="694">
        <v>2</v>
      </c>
      <c r="T249" s="694">
        <v>2</v>
      </c>
      <c r="U249" s="694">
        <v>1</v>
      </c>
      <c r="V249" s="694">
        <v>2</v>
      </c>
      <c r="W249" s="694">
        <f t="shared" si="16"/>
        <v>0</v>
      </c>
      <c r="X249">
        <f t="shared" si="17"/>
        <v>0</v>
      </c>
      <c r="Y249" s="1"/>
    </row>
    <row r="250" spans="1:25" s="773" customFormat="1" x14ac:dyDescent="0.2">
      <c r="A250" s="320" t="s">
        <v>2246</v>
      </c>
      <c r="B250" s="1" t="s">
        <v>3492</v>
      </c>
      <c r="C250" s="555">
        <f>tot_proc_man</f>
        <v>3</v>
      </c>
      <c r="D250" s="355" t="s">
        <v>606</v>
      </c>
      <c r="E250" s="195">
        <f>tank_valve_size</f>
        <v>2</v>
      </c>
      <c r="F250" s="1" t="s">
        <v>1430</v>
      </c>
      <c r="G250" s="195">
        <f>IF(curve=1,tank_valve_size,VLOOKUP(tank_valve_size,pp_man_cost_cl,2))</f>
        <v>2</v>
      </c>
      <c r="H250" s="510" t="s">
        <v>1430</v>
      </c>
      <c r="I250" s="686">
        <f>IF(curve=1,pp_man_eq_proc,VLOOKUP(tank_valve_size,pp_man_cost_cl,3))</f>
        <v>251.58420200500001</v>
      </c>
      <c r="J250" s="356">
        <f t="shared" si="32"/>
        <v>754.75260601500008</v>
      </c>
      <c r="K250" s="195">
        <f>VLOOKUP(tank_valve_size,pp_man_cost_cl,IF(ss_cat="large",4,5))</f>
        <v>20</v>
      </c>
      <c r="L250" s="354">
        <v>1</v>
      </c>
      <c r="M250" s="35" t="str">
        <f t="shared" si="33"/>
        <v>Valves and Fittings - Manual - Process - Polypropylene/PVC</v>
      </c>
      <c r="N250" s="694">
        <v>1</v>
      </c>
      <c r="O250" s="694">
        <v>2</v>
      </c>
      <c r="P250" s="694">
        <v>3</v>
      </c>
      <c r="Q250" s="694">
        <v>1</v>
      </c>
      <c r="R250" s="694">
        <v>2</v>
      </c>
      <c r="S250" s="694">
        <v>3</v>
      </c>
      <c r="T250" s="694">
        <v>1</v>
      </c>
      <c r="U250" s="694">
        <v>2</v>
      </c>
      <c r="V250" s="694">
        <v>3</v>
      </c>
      <c r="W250" s="694">
        <f t="shared" si="16"/>
        <v>1</v>
      </c>
      <c r="X250">
        <f t="shared" si="17"/>
        <v>37.737630300750006</v>
      </c>
      <c r="Y250" s="1"/>
    </row>
    <row r="251" spans="1:25" s="773" customFormat="1" x14ac:dyDescent="0.2">
      <c r="A251" s="320" t="s">
        <v>2246</v>
      </c>
      <c r="B251" s="1" t="s">
        <v>3493</v>
      </c>
      <c r="C251" s="555">
        <f>tot_proc_man</f>
        <v>3</v>
      </c>
      <c r="D251" s="355" t="s">
        <v>606</v>
      </c>
      <c r="E251" s="195">
        <f>tank_valve_size</f>
        <v>2</v>
      </c>
      <c r="F251" s="1" t="s">
        <v>1430</v>
      </c>
      <c r="G251" s="195">
        <f>IF(curve=1,tank_valve_size,VLOOKUP(tank_valve_size,ss_man_cost_cl,2))</f>
        <v>2</v>
      </c>
      <c r="H251" s="510" t="s">
        <v>1430</v>
      </c>
      <c r="I251" s="686">
        <f>IF(curve=1,ss_man_eq_proc,VLOOKUP(tank_valve_size,ss_man_cost_cl,3))</f>
        <v>516.69091078376778</v>
      </c>
      <c r="J251" s="356">
        <f t="shared" si="32"/>
        <v>1550.0727323513033</v>
      </c>
      <c r="K251" s="195">
        <f>VLOOKUP(tank_valve_size,ss_man_cost_cl,IF(ss_cat="large",4,5))</f>
        <v>20</v>
      </c>
      <c r="L251" s="354">
        <v>0</v>
      </c>
      <c r="M251" s="35" t="str">
        <f t="shared" si="33"/>
        <v>Valves and Fittings - Manual - Process - Stainless Steel</v>
      </c>
      <c r="N251" s="694">
        <v>3</v>
      </c>
      <c r="O251" s="694">
        <v>3</v>
      </c>
      <c r="P251" s="694">
        <v>1</v>
      </c>
      <c r="Q251" s="694">
        <v>3</v>
      </c>
      <c r="R251" s="694">
        <v>3</v>
      </c>
      <c r="S251" s="694">
        <v>1</v>
      </c>
      <c r="T251" s="694">
        <v>3</v>
      </c>
      <c r="U251" s="694">
        <v>3</v>
      </c>
      <c r="V251" s="694">
        <v>1</v>
      </c>
      <c r="W251" s="694">
        <f t="shared" si="16"/>
        <v>0</v>
      </c>
      <c r="X251">
        <f t="shared" si="17"/>
        <v>0</v>
      </c>
      <c r="Y251" s="1"/>
    </row>
    <row r="252" spans="1:25" s="773" customFormat="1" x14ac:dyDescent="0.2">
      <c r="A252" s="320" t="s">
        <v>2246</v>
      </c>
      <c r="B252" s="1" t="s">
        <v>3494</v>
      </c>
      <c r="C252" s="555">
        <f>tot_proc_man</f>
        <v>3</v>
      </c>
      <c r="D252" s="355" t="s">
        <v>606</v>
      </c>
      <c r="E252" s="195">
        <f>tank_valve_size</f>
        <v>2</v>
      </c>
      <c r="F252" s="1" t="s">
        <v>1430</v>
      </c>
      <c r="G252" s="195">
        <f>IF(curve=1,tank_valve_size,VLOOKUP(tank_valve_size,ci_bfv_cost_cl,2))</f>
        <v>2</v>
      </c>
      <c r="H252" s="510" t="s">
        <v>1430</v>
      </c>
      <c r="I252" s="686">
        <f>IF(curve=1,ci_bfv_eq_proc,VLOOKUP(tank_valve_size,ci_bfv_cost_cl,3))</f>
        <v>458.04131845257473</v>
      </c>
      <c r="J252" s="356">
        <f t="shared" si="32"/>
        <v>1374.1239553577243</v>
      </c>
      <c r="K252" s="195">
        <f>VLOOKUP(tank_valve_size,ci_bfv_cost_cl,IF(ss_cat="large",4,5))</f>
        <v>20</v>
      </c>
      <c r="L252" s="354">
        <v>0</v>
      </c>
      <c r="M252" s="35" t="str">
        <f t="shared" si="33"/>
        <v>Valves and Fittings - Manual - Process - Cast Iron</v>
      </c>
      <c r="N252" s="694">
        <v>2</v>
      </c>
      <c r="O252" s="694">
        <v>1</v>
      </c>
      <c r="P252" s="694">
        <v>2</v>
      </c>
      <c r="Q252" s="694">
        <v>2</v>
      </c>
      <c r="R252" s="694">
        <v>1</v>
      </c>
      <c r="S252" s="694">
        <v>2</v>
      </c>
      <c r="T252" s="694">
        <v>2</v>
      </c>
      <c r="U252" s="694">
        <v>1</v>
      </c>
      <c r="V252" s="694">
        <v>2</v>
      </c>
      <c r="W252" s="694">
        <f t="shared" si="16"/>
        <v>0</v>
      </c>
      <c r="X252">
        <f t="shared" si="17"/>
        <v>0</v>
      </c>
      <c r="Y252" s="1"/>
    </row>
    <row r="253" spans="1:25" s="870" customFormat="1" x14ac:dyDescent="0.2">
      <c r="A253" s="320" t="s">
        <v>2247</v>
      </c>
      <c r="B253" s="1" t="s">
        <v>3495</v>
      </c>
      <c r="C253" s="555">
        <f>tot_back_man</f>
        <v>0</v>
      </c>
      <c r="D253" s="355" t="s">
        <v>606</v>
      </c>
      <c r="E253" s="195">
        <f>back_valve_size</f>
        <v>4</v>
      </c>
      <c r="F253" s="1" t="s">
        <v>1430</v>
      </c>
      <c r="G253" s="195">
        <f>IF(curve=1,back_valve_size,VLOOKUP(back_valve_size,pp_man_cost_cl,2))</f>
        <v>4</v>
      </c>
      <c r="H253" s="510" t="s">
        <v>1430</v>
      </c>
      <c r="I253" s="686">
        <f>IF(curve=1,pp_man_eq_back,VLOOKUP(back_valve_size,pp_man_cost_cl,3))</f>
        <v>487.11354229300002</v>
      </c>
      <c r="J253" s="356">
        <f t="shared" si="32"/>
        <v>0</v>
      </c>
      <c r="K253" s="195">
        <f>VLOOKUP(back_valve_size,pp_man_cost_cl,IF(ss_cat="large",4,5))</f>
        <v>20</v>
      </c>
      <c r="L253" s="354"/>
      <c r="M253" s="35" t="str">
        <f t="shared" si="33"/>
        <v>Valves and Fittings - Manual - Backwash - Polypropylene/PVC</v>
      </c>
      <c r="N253" s="694">
        <v>1</v>
      </c>
      <c r="O253" s="694">
        <v>2</v>
      </c>
      <c r="P253" s="694">
        <v>3</v>
      </c>
      <c r="Q253" s="694">
        <v>1</v>
      </c>
      <c r="R253" s="694">
        <v>2</v>
      </c>
      <c r="S253" s="694">
        <v>3</v>
      </c>
      <c r="T253" s="694">
        <v>1</v>
      </c>
      <c r="U253" s="694">
        <v>2</v>
      </c>
      <c r="V253" s="694">
        <v>3</v>
      </c>
      <c r="W253" s="694">
        <f t="shared" si="16"/>
        <v>0</v>
      </c>
      <c r="X253">
        <f t="shared" si="17"/>
        <v>0</v>
      </c>
      <c r="Y253" s="30"/>
    </row>
    <row r="254" spans="1:25" s="870" customFormat="1" x14ac:dyDescent="0.2">
      <c r="A254" s="320" t="s">
        <v>2247</v>
      </c>
      <c r="B254" s="1" t="s">
        <v>3496</v>
      </c>
      <c r="C254" s="555">
        <f>tot_back_man</f>
        <v>0</v>
      </c>
      <c r="D254" s="355" t="s">
        <v>606</v>
      </c>
      <c r="E254" s="195">
        <f>back_valve_size</f>
        <v>4</v>
      </c>
      <c r="F254" s="1" t="s">
        <v>1430</v>
      </c>
      <c r="G254" s="195">
        <f>IF(curve=1,back_valve_size,VLOOKUP(back_valve_size,ss_man_cost_cl,2))</f>
        <v>4</v>
      </c>
      <c r="H254" s="510" t="s">
        <v>1430</v>
      </c>
      <c r="I254" s="686">
        <f>IF(curve=1,ss_man_eq_back,VLOOKUP(back_valve_size,ss_man_cost_cl,3))</f>
        <v>981.56625867975288</v>
      </c>
      <c r="J254" s="356">
        <f t="shared" si="32"/>
        <v>0</v>
      </c>
      <c r="K254" s="195">
        <f>VLOOKUP(back_valve_size,ss_man_cost_cl,IF(ss_cat="large",4,5))</f>
        <v>20</v>
      </c>
      <c r="L254" s="354"/>
      <c r="M254" s="35" t="str">
        <f t="shared" si="33"/>
        <v>Valves and Fittings - Manual - Backwash - Stainless Steel</v>
      </c>
      <c r="N254" s="694">
        <v>3</v>
      </c>
      <c r="O254" s="694">
        <v>3</v>
      </c>
      <c r="P254" s="694">
        <v>1</v>
      </c>
      <c r="Q254" s="694">
        <v>3</v>
      </c>
      <c r="R254" s="694">
        <v>3</v>
      </c>
      <c r="S254" s="694">
        <v>1</v>
      </c>
      <c r="T254" s="694">
        <v>3</v>
      </c>
      <c r="U254" s="694">
        <v>3</v>
      </c>
      <c r="V254" s="694">
        <v>1</v>
      </c>
      <c r="W254" s="694">
        <f t="shared" si="16"/>
        <v>0</v>
      </c>
      <c r="X254">
        <f t="shared" si="17"/>
        <v>0</v>
      </c>
      <c r="Y254" s="30"/>
    </row>
    <row r="255" spans="1:25" s="870" customFormat="1" x14ac:dyDescent="0.2">
      <c r="A255" s="320" t="s">
        <v>2247</v>
      </c>
      <c r="B255" s="1" t="s">
        <v>1159</v>
      </c>
      <c r="C255" s="555">
        <f>tot_back_man</f>
        <v>0</v>
      </c>
      <c r="D255" s="355" t="s">
        <v>606</v>
      </c>
      <c r="E255" s="195">
        <f>back_valve_size</f>
        <v>4</v>
      </c>
      <c r="F255" s="1" t="s">
        <v>1430</v>
      </c>
      <c r="G255" s="195">
        <f>IF(curve=1,back_valve_size,VLOOKUP(back_valve_size,ci_bfv_cost_cl,2))</f>
        <v>4</v>
      </c>
      <c r="H255" s="510" t="s">
        <v>1430</v>
      </c>
      <c r="I255" s="686">
        <f>IF(curve=1,ci_man_eq_back,VLOOKUP(back_valve_size,ci_bfv_cost_cl,3))</f>
        <v>946.00563627706163</v>
      </c>
      <c r="J255" s="356">
        <f>IF(I255="contact vendor","--",C255*I255)</f>
        <v>0</v>
      </c>
      <c r="K255" s="195">
        <f>VLOOKUP(back_valve_size,ci_bfv_cost_cl,IF(ss_cat="large",4,5))</f>
        <v>20</v>
      </c>
      <c r="L255" s="354"/>
      <c r="M255" s="35" t="str">
        <f t="shared" si="33"/>
        <v>Valves and Fittings - Manual - Backwash - Cast Iron</v>
      </c>
      <c r="N255" s="694">
        <v>2</v>
      </c>
      <c r="O255" s="694">
        <v>1</v>
      </c>
      <c r="P255" s="694">
        <v>2</v>
      </c>
      <c r="Q255" s="694">
        <v>2</v>
      </c>
      <c r="R255" s="694">
        <v>1</v>
      </c>
      <c r="S255" s="694">
        <v>2</v>
      </c>
      <c r="T255" s="694">
        <v>2</v>
      </c>
      <c r="U255" s="694">
        <v>1</v>
      </c>
      <c r="V255" s="694">
        <v>2</v>
      </c>
      <c r="W255" s="694">
        <f t="shared" si="16"/>
        <v>0</v>
      </c>
      <c r="X255">
        <f t="shared" si="17"/>
        <v>0</v>
      </c>
      <c r="Y255" s="30"/>
    </row>
    <row r="256" spans="1:25" s="870" customFormat="1" x14ac:dyDescent="0.2">
      <c r="A256" s="320" t="s">
        <v>2248</v>
      </c>
      <c r="B256" s="1" t="s">
        <v>2083</v>
      </c>
      <c r="C256" s="555">
        <f>tot_e_donor_man</f>
        <v>0</v>
      </c>
      <c r="D256" s="355" t="s">
        <v>606</v>
      </c>
      <c r="E256" s="195">
        <f>e_donor_valve_size</f>
        <v>0.5</v>
      </c>
      <c r="F256" s="1" t="s">
        <v>1430</v>
      </c>
      <c r="G256" s="195">
        <f>IF(curve=1,e_donor_valve_size,VLOOKUP(e_donor_valve_size,pp_man_cost_cl,2))</f>
        <v>0.5</v>
      </c>
      <c r="H256" s="510" t="s">
        <v>1430</v>
      </c>
      <c r="I256" s="686">
        <f>IF(curve=1,pp_man_eq_e_donor,VLOOKUP(e_donor_valve_size,pp_man_cost_cl,3))</f>
        <v>138.55577029</v>
      </c>
      <c r="J256" s="356">
        <f>IF(I256="contact vendor","--",C256*I256)</f>
        <v>0</v>
      </c>
      <c r="K256" s="195">
        <f>VLOOKUP(e_donor_valve_size,pp_man_cost_cl,IF(ss_cat="large",4,5))</f>
        <v>20</v>
      </c>
      <c r="L256" s="354"/>
      <c r="M256" s="35" t="str">
        <f t="shared" si="33"/>
        <v>Valves and Fittings - Manual - Electron Donor - Polypropylene/PVC</v>
      </c>
      <c r="N256" s="694">
        <v>1</v>
      </c>
      <c r="O256" s="694">
        <v>2</v>
      </c>
      <c r="P256" s="694">
        <v>2</v>
      </c>
      <c r="Q256" s="694">
        <v>1</v>
      </c>
      <c r="R256" s="694">
        <v>2</v>
      </c>
      <c r="S256" s="694">
        <v>2</v>
      </c>
      <c r="T256" s="694">
        <v>1</v>
      </c>
      <c r="U256" s="694">
        <v>2</v>
      </c>
      <c r="V256" s="694">
        <v>2</v>
      </c>
      <c r="W256" s="694">
        <f t="shared" si="16"/>
        <v>0</v>
      </c>
      <c r="X256">
        <f t="shared" si="17"/>
        <v>0</v>
      </c>
      <c r="Y256" s="30"/>
    </row>
    <row r="257" spans="1:25" s="870" customFormat="1" x14ac:dyDescent="0.2">
      <c r="A257" s="320" t="s">
        <v>2248</v>
      </c>
      <c r="B257" s="1" t="s">
        <v>2084</v>
      </c>
      <c r="C257" s="555">
        <f>tot_e_donor_man</f>
        <v>0</v>
      </c>
      <c r="D257" s="355" t="s">
        <v>606</v>
      </c>
      <c r="E257" s="195">
        <f>e_donor_valve_size</f>
        <v>0.5</v>
      </c>
      <c r="F257" s="1" t="s">
        <v>1430</v>
      </c>
      <c r="G257" s="195">
        <f>IF(curve=1,e_donor_valve_size,VLOOKUP(e_donor_valve_size,ss_man_cost_cl,2))</f>
        <v>0.5</v>
      </c>
      <c r="H257" s="510" t="s">
        <v>1430</v>
      </c>
      <c r="I257" s="686">
        <f>IF(curve=1,ss_man_eq_e_donor,VLOOKUP(e_donor_valve_size,ss_man_cost_cl,3))</f>
        <v>143.17039505495234</v>
      </c>
      <c r="J257" s="356">
        <f>IF(I257="contact vendor","--",C257*I257)</f>
        <v>0</v>
      </c>
      <c r="K257" s="195">
        <f>VLOOKUP(e_donor_valve_size,ss_man_cost_cl,IF(ss_cat="large",4,5))</f>
        <v>20</v>
      </c>
      <c r="L257" s="354"/>
      <c r="M257" s="35" t="str">
        <f t="shared" si="33"/>
        <v>Valves and Fittings - Manual - Electron Donor - Stainless Steel</v>
      </c>
      <c r="N257" s="694">
        <v>2</v>
      </c>
      <c r="O257" s="694">
        <v>1</v>
      </c>
      <c r="P257" s="694">
        <v>1</v>
      </c>
      <c r="Q257" s="694">
        <v>2</v>
      </c>
      <c r="R257" s="694">
        <v>1</v>
      </c>
      <c r="S257" s="694">
        <v>1</v>
      </c>
      <c r="T257" s="694">
        <v>2</v>
      </c>
      <c r="U257" s="694">
        <v>1</v>
      </c>
      <c r="V257" s="694">
        <v>1</v>
      </c>
      <c r="W257" s="694">
        <f t="shared" si="16"/>
        <v>0</v>
      </c>
      <c r="X257">
        <f t="shared" si="17"/>
        <v>0</v>
      </c>
      <c r="Y257" s="30"/>
    </row>
    <row r="258" spans="1:25" s="870" customFormat="1" x14ac:dyDescent="0.2">
      <c r="A258" s="320" t="s">
        <v>2249</v>
      </c>
      <c r="B258" s="1" t="s">
        <v>2085</v>
      </c>
      <c r="C258" s="555">
        <f>tot_NH4Cl_man</f>
        <v>0</v>
      </c>
      <c r="D258" s="355" t="s">
        <v>606</v>
      </c>
      <c r="E258" s="195">
        <f>NH4Cl_valve_size</f>
        <v>0</v>
      </c>
      <c r="F258" s="1" t="s">
        <v>1430</v>
      </c>
      <c r="G258" s="195">
        <f>IF(curve=1,NH4Cl_valve_size,VLOOKUP(NH4Cl_valve_size,pp_man_cost_cl,2))</f>
        <v>0</v>
      </c>
      <c r="H258" s="510" t="s">
        <v>1430</v>
      </c>
      <c r="I258" s="686" t="str">
        <f>IF(C258=0,"NA",IF(curve=1,pp_man_eq_NH4Cl,VLOOKUP(NH4Cl_valve_size,pp_man_cost_cl,3)))</f>
        <v>NA</v>
      </c>
      <c r="J258" s="356" t="str">
        <f>IF(OR(C258=0,I258="contact vendor"),"--",C258*I258)</f>
        <v>--</v>
      </c>
      <c r="K258" s="195">
        <f>VLOOKUP(NH4Cl_valve_size,pp_man_cost_cl,IF(ss_cat="large",4,5))</f>
        <v>20</v>
      </c>
      <c r="L258" s="354"/>
      <c r="M258" s="35" t="str">
        <f t="shared" si="33"/>
        <v>Valves and Fittings - Manual - Ammonium Chloride - Polypropylene/PVC</v>
      </c>
      <c r="N258" s="694">
        <v>1</v>
      </c>
      <c r="O258" s="694">
        <v>2</v>
      </c>
      <c r="P258" s="694">
        <v>2</v>
      </c>
      <c r="Q258" s="694">
        <v>1</v>
      </c>
      <c r="R258" s="694">
        <v>2</v>
      </c>
      <c r="S258" s="694">
        <v>2</v>
      </c>
      <c r="T258" s="694">
        <v>1</v>
      </c>
      <c r="U258" s="694">
        <v>2</v>
      </c>
      <c r="V258" s="694">
        <v>2</v>
      </c>
      <c r="W258" s="694">
        <f t="shared" si="16"/>
        <v>0</v>
      </c>
      <c r="X258">
        <f t="shared" si="17"/>
        <v>0</v>
      </c>
      <c r="Y258" s="30"/>
    </row>
    <row r="259" spans="1:25" s="870" customFormat="1" x14ac:dyDescent="0.2">
      <c r="A259" s="320" t="s">
        <v>2249</v>
      </c>
      <c r="B259" s="1" t="s">
        <v>2086</v>
      </c>
      <c r="C259" s="555">
        <f>tot_NH4Cl_man</f>
        <v>0</v>
      </c>
      <c r="D259" s="355" t="s">
        <v>606</v>
      </c>
      <c r="E259" s="195">
        <f>NH4Cl_valve_size</f>
        <v>0</v>
      </c>
      <c r="F259" s="1" t="s">
        <v>1430</v>
      </c>
      <c r="G259" s="195">
        <f>IF(curve=1,NH4Cl_valve_size,VLOOKUP(NH4Cl_valve_size,ss_man_cost_cl,2))</f>
        <v>0</v>
      </c>
      <c r="H259" s="510" t="s">
        <v>1430</v>
      </c>
      <c r="I259" s="686" t="str">
        <f>IF(C259=0,"NA",IF(curve=1,ss_man_eq_NH4Cl,VLOOKUP(NH4Cl_valve_size,ss_man_cost_cl,3)))</f>
        <v>NA</v>
      </c>
      <c r="J259" s="356" t="str">
        <f>IF(OR(C259=0,I259="contact vendor"),"--",C259*I259)</f>
        <v>--</v>
      </c>
      <c r="K259" s="195">
        <f>VLOOKUP(NH4Cl_valve_size,ss_man_cost_cl,IF(ss_cat="large",4,5))</f>
        <v>20</v>
      </c>
      <c r="L259" s="354"/>
      <c r="M259" s="35" t="str">
        <f t="shared" si="33"/>
        <v>Valves and Fittings - Manual - Ammonium Chloride - Stainless Steel</v>
      </c>
      <c r="N259" s="694">
        <v>2</v>
      </c>
      <c r="O259" s="694">
        <v>1</v>
      </c>
      <c r="P259" s="694">
        <v>1</v>
      </c>
      <c r="Q259" s="694">
        <v>2</v>
      </c>
      <c r="R259" s="694">
        <v>1</v>
      </c>
      <c r="S259" s="694">
        <v>1</v>
      </c>
      <c r="T259" s="694">
        <v>2</v>
      </c>
      <c r="U259" s="694">
        <v>1</v>
      </c>
      <c r="V259" s="694">
        <v>1</v>
      </c>
      <c r="W259" s="694">
        <f t="shared" ref="W259:W324" si="34">IF(ISERROR(K259*L259),0,IF(K259&lt;1,0,L259))</f>
        <v>0</v>
      </c>
      <c r="X259">
        <f t="shared" ref="X259:X324" si="35">IF(W259,J259/K259,0)</f>
        <v>0</v>
      </c>
      <c r="Y259" s="30"/>
    </row>
    <row r="260" spans="1:25" s="870" customFormat="1" x14ac:dyDescent="0.2">
      <c r="A260" s="320" t="s">
        <v>2250</v>
      </c>
      <c r="B260" s="1" t="s">
        <v>2087</v>
      </c>
      <c r="C260" s="555">
        <f>tot_H3PO4_man</f>
        <v>0</v>
      </c>
      <c r="D260" s="355" t="s">
        <v>606</v>
      </c>
      <c r="E260" s="195">
        <f>H3PO4_valve_size</f>
        <v>0.5</v>
      </c>
      <c r="F260" s="1" t="s">
        <v>1430</v>
      </c>
      <c r="G260" s="195">
        <f>IF(curve=1,H3PO4_valve_size,VLOOKUP(H3PO4_valve_size,pp_man_cost_cl,2))</f>
        <v>0.5</v>
      </c>
      <c r="H260" s="510" t="s">
        <v>1430</v>
      </c>
      <c r="I260" s="686" t="str">
        <f>IF(C260=0,"NA",IF(curve=1,pp_man_eq_H3PO4,VLOOKUP(H3PO4_valve_size,pp_man_cost_cl,3)))</f>
        <v>NA</v>
      </c>
      <c r="J260" s="356" t="str">
        <f>IF(OR(C260=0,I260="contact vendor"),"--",C260*I260)</f>
        <v>--</v>
      </c>
      <c r="K260" s="195">
        <f>VLOOKUP(H3PO4_valve_size,pp_man_cost_cl,IF(ss_cat="large",4,5))</f>
        <v>20</v>
      </c>
      <c r="L260" s="354"/>
      <c r="M260" s="35" t="str">
        <f t="shared" si="33"/>
        <v>Valves and Fittings - Manual - Phosphoric Acid - Polypropylene/PVC</v>
      </c>
      <c r="N260" s="694">
        <v>1</v>
      </c>
      <c r="O260" s="694">
        <v>2</v>
      </c>
      <c r="P260" s="694">
        <v>2</v>
      </c>
      <c r="Q260" s="694">
        <v>1</v>
      </c>
      <c r="R260" s="694">
        <v>2</v>
      </c>
      <c r="S260" s="694">
        <v>2</v>
      </c>
      <c r="T260" s="694">
        <v>1</v>
      </c>
      <c r="U260" s="694">
        <v>2</v>
      </c>
      <c r="V260" s="694">
        <v>2</v>
      </c>
      <c r="W260" s="694">
        <f t="shared" si="34"/>
        <v>0</v>
      </c>
      <c r="X260">
        <f t="shared" si="35"/>
        <v>0</v>
      </c>
      <c r="Y260" s="30"/>
    </row>
    <row r="261" spans="1:25" s="870" customFormat="1" x14ac:dyDescent="0.2">
      <c r="A261" s="320" t="s">
        <v>2250</v>
      </c>
      <c r="B261" s="1" t="s">
        <v>2088</v>
      </c>
      <c r="C261" s="555">
        <f>tot_H3PO4_man</f>
        <v>0</v>
      </c>
      <c r="D261" s="355" t="s">
        <v>606</v>
      </c>
      <c r="E261" s="195">
        <f>H3PO4_valve_size</f>
        <v>0.5</v>
      </c>
      <c r="F261" s="1" t="s">
        <v>1430</v>
      </c>
      <c r="G261" s="195">
        <f>IF(curve=1,H3PO4_valve_size,VLOOKUP(H3PO4_valve_size,ss_man_cost_cl,2))</f>
        <v>0.5</v>
      </c>
      <c r="H261" s="510" t="s">
        <v>1430</v>
      </c>
      <c r="I261" s="686" t="str">
        <f>IF(C261=0,"NA",IF(curve=1,ss_man_eq_H3PO4,VLOOKUP(H3PO4_valve_size,ss_man_cost_cl,3)))</f>
        <v>NA</v>
      </c>
      <c r="J261" s="356" t="str">
        <f>IF(OR(C261=0,I261="contact vendor"),"--",C261*I261)</f>
        <v>--</v>
      </c>
      <c r="K261" s="195">
        <f>VLOOKUP(H3PO4_valve_size,ss_man_cost_cl,IF(ss_cat="large",4,5))</f>
        <v>20</v>
      </c>
      <c r="L261" s="354"/>
      <c r="M261" s="35" t="str">
        <f t="shared" si="33"/>
        <v>Valves and Fittings - Manual - Phosphoric Acid - Stainless Steel</v>
      </c>
      <c r="N261" s="694">
        <v>2</v>
      </c>
      <c r="O261" s="694">
        <v>1</v>
      </c>
      <c r="P261" s="694">
        <v>1</v>
      </c>
      <c r="Q261" s="694">
        <v>2</v>
      </c>
      <c r="R261" s="694">
        <v>1</v>
      </c>
      <c r="S261" s="694">
        <v>1</v>
      </c>
      <c r="T261" s="694">
        <v>2</v>
      </c>
      <c r="U261" s="694">
        <v>1</v>
      </c>
      <c r="V261" s="694">
        <v>1</v>
      </c>
      <c r="W261" s="694">
        <f t="shared" si="34"/>
        <v>0</v>
      </c>
      <c r="X261">
        <f t="shared" si="35"/>
        <v>0</v>
      </c>
      <c r="Y261" s="30"/>
    </row>
    <row r="262" spans="1:25" s="870" customFormat="1" x14ac:dyDescent="0.2">
      <c r="A262" s="320" t="s">
        <v>2251</v>
      </c>
      <c r="B262" s="1" t="s">
        <v>1160</v>
      </c>
      <c r="C262" s="555">
        <f>IF(bp_pct&gt;0,tot_bp_man,0)</f>
        <v>0</v>
      </c>
      <c r="D262" s="355" t="s">
        <v>606</v>
      </c>
      <c r="E262" s="195" t="str">
        <f>IF(bp_pct=0,"NA",bypass_valve_size)</f>
        <v>NA</v>
      </c>
      <c r="F262" s="1" t="str">
        <f>IF(bp_pct=0," ","in. diam")</f>
        <v xml:space="preserve"> </v>
      </c>
      <c r="G262" s="195" t="str">
        <f>IF(bp_pct=0,"NA",(IF(curve=1,bypass_valve_size,VLOOKUP(bypass_valve_size,pp_man_cost_cl,2))))</f>
        <v>NA</v>
      </c>
      <c r="H262" s="510" t="str">
        <f>IF(bp_pct=0," ","in. diam")</f>
        <v xml:space="preserve"> </v>
      </c>
      <c r="I262" s="686" t="str">
        <f>IF(bp_pct=0,"NA",(IF(curve=1,pp_man_eq_bp,VLOOKUP(bypass_valve_size,pp_man_cost_cl,3))))</f>
        <v>NA</v>
      </c>
      <c r="J262" s="356">
        <f>IF(bp_pct=0,0,IF(I262="contact vendor","--",C262*I262))</f>
        <v>0</v>
      </c>
      <c r="K262" s="195" t="str">
        <f>IF(bp_pct=0,"NA",VLOOKUP(bypass_valve_size,pp_man_cost_cl,IF(ss_cat="large",4,5)))</f>
        <v>NA</v>
      </c>
      <c r="L262" s="354"/>
      <c r="M262" s="35" t="str">
        <f t="shared" ref="M262:M274" si="36">$B$209&amp;" - "&amp;$B$246&amp;" - "&amp;B262</f>
        <v>Valves and Fittings - Manual - Bypass - Polypropylene/PVC</v>
      </c>
      <c r="N262" s="694">
        <v>1</v>
      </c>
      <c r="O262" s="694">
        <v>2</v>
      </c>
      <c r="P262" s="694">
        <v>3</v>
      </c>
      <c r="Q262" s="694">
        <v>1</v>
      </c>
      <c r="R262" s="694">
        <v>2</v>
      </c>
      <c r="S262" s="694">
        <v>3</v>
      </c>
      <c r="T262" s="694">
        <v>1</v>
      </c>
      <c r="U262" s="694">
        <v>2</v>
      </c>
      <c r="V262" s="694">
        <v>3</v>
      </c>
      <c r="W262" s="694">
        <f t="shared" si="34"/>
        <v>0</v>
      </c>
      <c r="X262">
        <f t="shared" si="35"/>
        <v>0</v>
      </c>
      <c r="Y262" s="30"/>
    </row>
    <row r="263" spans="1:25" s="870" customFormat="1" x14ac:dyDescent="0.2">
      <c r="A263" s="320" t="s">
        <v>2251</v>
      </c>
      <c r="B263" s="1" t="s">
        <v>1161</v>
      </c>
      <c r="C263" s="555">
        <f>IF(bp_pct&gt;0,tot_bp_man,0)</f>
        <v>0</v>
      </c>
      <c r="D263" s="355" t="s">
        <v>606</v>
      </c>
      <c r="E263" s="195" t="str">
        <f>IF(bp_pct=0,"NA",bypass_valve_size)</f>
        <v>NA</v>
      </c>
      <c r="F263" s="1" t="str">
        <f>IF(bp_pct=0," ","in. diam")</f>
        <v xml:space="preserve"> </v>
      </c>
      <c r="G263" s="195" t="str">
        <f>IF(bp_pct=0,"NA",(IF(curve=1,bypass_valve_size,VLOOKUP(bypass_valve_size,ss_man_cost_cl,2))))</f>
        <v>NA</v>
      </c>
      <c r="H263" s="510" t="str">
        <f>IF(bp_pct=0," ","in. diam")</f>
        <v xml:space="preserve"> </v>
      </c>
      <c r="I263" s="686" t="str">
        <f>IF(bp_pct=0,"NA",(IF(curve=1,ss_man_eq_bp,VLOOKUP(bypass_valve_size,ss_man_cost_cl,3))))</f>
        <v>NA</v>
      </c>
      <c r="J263" s="356">
        <f>IF(bp_pct=0,0,IF(I263="contact vendor","--",C263*I263))</f>
        <v>0</v>
      </c>
      <c r="K263" s="195" t="str">
        <f>IF(bp_pct=0,"NA",VLOOKUP(bypass_valve_size,ss_man_cost_cl,IF(ss_cat="large",4,5)))</f>
        <v>NA</v>
      </c>
      <c r="L263" s="354"/>
      <c r="M263" s="35" t="str">
        <f t="shared" si="36"/>
        <v>Valves and Fittings - Manual - Bypass - Stainless Steel</v>
      </c>
      <c r="N263" s="694">
        <v>3</v>
      </c>
      <c r="O263" s="694">
        <v>3</v>
      </c>
      <c r="P263" s="694">
        <v>1</v>
      </c>
      <c r="Q263" s="694">
        <v>3</v>
      </c>
      <c r="R263" s="694">
        <v>3</v>
      </c>
      <c r="S263" s="694">
        <v>1</v>
      </c>
      <c r="T263" s="694">
        <v>3</v>
      </c>
      <c r="U263" s="694">
        <v>3</v>
      </c>
      <c r="V263" s="694">
        <v>1</v>
      </c>
      <c r="W263" s="694">
        <f t="shared" si="34"/>
        <v>0</v>
      </c>
      <c r="X263">
        <f t="shared" si="35"/>
        <v>0</v>
      </c>
      <c r="Y263" s="30"/>
    </row>
    <row r="264" spans="1:25" s="870" customFormat="1" x14ac:dyDescent="0.2">
      <c r="A264" s="320" t="s">
        <v>2251</v>
      </c>
      <c r="B264" s="1" t="s">
        <v>1162</v>
      </c>
      <c r="C264" s="555">
        <f>IF(bp_pct&gt;0,tot_bp_man,0)</f>
        <v>0</v>
      </c>
      <c r="D264" s="355" t="s">
        <v>606</v>
      </c>
      <c r="E264" s="195" t="str">
        <f>IF(bp_pct=0,"NA",bypass_valve_size)</f>
        <v>NA</v>
      </c>
      <c r="F264" s="1" t="str">
        <f>IF(bp_pct=0," ","in. diam")</f>
        <v xml:space="preserve"> </v>
      </c>
      <c r="G264" s="195" t="str">
        <f>IF(bp_pct=0,"NA",(IF(curve=1,bypass_valve_size,VLOOKUP(bypass_valve_size,ci_bfv_cost_cl,2))))</f>
        <v>NA</v>
      </c>
      <c r="H264" s="510" t="str">
        <f>IF(bp_pct=0," ","in. diam")</f>
        <v xml:space="preserve"> </v>
      </c>
      <c r="I264" s="686" t="str">
        <f>IF(bp_pct=0,"NA",(IF(curve=1,ci_man_eq_bp,VLOOKUP(bypass_valve_size,ci_bfv_cost_cl,3))))</f>
        <v>NA</v>
      </c>
      <c r="J264" s="356">
        <f>IF(bp_pct=0,0,IF(I264="contact vendor","--",C264*I264))</f>
        <v>0</v>
      </c>
      <c r="K264" s="195" t="str">
        <f>IF(bp_pct=0,"NA",VLOOKUP(bypass_valve_size,ci_bfv_cost_cl,IF(ss_cat="large",4,5)))</f>
        <v>NA</v>
      </c>
      <c r="L264" s="354"/>
      <c r="M264" s="35" t="str">
        <f t="shared" si="36"/>
        <v>Valves and Fittings - Manual - Bypass - Cast Iron</v>
      </c>
      <c r="N264" s="694">
        <v>2</v>
      </c>
      <c r="O264" s="694">
        <v>1</v>
      </c>
      <c r="P264" s="694">
        <v>2</v>
      </c>
      <c r="Q264" s="694">
        <v>2</v>
      </c>
      <c r="R264" s="694">
        <v>1</v>
      </c>
      <c r="S264" s="694">
        <v>2</v>
      </c>
      <c r="T264" s="694">
        <v>2</v>
      </c>
      <c r="U264" s="694">
        <v>1</v>
      </c>
      <c r="V264" s="694">
        <v>2</v>
      </c>
      <c r="W264" s="694">
        <f t="shared" si="34"/>
        <v>0</v>
      </c>
      <c r="X264">
        <f t="shared" si="35"/>
        <v>0</v>
      </c>
      <c r="Y264" s="30"/>
    </row>
    <row r="265" spans="1:25" s="870" customFormat="1" x14ac:dyDescent="0.2">
      <c r="A265" s="320" t="s">
        <v>2252</v>
      </c>
      <c r="B265" s="1" t="s">
        <v>1772</v>
      </c>
      <c r="C265" s="555">
        <f>total_res_man</f>
        <v>0</v>
      </c>
      <c r="D265" s="355" t="s">
        <v>606</v>
      </c>
      <c r="E265" s="195" t="str">
        <f>IF(C265=0,"NA",res_valve_size)</f>
        <v>NA</v>
      </c>
      <c r="F265" s="1" t="str">
        <f t="shared" ref="F265:F274" si="37">IF(C265=0,"","in. diam")</f>
        <v/>
      </c>
      <c r="G265" s="195" t="str">
        <f>IF(C265=0,"NA",IF(curve=1,res_valve_size,VLOOKUP(res_valve_size,pp_man_cost_cl,2)))</f>
        <v>NA</v>
      </c>
      <c r="H265" s="510" t="str">
        <f t="shared" ref="H265:H274" si="38">IF(C265=0,"","in. diam")</f>
        <v/>
      </c>
      <c r="I265" s="686">
        <f>IF(C265=0,0,IF(curve=1,pp_man_eq_res,VLOOKUP(res_valve_size,pp_man_cost_cl,3)))</f>
        <v>0</v>
      </c>
      <c r="J265" s="356">
        <f t="shared" ref="J265:J270" si="39">IF(I265="contact vendor","--",C265*I265)</f>
        <v>0</v>
      </c>
      <c r="K265" s="195" t="str">
        <f>IF(C265=0,"NA",VLOOKUP(res_valve_size,pp_man_cost_cl,IF(ss_cat="large",4,5)))</f>
        <v>NA</v>
      </c>
      <c r="L265" s="354"/>
      <c r="M265" s="35" t="str">
        <f t="shared" si="36"/>
        <v>Valves and Fittings - Manual - Residuals - Polypropylene/PVC</v>
      </c>
      <c r="N265" s="694">
        <v>1</v>
      </c>
      <c r="O265" s="694">
        <v>2</v>
      </c>
      <c r="P265" s="694">
        <v>3</v>
      </c>
      <c r="Q265" s="694">
        <v>1</v>
      </c>
      <c r="R265" s="694">
        <v>2</v>
      </c>
      <c r="S265" s="694">
        <v>3</v>
      </c>
      <c r="T265" s="694">
        <v>1</v>
      </c>
      <c r="U265" s="694">
        <v>2</v>
      </c>
      <c r="V265" s="694">
        <v>3</v>
      </c>
      <c r="W265" s="694">
        <f t="shared" si="34"/>
        <v>0</v>
      </c>
      <c r="X265">
        <f t="shared" si="35"/>
        <v>0</v>
      </c>
      <c r="Y265" s="30"/>
    </row>
    <row r="266" spans="1:25" s="870" customFormat="1" x14ac:dyDescent="0.2">
      <c r="A266" s="320" t="s">
        <v>2252</v>
      </c>
      <c r="B266" s="1" t="s">
        <v>1773</v>
      </c>
      <c r="C266" s="555">
        <f>total_res_man</f>
        <v>0</v>
      </c>
      <c r="D266" s="355" t="s">
        <v>606</v>
      </c>
      <c r="E266" s="195" t="str">
        <f>IF(C266=0,"NA",res_valve_size)</f>
        <v>NA</v>
      </c>
      <c r="F266" s="1" t="str">
        <f t="shared" si="37"/>
        <v/>
      </c>
      <c r="G266" s="195" t="str">
        <f>IF(C266=0,"NA",IF(curve=1,res_valve_size,VLOOKUP(res_valve_size,ss_man_cost_cl,2)))</f>
        <v>NA</v>
      </c>
      <c r="H266" s="510" t="str">
        <f t="shared" si="38"/>
        <v/>
      </c>
      <c r="I266" s="686">
        <f>IF(C266=0,0,IF(curve=1,ss_man_eq_res,VLOOKUP(res_valve_size,ss_man_cost_cl,3)))</f>
        <v>0</v>
      </c>
      <c r="J266" s="356">
        <f t="shared" si="39"/>
        <v>0</v>
      </c>
      <c r="K266" s="195" t="str">
        <f>IF(C266=0,"NA",VLOOKUP(res_valve_size,ss_man_cost_cl,IF(ss_cat="large",4,5)))</f>
        <v>NA</v>
      </c>
      <c r="L266" s="354"/>
      <c r="M266" s="35" t="str">
        <f t="shared" si="36"/>
        <v>Valves and Fittings - Manual - Residuals - Stainless Steel</v>
      </c>
      <c r="N266" s="694">
        <v>3</v>
      </c>
      <c r="O266" s="694">
        <v>3</v>
      </c>
      <c r="P266" s="694">
        <v>1</v>
      </c>
      <c r="Q266" s="694">
        <v>3</v>
      </c>
      <c r="R266" s="694">
        <v>3</v>
      </c>
      <c r="S266" s="694">
        <v>1</v>
      </c>
      <c r="T266" s="694">
        <v>3</v>
      </c>
      <c r="U266" s="694">
        <v>3</v>
      </c>
      <c r="V266" s="694">
        <v>1</v>
      </c>
      <c r="W266" s="694">
        <f t="shared" si="34"/>
        <v>0</v>
      </c>
      <c r="X266">
        <f t="shared" si="35"/>
        <v>0</v>
      </c>
      <c r="Y266" s="30"/>
    </row>
    <row r="267" spans="1:25" s="870" customFormat="1" x14ac:dyDescent="0.2">
      <c r="A267" s="320" t="s">
        <v>2252</v>
      </c>
      <c r="B267" s="1" t="s">
        <v>1459</v>
      </c>
      <c r="C267" s="555">
        <f>total_res_man</f>
        <v>0</v>
      </c>
      <c r="D267" s="355" t="s">
        <v>606</v>
      </c>
      <c r="E267" s="195" t="str">
        <f>IF(C267=0,"NA",res_valve_size)</f>
        <v>NA</v>
      </c>
      <c r="F267" s="1" t="str">
        <f t="shared" si="37"/>
        <v/>
      </c>
      <c r="G267" s="195" t="str">
        <f>IF(C267=0,"NA",IF(curve=1,res_valve_size,VLOOKUP(res_valve_size,ci_bfv_cost_cl,2)))</f>
        <v>NA</v>
      </c>
      <c r="H267" s="510" t="str">
        <f t="shared" si="38"/>
        <v/>
      </c>
      <c r="I267" s="686">
        <f>IF(C267=0,0,IF(curve=1,ci_man_eq_res,VLOOKUP(res_valve_size,ci_bfv_cost_cl,3)))</f>
        <v>0</v>
      </c>
      <c r="J267" s="356">
        <f t="shared" si="39"/>
        <v>0</v>
      </c>
      <c r="K267" s="195" t="str">
        <f>IF(C267=0,"NA",VLOOKUP(res_valve_size,ci_bfv_cost_cl,IF(ss_cat="large",4,5)))</f>
        <v>NA</v>
      </c>
      <c r="L267" s="354"/>
      <c r="M267" s="35" t="str">
        <f t="shared" si="36"/>
        <v>Valves and Fittings - Manual - Residuals - Cast Iron</v>
      </c>
      <c r="N267" s="694">
        <v>2</v>
      </c>
      <c r="O267" s="694">
        <v>1</v>
      </c>
      <c r="P267" s="694">
        <v>2</v>
      </c>
      <c r="Q267" s="694">
        <v>2</v>
      </c>
      <c r="R267" s="694">
        <v>1</v>
      </c>
      <c r="S267" s="694">
        <v>2</v>
      </c>
      <c r="T267" s="694">
        <v>2</v>
      </c>
      <c r="U267" s="694">
        <v>1</v>
      </c>
      <c r="V267" s="694">
        <v>2</v>
      </c>
      <c r="W267" s="694">
        <f t="shared" si="34"/>
        <v>0</v>
      </c>
      <c r="X267">
        <f t="shared" si="35"/>
        <v>0</v>
      </c>
      <c r="Y267" s="30"/>
    </row>
    <row r="268" spans="1:25" s="870" customFormat="1" x14ac:dyDescent="0.2">
      <c r="A268" s="320" t="s">
        <v>2253</v>
      </c>
      <c r="B268" s="1" t="s">
        <v>4367</v>
      </c>
      <c r="C268" s="555">
        <f>tot_air_man</f>
        <v>0</v>
      </c>
      <c r="D268" s="355" t="s">
        <v>606</v>
      </c>
      <c r="E268" s="195" t="str">
        <f>IF(C268=0,"NA",air_valve_size)</f>
        <v>NA</v>
      </c>
      <c r="F268" s="1" t="str">
        <f t="shared" si="37"/>
        <v/>
      </c>
      <c r="G268" s="195" t="str">
        <f>IF(C268=0,"NA",IF(curve=1,air_valve_size,VLOOKUP(air_valve_size,pp_man_cost_cl,2)))</f>
        <v>NA</v>
      </c>
      <c r="H268" s="510" t="str">
        <f t="shared" si="38"/>
        <v/>
      </c>
      <c r="I268" s="686">
        <f>IF(C268=0,0,IF(curve=1,pp_man_eq_air,VLOOKUP(air_valve_size,pp_man_cost_cl,3)))</f>
        <v>0</v>
      </c>
      <c r="J268" s="356">
        <f t="shared" si="39"/>
        <v>0</v>
      </c>
      <c r="K268" s="195" t="str">
        <f>IF(C268=0,"NA",VLOOKUP(air_valve_size,pp_man_cost_cl,IF(ss_cat="large",4,5)))</f>
        <v>NA</v>
      </c>
      <c r="L268" s="354"/>
      <c r="M268" s="35" t="str">
        <f t="shared" si="36"/>
        <v>Valves and Fittings - Manual - Air Scour - Polypropylene/PVC</v>
      </c>
      <c r="N268" s="694">
        <v>1</v>
      </c>
      <c r="O268" s="694">
        <v>2</v>
      </c>
      <c r="P268" s="694">
        <v>3</v>
      </c>
      <c r="Q268" s="694">
        <v>1</v>
      </c>
      <c r="R268" s="694">
        <v>2</v>
      </c>
      <c r="S268" s="694">
        <v>3</v>
      </c>
      <c r="T268" s="694">
        <v>1</v>
      </c>
      <c r="U268" s="694">
        <v>2</v>
      </c>
      <c r="V268" s="694">
        <v>3</v>
      </c>
      <c r="W268" s="694">
        <f t="shared" si="34"/>
        <v>0</v>
      </c>
      <c r="X268">
        <f t="shared" si="35"/>
        <v>0</v>
      </c>
      <c r="Y268" s="30"/>
    </row>
    <row r="269" spans="1:25" s="870" customFormat="1" x14ac:dyDescent="0.2">
      <c r="A269" s="320" t="s">
        <v>2253</v>
      </c>
      <c r="B269" s="1" t="s">
        <v>4368</v>
      </c>
      <c r="C269" s="555">
        <f>tot_air_man</f>
        <v>0</v>
      </c>
      <c r="D269" s="355" t="s">
        <v>606</v>
      </c>
      <c r="E269" s="195" t="str">
        <f>IF(C269=0,"NA",air_valve_size)</f>
        <v>NA</v>
      </c>
      <c r="F269" s="1" t="str">
        <f t="shared" si="37"/>
        <v/>
      </c>
      <c r="G269" s="195" t="str">
        <f>IF(C269=0,"NA",IF(curve=1,air_valve_size,VLOOKUP(air_valve_size,ss_man_cost_cl,2)))</f>
        <v>NA</v>
      </c>
      <c r="H269" s="510" t="str">
        <f t="shared" si="38"/>
        <v/>
      </c>
      <c r="I269" s="686">
        <f>IF(C269=0,0,IF(curve=1,ss_man_eq_air,VLOOKUP(air_valve_size,ss_man_cost_cl,3)))</f>
        <v>0</v>
      </c>
      <c r="J269" s="356">
        <f t="shared" si="39"/>
        <v>0</v>
      </c>
      <c r="K269" s="195" t="str">
        <f>IF(C269=0,"NA",VLOOKUP(air_valve_size,ss_man_cost_cl,IF(ss_cat="large",4,5)))</f>
        <v>NA</v>
      </c>
      <c r="L269" s="354"/>
      <c r="M269" s="35" t="str">
        <f t="shared" si="36"/>
        <v>Valves and Fittings - Manual - Air Scour - Stainless Steel</v>
      </c>
      <c r="N269" s="694">
        <v>3</v>
      </c>
      <c r="O269" s="694">
        <v>3</v>
      </c>
      <c r="P269" s="694">
        <v>1</v>
      </c>
      <c r="Q269" s="694">
        <v>3</v>
      </c>
      <c r="R269" s="694">
        <v>3</v>
      </c>
      <c r="S269" s="694">
        <v>1</v>
      </c>
      <c r="T269" s="694">
        <v>3</v>
      </c>
      <c r="U269" s="694">
        <v>3</v>
      </c>
      <c r="V269" s="694">
        <v>1</v>
      </c>
      <c r="W269" s="694">
        <f t="shared" si="34"/>
        <v>0</v>
      </c>
      <c r="X269">
        <f t="shared" si="35"/>
        <v>0</v>
      </c>
      <c r="Y269" s="30"/>
    </row>
    <row r="270" spans="1:25" s="870" customFormat="1" x14ac:dyDescent="0.2">
      <c r="A270" s="320" t="s">
        <v>2253</v>
      </c>
      <c r="B270" s="1" t="s">
        <v>4369</v>
      </c>
      <c r="C270" s="555">
        <f>tot_air_man</f>
        <v>0</v>
      </c>
      <c r="D270" s="355" t="s">
        <v>606</v>
      </c>
      <c r="E270" s="195" t="str">
        <f>IF(C270=0,"NA",air_valve_size)</f>
        <v>NA</v>
      </c>
      <c r="F270" s="1" t="str">
        <f t="shared" si="37"/>
        <v/>
      </c>
      <c r="G270" s="195" t="str">
        <f>IF(C270=0,"NA",IF(curve=1,air_valve_size,VLOOKUP(air_valve_size,ci_bfv_cost_cl,2)))</f>
        <v>NA</v>
      </c>
      <c r="H270" s="510" t="str">
        <f t="shared" si="38"/>
        <v/>
      </c>
      <c r="I270" s="686">
        <f>IF(C270=0,0,IF(curve=1,ci_man_eq_air,VLOOKUP(air_valve_size,ci_bfv_cost_cl,3)))</f>
        <v>0</v>
      </c>
      <c r="J270" s="356">
        <f t="shared" si="39"/>
        <v>0</v>
      </c>
      <c r="K270" s="195" t="str">
        <f>IF(C270=0,"NA",VLOOKUP(air_valve_size,ci_bfv_cost_cl,IF(ss_cat="large",4,5)))</f>
        <v>NA</v>
      </c>
      <c r="L270" s="354"/>
      <c r="M270" s="35" t="str">
        <f t="shared" si="36"/>
        <v>Valves and Fittings - Manual - Air Scour - Cast Iron</v>
      </c>
      <c r="N270" s="694">
        <v>2</v>
      </c>
      <c r="O270" s="694">
        <v>1</v>
      </c>
      <c r="P270" s="694">
        <v>2</v>
      </c>
      <c r="Q270" s="694">
        <v>2</v>
      </c>
      <c r="R270" s="694">
        <v>1</v>
      </c>
      <c r="S270" s="694">
        <v>2</v>
      </c>
      <c r="T270" s="694">
        <v>2</v>
      </c>
      <c r="U270" s="694">
        <v>1</v>
      </c>
      <c r="V270" s="694">
        <v>2</v>
      </c>
      <c r="W270" s="694">
        <f t="shared" si="34"/>
        <v>0</v>
      </c>
      <c r="X270">
        <f t="shared" si="35"/>
        <v>0</v>
      </c>
      <c r="Y270" s="30"/>
    </row>
    <row r="271" spans="1:25" s="870" customFormat="1" x14ac:dyDescent="0.2">
      <c r="A271" s="320" t="s">
        <v>2254</v>
      </c>
      <c r="B271" s="1" t="s">
        <v>843</v>
      </c>
      <c r="C271" s="555">
        <f>tot_rec_man</f>
        <v>0</v>
      </c>
      <c r="D271" s="355" t="s">
        <v>606</v>
      </c>
      <c r="E271" s="195" t="str">
        <f>IF(C271=0,"NA",rec_valve_size)</f>
        <v>NA</v>
      </c>
      <c r="F271" s="1" t="str">
        <f t="shared" si="37"/>
        <v/>
      </c>
      <c r="G271" s="195" t="str">
        <f>IF(C271=0,"NA",IF(curve=1,rec_valve_size,VLOOKUP(rec_valve_size,pp_man_cost_cl,2)))</f>
        <v>NA</v>
      </c>
      <c r="H271" s="510" t="str">
        <f t="shared" si="38"/>
        <v/>
      </c>
      <c r="I271" s="686" t="str">
        <f>IF(C271=0,"NA",IF(curve=1,pp_man_eq_rec,VLOOKUP(rec_valve_size,pp_man_cost_cl,3)))</f>
        <v>NA</v>
      </c>
      <c r="J271" s="356" t="str">
        <f>IF(OR(C271=0,I271="contact vendor"),"--",C271*I271)</f>
        <v>--</v>
      </c>
      <c r="K271" s="195">
        <f>VLOOKUP(rec_valve_size,pp_man_cost_cl,IF(ss_cat="large",4,5))</f>
        <v>20</v>
      </c>
      <c r="L271" s="354"/>
      <c r="M271" s="35" t="str">
        <f t="shared" si="36"/>
        <v>Valves and Fittings - Manual - Fluidized Bed Recycle - Polypropylene/PVC</v>
      </c>
      <c r="N271" s="694">
        <v>1</v>
      </c>
      <c r="O271" s="694">
        <v>2</v>
      </c>
      <c r="P271" s="694">
        <v>2</v>
      </c>
      <c r="Q271" s="694">
        <v>1</v>
      </c>
      <c r="R271" s="694">
        <v>2</v>
      </c>
      <c r="S271" s="694">
        <v>2</v>
      </c>
      <c r="T271" s="694">
        <v>1</v>
      </c>
      <c r="U271" s="694">
        <v>2</v>
      </c>
      <c r="V271" s="694">
        <v>2</v>
      </c>
      <c r="W271" s="694">
        <f t="shared" si="34"/>
        <v>0</v>
      </c>
      <c r="X271">
        <f t="shared" si="35"/>
        <v>0</v>
      </c>
      <c r="Y271" s="30"/>
    </row>
    <row r="272" spans="1:25" s="870" customFormat="1" x14ac:dyDescent="0.2">
      <c r="A272" s="320" t="s">
        <v>2254</v>
      </c>
      <c r="B272" s="1" t="s">
        <v>845</v>
      </c>
      <c r="C272" s="555">
        <f>tot_rec_man</f>
        <v>0</v>
      </c>
      <c r="D272" s="355" t="s">
        <v>606</v>
      </c>
      <c r="E272" s="195" t="str">
        <f>IF(C272=0,"NA",rec_valve_size)</f>
        <v>NA</v>
      </c>
      <c r="F272" s="1" t="str">
        <f t="shared" si="37"/>
        <v/>
      </c>
      <c r="G272" s="195" t="str">
        <f>IF(C272=0,"NA",IF(curve=1,rec_valve_size,VLOOKUP(rec_valve_size,ss_man_cost_cl,2)))</f>
        <v>NA</v>
      </c>
      <c r="H272" s="510" t="str">
        <f t="shared" si="38"/>
        <v/>
      </c>
      <c r="I272" s="686" t="str">
        <f>IF(C272=0,"NA",IF(curve=1,ss_man_eq_rec,VLOOKUP(rec_valve_size,ss_man_cost_cl,3)))</f>
        <v>NA</v>
      </c>
      <c r="J272" s="356" t="str">
        <f>IF(OR(C272=0,I272="contact vendor"),"--",C272*I272)</f>
        <v>--</v>
      </c>
      <c r="K272" s="195">
        <f>VLOOKUP(rec_valve_size,ss_man_cost_cl,IF(ss_cat="large",4,5))</f>
        <v>20</v>
      </c>
      <c r="L272" s="354"/>
      <c r="M272" s="35" t="str">
        <f t="shared" si="36"/>
        <v>Valves and Fittings - Manual - Fluidized Bed Recyle - Stainless Steel</v>
      </c>
      <c r="N272" s="694">
        <v>2</v>
      </c>
      <c r="O272" s="694">
        <v>1</v>
      </c>
      <c r="P272" s="694">
        <v>1</v>
      </c>
      <c r="Q272" s="694">
        <v>2</v>
      </c>
      <c r="R272" s="694">
        <v>1</v>
      </c>
      <c r="S272" s="694">
        <v>1</v>
      </c>
      <c r="T272" s="694">
        <v>2</v>
      </c>
      <c r="U272" s="694">
        <v>1</v>
      </c>
      <c r="V272" s="694">
        <v>1</v>
      </c>
      <c r="W272" s="694">
        <f t="shared" si="34"/>
        <v>0</v>
      </c>
      <c r="X272">
        <f t="shared" si="35"/>
        <v>0</v>
      </c>
      <c r="Y272" s="30"/>
    </row>
    <row r="273" spans="1:25" s="870" customFormat="1" x14ac:dyDescent="0.2">
      <c r="A273" s="320" t="s">
        <v>2255</v>
      </c>
      <c r="B273" s="1" t="s">
        <v>143</v>
      </c>
      <c r="C273" s="555">
        <f>tot_H2O2_man</f>
        <v>0</v>
      </c>
      <c r="D273" s="355" t="s">
        <v>606</v>
      </c>
      <c r="E273" s="195" t="str">
        <f>IF(C273=0,"NA",H2O2_valve_size)</f>
        <v>NA</v>
      </c>
      <c r="F273" s="1" t="str">
        <f t="shared" si="37"/>
        <v/>
      </c>
      <c r="G273" s="195" t="str">
        <f>IF(C273=0,"NA",IF(curve=1,H2O2_valve_size,VLOOKUP(H2O2_valve_size,pp_man_cost_cl,2)))</f>
        <v>NA</v>
      </c>
      <c r="H273" s="510" t="str">
        <f t="shared" si="38"/>
        <v/>
      </c>
      <c r="I273" s="686" t="str">
        <f>IF(C273=0,"NA",IF(curve=1,pp_man_eq_H2O2,VLOOKUP(H2O2_valve_size,pp_man_cost_cl,3)))</f>
        <v>NA</v>
      </c>
      <c r="J273" s="356" t="str">
        <f>IF(OR(C273=0,I273="contact vendor"),"--",C273*I273)</f>
        <v>--</v>
      </c>
      <c r="K273" s="195">
        <f>VLOOKUP(H2O2_valve_size,pp_man_cost_cl,IF(ss_cat="large",4,5))</f>
        <v>20</v>
      </c>
      <c r="L273" s="354"/>
      <c r="M273" s="35" t="str">
        <f t="shared" si="36"/>
        <v>Valves and Fittings - Manual - Hydrogen Peroxide - Polypropylene/PVC</v>
      </c>
      <c r="N273" s="694">
        <v>1</v>
      </c>
      <c r="O273" s="694">
        <v>2</v>
      </c>
      <c r="P273" s="694">
        <v>2</v>
      </c>
      <c r="Q273" s="694">
        <v>1</v>
      </c>
      <c r="R273" s="694">
        <v>2</v>
      </c>
      <c r="S273" s="694">
        <v>2</v>
      </c>
      <c r="T273" s="694">
        <v>1</v>
      </c>
      <c r="U273" s="694">
        <v>2</v>
      </c>
      <c r="V273" s="694">
        <v>2</v>
      </c>
      <c r="W273" s="694">
        <f t="shared" si="34"/>
        <v>0</v>
      </c>
      <c r="X273">
        <f t="shared" si="35"/>
        <v>0</v>
      </c>
      <c r="Y273" s="30"/>
    </row>
    <row r="274" spans="1:25" s="870" customFormat="1" x14ac:dyDescent="0.2">
      <c r="A274" s="320" t="s">
        <v>2255</v>
      </c>
      <c r="B274" s="1" t="s">
        <v>144</v>
      </c>
      <c r="C274" s="555">
        <f>tot_H2O2_man</f>
        <v>0</v>
      </c>
      <c r="D274" s="355" t="s">
        <v>606</v>
      </c>
      <c r="E274" s="195" t="str">
        <f>IF(C274=0,"NA",H2O2_valve_size)</f>
        <v>NA</v>
      </c>
      <c r="F274" s="1" t="str">
        <f t="shared" si="37"/>
        <v/>
      </c>
      <c r="G274" s="195" t="str">
        <f>IF(C274=0,"NA",IF(curve=1,H2O2_valve_size,VLOOKUP(H2O2_valve_size,ss_man_cost_cl,2)))</f>
        <v>NA</v>
      </c>
      <c r="H274" s="510" t="str">
        <f t="shared" si="38"/>
        <v/>
      </c>
      <c r="I274" s="686" t="str">
        <f>IF(C274=0,"NA",IF(curve=1,ss_man_eq_H2O2,VLOOKUP(H2O2_valve_size,ss_man_cost_cl,3)))</f>
        <v>NA</v>
      </c>
      <c r="J274" s="356" t="str">
        <f>IF(OR(C274=0,I274="contact vendor"),"--",C274*I274)</f>
        <v>--</v>
      </c>
      <c r="K274" s="195">
        <f>VLOOKUP(H2O2_valve_size,ss_man_cost_cl,IF(ss_cat="large",4,5))</f>
        <v>20</v>
      </c>
      <c r="L274" s="354"/>
      <c r="M274" s="35" t="str">
        <f t="shared" si="36"/>
        <v>Valves and Fittings - Manual - Hydrogen Peroxide - Stainless Steel</v>
      </c>
      <c r="N274" s="694">
        <v>2</v>
      </c>
      <c r="O274" s="694">
        <v>1</v>
      </c>
      <c r="P274" s="694">
        <v>1</v>
      </c>
      <c r="Q274" s="694">
        <v>2</v>
      </c>
      <c r="R274" s="694">
        <v>1</v>
      </c>
      <c r="S274" s="694">
        <v>1</v>
      </c>
      <c r="T274" s="694">
        <v>2</v>
      </c>
      <c r="U274" s="694">
        <v>1</v>
      </c>
      <c r="V274" s="694">
        <v>1</v>
      </c>
      <c r="W274" s="694">
        <f t="shared" si="34"/>
        <v>0</v>
      </c>
      <c r="X274">
        <f t="shared" si="35"/>
        <v>0</v>
      </c>
      <c r="Y274" s="30"/>
    </row>
    <row r="275" spans="1:25" s="870" customFormat="1" x14ac:dyDescent="0.2">
      <c r="A275" s="320" t="s">
        <v>2869</v>
      </c>
      <c r="B275" s="1" t="s">
        <v>4359</v>
      </c>
      <c r="C275" s="555">
        <f>tot_bio_air_man</f>
        <v>0</v>
      </c>
      <c r="D275" s="355" t="s">
        <v>606</v>
      </c>
      <c r="E275" s="195" t="str">
        <f>IF(C275=0,"NA",air_valve_size)</f>
        <v>NA</v>
      </c>
      <c r="F275" s="1" t="str">
        <f t="shared" ref="F275:F280" si="40">IF(C275=0,"","in. diam")</f>
        <v/>
      </c>
      <c r="G275" s="195" t="str">
        <f>IF(C275=0,"NA",IF(curve=1,bio_air_valve_size,VLOOKUP(bio_air_valve_size,pp_man_cost_cl,2)))</f>
        <v>NA</v>
      </c>
      <c r="H275" s="510" t="str">
        <f t="shared" ref="H275:H280" si="41">IF(C275=0,"","in. diam")</f>
        <v/>
      </c>
      <c r="I275" s="686">
        <f>IF(C275=0,0,IF(curve=1,pp_man_eq_bio_air,VLOOKUP(bio_air_valve_size,pp_man_cost_cl,3)))</f>
        <v>0</v>
      </c>
      <c r="J275" s="356">
        <f t="shared" ref="J275:J280" si="42">IF(I275="contact vendor","--",C275*I275)</f>
        <v>0</v>
      </c>
      <c r="K275" s="195" t="str">
        <f>IF(C275=0,"NA",VLOOKUP(bio_air_valve_size,pp_man_cost_cl,IF(ss_cat="large",4,5)))</f>
        <v>NA</v>
      </c>
      <c r="L275" s="354"/>
      <c r="M275" s="35" t="str">
        <f t="shared" ref="M275:M280" si="43">$B$209&amp;" - "&amp;$B$246&amp;" - "&amp;B275</f>
        <v>Valves and Fittings - Manual - Air Biomass Removal - Polypropylene/PVC</v>
      </c>
      <c r="N275" s="694">
        <v>1</v>
      </c>
      <c r="O275" s="694">
        <v>2</v>
      </c>
      <c r="P275" s="694">
        <v>3</v>
      </c>
      <c r="Q275" s="694">
        <v>1</v>
      </c>
      <c r="R275" s="694">
        <v>2</v>
      </c>
      <c r="S275" s="694">
        <v>3</v>
      </c>
      <c r="T275" s="694">
        <v>1</v>
      </c>
      <c r="U275" s="694">
        <v>2</v>
      </c>
      <c r="V275" s="694">
        <v>3</v>
      </c>
      <c r="W275" s="694">
        <f t="shared" si="34"/>
        <v>0</v>
      </c>
      <c r="X275">
        <f t="shared" si="35"/>
        <v>0</v>
      </c>
      <c r="Y275" s="30"/>
    </row>
    <row r="276" spans="1:25" s="870" customFormat="1" x14ac:dyDescent="0.2">
      <c r="A276" s="320" t="s">
        <v>2869</v>
      </c>
      <c r="B276" s="1" t="s">
        <v>4360</v>
      </c>
      <c r="C276" s="555">
        <f>tot_bio_air_man</f>
        <v>0</v>
      </c>
      <c r="D276" s="355" t="s">
        <v>606</v>
      </c>
      <c r="E276" s="195" t="str">
        <f>IF(C276=0,"NA",air_valve_size)</f>
        <v>NA</v>
      </c>
      <c r="F276" s="1" t="str">
        <f t="shared" si="40"/>
        <v/>
      </c>
      <c r="G276" s="195" t="str">
        <f>IF(C276=0,"NA",IF(curve=1,bio_air_valve_size,VLOOKUP(bio_air_valve_size,ss_man_cost_cl,2)))</f>
        <v>NA</v>
      </c>
      <c r="H276" s="510" t="str">
        <f t="shared" si="41"/>
        <v/>
      </c>
      <c r="I276" s="686">
        <f>IF(C276=0,0,IF(curve=1,ss_man_eq_bio_air,VLOOKUP(bio_air_valve_size,ss_man_cost_cl,3)))</f>
        <v>0</v>
      </c>
      <c r="J276" s="356">
        <f t="shared" si="42"/>
        <v>0</v>
      </c>
      <c r="K276" s="195" t="str">
        <f>IF(C276=0,"NA",VLOOKUP(bio_air_valve_size,ss_man_cost_cl,IF(ss_cat="large",4,5)))</f>
        <v>NA</v>
      </c>
      <c r="L276" s="354"/>
      <c r="M276" s="35" t="str">
        <f t="shared" si="43"/>
        <v>Valves and Fittings - Manual - Air  Biomass Removal - Stainless Steel</v>
      </c>
      <c r="N276" s="694">
        <v>3</v>
      </c>
      <c r="O276" s="694">
        <v>3</v>
      </c>
      <c r="P276" s="694">
        <v>1</v>
      </c>
      <c r="Q276" s="694">
        <v>3</v>
      </c>
      <c r="R276" s="694">
        <v>3</v>
      </c>
      <c r="S276" s="694">
        <v>1</v>
      </c>
      <c r="T276" s="694">
        <v>3</v>
      </c>
      <c r="U276" s="694">
        <v>3</v>
      </c>
      <c r="V276" s="694">
        <v>1</v>
      </c>
      <c r="W276" s="694">
        <f t="shared" si="34"/>
        <v>0</v>
      </c>
      <c r="X276">
        <f t="shared" si="35"/>
        <v>0</v>
      </c>
      <c r="Y276" s="30"/>
    </row>
    <row r="277" spans="1:25" s="870" customFormat="1" x14ac:dyDescent="0.2">
      <c r="A277" s="320" t="s">
        <v>2869</v>
      </c>
      <c r="B277" s="1" t="s">
        <v>4361</v>
      </c>
      <c r="C277" s="555">
        <f>tot_bio_air_man</f>
        <v>0</v>
      </c>
      <c r="D277" s="355" t="s">
        <v>606</v>
      </c>
      <c r="E277" s="195" t="str">
        <f>IF(C277=0,"NA",air_valve_size)</f>
        <v>NA</v>
      </c>
      <c r="F277" s="1" t="str">
        <f t="shared" si="40"/>
        <v/>
      </c>
      <c r="G277" s="195" t="str">
        <f>IF(C277=0,"NA",IF(curve=1,bio_air_valve_size,VLOOKUP(bio_air_valve_size,ci_bfv_cost_cl,2)))</f>
        <v>NA</v>
      </c>
      <c r="H277" s="510" t="str">
        <f t="shared" si="41"/>
        <v/>
      </c>
      <c r="I277" s="686">
        <f>IF(C277=0,0,IF(curve=1,ci_man_eq_bio_air,VLOOKUP(bio_air_valve_size,ci_bfv_cost_cl,3)))</f>
        <v>0</v>
      </c>
      <c r="J277" s="356">
        <f t="shared" si="42"/>
        <v>0</v>
      </c>
      <c r="K277" s="195" t="str">
        <f>IF(C277=0,"NA",VLOOKUP(bio_air_valve_size,ci_bfv_cost_cl,IF(ss_cat="large",4,5)))</f>
        <v>NA</v>
      </c>
      <c r="L277" s="354"/>
      <c r="M277" s="35" t="str">
        <f t="shared" si="43"/>
        <v>Valves and Fittings - Manual - Air  Biomass Removal - Cast Iron</v>
      </c>
      <c r="N277" s="694">
        <v>2</v>
      </c>
      <c r="O277" s="694">
        <v>1</v>
      </c>
      <c r="P277" s="694">
        <v>2</v>
      </c>
      <c r="Q277" s="694">
        <v>2</v>
      </c>
      <c r="R277" s="694">
        <v>1</v>
      </c>
      <c r="S277" s="694">
        <v>2</v>
      </c>
      <c r="T277" s="694">
        <v>2</v>
      </c>
      <c r="U277" s="694">
        <v>1</v>
      </c>
      <c r="V277" s="694">
        <v>2</v>
      </c>
      <c r="W277" s="694">
        <f t="shared" si="34"/>
        <v>0</v>
      </c>
      <c r="X277">
        <f t="shared" si="35"/>
        <v>0</v>
      </c>
      <c r="Y277" s="30"/>
    </row>
    <row r="278" spans="1:25" s="870" customFormat="1" x14ac:dyDescent="0.2">
      <c r="A278" s="320" t="s">
        <v>2870</v>
      </c>
      <c r="B278" s="1" t="s">
        <v>4362</v>
      </c>
      <c r="C278" s="555">
        <f>tot_aeration_man</f>
        <v>0</v>
      </c>
      <c r="D278" s="355" t="s">
        <v>606</v>
      </c>
      <c r="E278" s="195" t="str">
        <f>IF(C278=0,"NA",aeration_valve_size)</f>
        <v>NA</v>
      </c>
      <c r="F278" s="1" t="str">
        <f t="shared" si="40"/>
        <v/>
      </c>
      <c r="G278" s="195" t="str">
        <f>IF(C278=0,"NA",IF(curve=1,aeration_valve_size,VLOOKUP(aeration_valve_size,pp_man_cost_cl,2)))</f>
        <v>NA</v>
      </c>
      <c r="H278" s="510" t="str">
        <f t="shared" si="41"/>
        <v/>
      </c>
      <c r="I278" s="686">
        <f>IF(C278=0,0,IF(curve=1,pp_man_eq_aeration,VLOOKUP(aeration_valve_size,pp_man_cost_cl,3)))</f>
        <v>0</v>
      </c>
      <c r="J278" s="356">
        <f t="shared" si="42"/>
        <v>0</v>
      </c>
      <c r="K278" s="195" t="str">
        <f>IF(C278=0,"NA",VLOOKUP(aeration_valve_size,pp_man_cost_cl,IF(ss_cat="large",4,5)))</f>
        <v>NA</v>
      </c>
      <c r="L278" s="354"/>
      <c r="M278" s="35" t="str">
        <f t="shared" si="43"/>
        <v>Valves and Fittings - Manual - Aeration - Polypropylene/PVC</v>
      </c>
      <c r="N278" s="694">
        <v>1</v>
      </c>
      <c r="O278" s="694">
        <v>2</v>
      </c>
      <c r="P278" s="694">
        <v>3</v>
      </c>
      <c r="Q278" s="694">
        <v>1</v>
      </c>
      <c r="R278" s="694">
        <v>2</v>
      </c>
      <c r="S278" s="694">
        <v>3</v>
      </c>
      <c r="T278" s="694">
        <v>1</v>
      </c>
      <c r="U278" s="694">
        <v>2</v>
      </c>
      <c r="V278" s="694">
        <v>3</v>
      </c>
      <c r="W278" s="694">
        <f t="shared" si="34"/>
        <v>0</v>
      </c>
      <c r="X278">
        <f t="shared" si="35"/>
        <v>0</v>
      </c>
      <c r="Y278" s="30"/>
    </row>
    <row r="279" spans="1:25" s="870" customFormat="1" x14ac:dyDescent="0.2">
      <c r="A279" s="320" t="s">
        <v>2870</v>
      </c>
      <c r="B279" s="1" t="s">
        <v>4363</v>
      </c>
      <c r="C279" s="555">
        <f>tot_aeration_man</f>
        <v>0</v>
      </c>
      <c r="D279" s="355" t="s">
        <v>606</v>
      </c>
      <c r="E279" s="195" t="str">
        <f>IF(C279=0,"NA",aeration_valve_size)</f>
        <v>NA</v>
      </c>
      <c r="F279" s="1" t="str">
        <f t="shared" si="40"/>
        <v/>
      </c>
      <c r="G279" s="195" t="str">
        <f>IF(C279=0,"NA",IF(curve=1,aeration_valve_size,VLOOKUP(aeration_valve_size,ss_man_cost_cl,2)))</f>
        <v>NA</v>
      </c>
      <c r="H279" s="510" t="str">
        <f t="shared" si="41"/>
        <v/>
      </c>
      <c r="I279" s="686">
        <f>IF(C279=0,0,IF(curve=1,ss_man_eq_aeration,VLOOKUP(aeration_valve_size,ss_man_cost_cl,3)))</f>
        <v>0</v>
      </c>
      <c r="J279" s="356">
        <f t="shared" si="42"/>
        <v>0</v>
      </c>
      <c r="K279" s="195" t="str">
        <f>IF(C279=0,"NA",VLOOKUP(aeration_valve_size,ss_man_cost_cl,IF(ss_cat="large",4,5)))</f>
        <v>NA</v>
      </c>
      <c r="L279" s="354"/>
      <c r="M279" s="35" t="str">
        <f t="shared" si="43"/>
        <v>Valves and Fittings - Manual - Aeration - Stainless Steel</v>
      </c>
      <c r="N279" s="694">
        <v>3</v>
      </c>
      <c r="O279" s="694">
        <v>3</v>
      </c>
      <c r="P279" s="694">
        <v>1</v>
      </c>
      <c r="Q279" s="694">
        <v>3</v>
      </c>
      <c r="R279" s="694">
        <v>3</v>
      </c>
      <c r="S279" s="694">
        <v>1</v>
      </c>
      <c r="T279" s="694">
        <v>3</v>
      </c>
      <c r="U279" s="694">
        <v>3</v>
      </c>
      <c r="V279" s="694">
        <v>1</v>
      </c>
      <c r="W279" s="694">
        <f t="shared" si="34"/>
        <v>0</v>
      </c>
      <c r="X279">
        <f t="shared" si="35"/>
        <v>0</v>
      </c>
      <c r="Y279" s="30"/>
    </row>
    <row r="280" spans="1:25" s="870" customFormat="1" x14ac:dyDescent="0.2">
      <c r="A280" s="320" t="s">
        <v>2870</v>
      </c>
      <c r="B280" s="1" t="s">
        <v>4364</v>
      </c>
      <c r="C280" s="555">
        <f>tot_aeration_man</f>
        <v>0</v>
      </c>
      <c r="D280" s="355" t="s">
        <v>606</v>
      </c>
      <c r="E280" s="195" t="str">
        <f>IF(C280=0,"NA",aeration_valve_size)</f>
        <v>NA</v>
      </c>
      <c r="F280" s="1" t="str">
        <f t="shared" si="40"/>
        <v/>
      </c>
      <c r="G280" s="195" t="str">
        <f>IF(C280=0,"NA",IF(curve=1,aeration_valve_size,VLOOKUP(aeration_valve_size,ci_bfv_cost_cl,2)))</f>
        <v>NA</v>
      </c>
      <c r="H280" s="510" t="str">
        <f t="shared" si="41"/>
        <v/>
      </c>
      <c r="I280" s="686">
        <f>IF(C280=0,0,IF(curve=1,ci_man_eq_aeration,VLOOKUP(aeration_valve_size,ci_bfv_cost_cl,3)))</f>
        <v>0</v>
      </c>
      <c r="J280" s="356">
        <f t="shared" si="42"/>
        <v>0</v>
      </c>
      <c r="K280" s="195" t="str">
        <f>IF(C280=0,"NA",VLOOKUP(aeration_valve_size,ci_bfv_cost_cl,IF(ss_cat="large",4,5)))</f>
        <v>NA</v>
      </c>
      <c r="L280" s="354"/>
      <c r="M280" s="35" t="str">
        <f t="shared" si="43"/>
        <v>Valves and Fittings - Manual - Aeration - Cast Iron</v>
      </c>
      <c r="N280" s="694">
        <v>2</v>
      </c>
      <c r="O280" s="694">
        <v>1</v>
      </c>
      <c r="P280" s="694">
        <v>2</v>
      </c>
      <c r="Q280" s="694">
        <v>2</v>
      </c>
      <c r="R280" s="694">
        <v>1</v>
      </c>
      <c r="S280" s="694">
        <v>2</v>
      </c>
      <c r="T280" s="694">
        <v>2</v>
      </c>
      <c r="U280" s="694">
        <v>1</v>
      </c>
      <c r="V280" s="694">
        <v>2</v>
      </c>
      <c r="W280" s="694">
        <f t="shared" si="34"/>
        <v>0</v>
      </c>
      <c r="X280">
        <f t="shared" si="35"/>
        <v>0</v>
      </c>
      <c r="Y280" s="30"/>
    </row>
    <row r="281" spans="1:25" s="870" customFormat="1" x14ac:dyDescent="0.2">
      <c r="A281" s="320" t="s">
        <v>2943</v>
      </c>
      <c r="B281" s="1" t="s">
        <v>4366</v>
      </c>
      <c r="C281" s="555">
        <f>tot_coag_man</f>
        <v>0</v>
      </c>
      <c r="D281" s="355" t="s">
        <v>606</v>
      </c>
      <c r="E281" s="195" t="str">
        <f>IF(C281=0,"NA",coag_valve_size)</f>
        <v>NA</v>
      </c>
      <c r="F281" s="1" t="str">
        <f>IF(C281=0,"","in. diam")</f>
        <v/>
      </c>
      <c r="G281" s="195" t="str">
        <f>IF(C281=0,"NA",IF(curve=1,coag_valve_size,VLOOKUP(coag_valve_size,pp_man_cost_cl,2)))</f>
        <v>NA</v>
      </c>
      <c r="H281" s="510" t="str">
        <f>IF(C281=0,"","in. diam")</f>
        <v/>
      </c>
      <c r="I281" s="686">
        <f>IF(C281=0,0,IF(curve=1,pp_man_eq_coag,VLOOKUP(coag_valve_size,pp_man_cost_cl,3)))</f>
        <v>0</v>
      </c>
      <c r="J281" s="356">
        <f>IF(I281="contact vendor","--",C281*I281)</f>
        <v>0</v>
      </c>
      <c r="K281" s="195" t="str">
        <f>IF(C281=0,"NA",VLOOKUP(coag_valve_size,pp_man_cost_cl,IF(ss_cat="large",4,5)))</f>
        <v>NA</v>
      </c>
      <c r="L281" s="354"/>
      <c r="M281" s="35" t="str">
        <f>$B$209&amp;" - "&amp;$B$246&amp;" - "&amp;B281</f>
        <v>Valves and Fittings - Manual - Ferric Chloride - Polypropylene/PVC</v>
      </c>
      <c r="N281" s="694">
        <v>1</v>
      </c>
      <c r="O281" s="694">
        <v>1</v>
      </c>
      <c r="P281" s="694">
        <v>1</v>
      </c>
      <c r="Q281" s="694">
        <v>1</v>
      </c>
      <c r="R281" s="694">
        <v>1</v>
      </c>
      <c r="S281" s="694">
        <v>1</v>
      </c>
      <c r="T281" s="694">
        <v>1</v>
      </c>
      <c r="U281" s="694">
        <v>1</v>
      </c>
      <c r="V281" s="694">
        <v>1</v>
      </c>
      <c r="W281" s="694">
        <f t="shared" ref="W281" si="44">IF(ISERROR(K281*L281),0,IF(K281&lt;1,0,L281))</f>
        <v>0</v>
      </c>
      <c r="X281">
        <f t="shared" ref="X281" si="45">IF(W281,J281/K281,0)</f>
        <v>0</v>
      </c>
      <c r="Y281" s="30"/>
    </row>
    <row r="282" spans="1:25" s="870" customFormat="1" x14ac:dyDescent="0.2">
      <c r="A282" s="320" t="s">
        <v>4370</v>
      </c>
      <c r="B282" s="1" t="s">
        <v>751</v>
      </c>
      <c r="C282" s="555">
        <f>tot_polymer_man</f>
        <v>0</v>
      </c>
      <c r="D282" s="355" t="s">
        <v>606</v>
      </c>
      <c r="E282" s="195" t="str">
        <f>IF(C282=0,"NA",polymer_valve_size)</f>
        <v>NA</v>
      </c>
      <c r="F282" s="1" t="str">
        <f>IF(C282=0,"","in. diam")</f>
        <v/>
      </c>
      <c r="G282" s="195" t="str">
        <f>IF(C282=0,"NA",IF(curve=1,polymer_valve_size,VLOOKUP(polymer_valve_size,pp_man_cost_cl,2)))</f>
        <v>NA</v>
      </c>
      <c r="H282" s="510" t="str">
        <f>IF(C282=0,"","in. diam")</f>
        <v/>
      </c>
      <c r="I282" s="686">
        <f>IF(C282=0,0,IF(curve=1,pp_man_eq_polymer,VLOOKUP(polymer_valve_size,pp_man_cost_cl,3)))</f>
        <v>0</v>
      </c>
      <c r="J282" s="356">
        <f>IF(I282="contact vendor","--",C282*I282)</f>
        <v>0</v>
      </c>
      <c r="K282" s="195" t="str">
        <f>IF(C282=0,"NA",VLOOKUP(polymer_valve_size,pp_man_cost_cl,IF(ss_cat="large",4,5)))</f>
        <v>NA</v>
      </c>
      <c r="L282" s="354"/>
      <c r="M282" s="35" t="str">
        <f>$B$209&amp;" - "&amp;$B$246&amp;" - "&amp;B282</f>
        <v>Valves and Fittings - Manual - Polymer - Polypropylene/PVC</v>
      </c>
      <c r="N282" s="694">
        <v>1</v>
      </c>
      <c r="O282" s="694">
        <v>2</v>
      </c>
      <c r="P282" s="694">
        <v>3</v>
      </c>
      <c r="Q282" s="694">
        <v>1</v>
      </c>
      <c r="R282" s="694">
        <v>2</v>
      </c>
      <c r="S282" s="694">
        <v>3</v>
      </c>
      <c r="T282" s="694">
        <v>1</v>
      </c>
      <c r="U282" s="694">
        <v>2</v>
      </c>
      <c r="V282" s="694">
        <v>3</v>
      </c>
      <c r="W282" s="694">
        <f t="shared" si="34"/>
        <v>0</v>
      </c>
      <c r="X282">
        <f t="shared" si="35"/>
        <v>0</v>
      </c>
      <c r="Y282" s="30"/>
    </row>
    <row r="283" spans="1:25" s="870" customFormat="1" x14ac:dyDescent="0.2">
      <c r="A283" s="320" t="s">
        <v>4370</v>
      </c>
      <c r="B283" s="1" t="s">
        <v>752</v>
      </c>
      <c r="C283" s="555">
        <f>tot_polymer_man</f>
        <v>0</v>
      </c>
      <c r="D283" s="355" t="s">
        <v>606</v>
      </c>
      <c r="E283" s="195" t="str">
        <f>IF(C283=0,"NA",polymer_valve_size)</f>
        <v>NA</v>
      </c>
      <c r="F283" s="1" t="str">
        <f>IF(C283=0,"","in. diam")</f>
        <v/>
      </c>
      <c r="G283" s="195" t="str">
        <f>IF(C283=0,"NA",IF(curve=1,polymer_valve_size,VLOOKUP(polymer_valve_size,ss_man_cost_cl,2)))</f>
        <v>NA</v>
      </c>
      <c r="H283" s="510" t="str">
        <f>IF(C283=0,"","in. diam")</f>
        <v/>
      </c>
      <c r="I283" s="686">
        <f>IF(C283=0,0,IF(curve=1,ss_man_eq_polymer,VLOOKUP(polymer_valve_size,ss_man_cost_cl,3)))</f>
        <v>0</v>
      </c>
      <c r="J283" s="356">
        <f>IF(I283="contact vendor","--",C283*I283)</f>
        <v>0</v>
      </c>
      <c r="K283" s="195" t="str">
        <f>IF(C283=0,"NA",VLOOKUP(polymer_valve_size,ss_man_cost_cl,IF(ss_cat="large",4,5)))</f>
        <v>NA</v>
      </c>
      <c r="L283" s="354"/>
      <c r="M283" s="35" t="str">
        <f>$B$209&amp;" - "&amp;$B$246&amp;" - "&amp;B283</f>
        <v>Valves and Fittings - Manual - Polymer - Stainless Steel</v>
      </c>
      <c r="N283" s="694">
        <v>3</v>
      </c>
      <c r="O283" s="694">
        <v>3</v>
      </c>
      <c r="P283" s="694">
        <v>1</v>
      </c>
      <c r="Q283" s="694">
        <v>3</v>
      </c>
      <c r="R283" s="694">
        <v>3</v>
      </c>
      <c r="S283" s="694">
        <v>1</v>
      </c>
      <c r="T283" s="694">
        <v>3</v>
      </c>
      <c r="U283" s="694">
        <v>3</v>
      </c>
      <c r="V283" s="694">
        <v>1</v>
      </c>
      <c r="W283" s="694">
        <f t="shared" si="34"/>
        <v>0</v>
      </c>
      <c r="X283">
        <f t="shared" si="35"/>
        <v>0</v>
      </c>
      <c r="Y283" s="30"/>
    </row>
    <row r="284" spans="1:25" s="870" customFormat="1" x14ac:dyDescent="0.2">
      <c r="A284" s="320" t="s">
        <v>4370</v>
      </c>
      <c r="B284" s="1" t="s">
        <v>753</v>
      </c>
      <c r="C284" s="555">
        <f>tot_polymer_man</f>
        <v>0</v>
      </c>
      <c r="D284" s="355" t="s">
        <v>606</v>
      </c>
      <c r="E284" s="195" t="str">
        <f>IF(C284=0,"NA",polymer_valve_size)</f>
        <v>NA</v>
      </c>
      <c r="F284" s="1" t="str">
        <f>IF(C284=0,"","in. diam")</f>
        <v/>
      </c>
      <c r="G284" s="195" t="str">
        <f>IF(C284=0,"NA",IF(curve=1,polymer_valve_size,VLOOKUP(polymer_valve_size,ci_bfv_cost_cl,2)))</f>
        <v>NA</v>
      </c>
      <c r="H284" s="510" t="str">
        <f>IF(C284=0,"","in. diam")</f>
        <v/>
      </c>
      <c r="I284" s="686">
        <f>IF(C284=0,0,IF(curve=1,ci_man_eq_polymer,VLOOKUP(polymer_valve_size,ci_bfv_cost_cl,3)))</f>
        <v>0</v>
      </c>
      <c r="J284" s="356">
        <f>IF(I284="contact vendor","--",C284*I284)</f>
        <v>0</v>
      </c>
      <c r="K284" s="195" t="str">
        <f>IF(C284=0,"NA",VLOOKUP(polymer_valve_size,ci_bfv_cost_cl,IF(ss_cat="large",4,5)))</f>
        <v>NA</v>
      </c>
      <c r="L284" s="354"/>
      <c r="M284" s="35" t="str">
        <f>$B$209&amp;" - "&amp;$B$246&amp;" - "&amp;B284</f>
        <v>Valves and Fittings - Manual - Polymer - Cast Iron</v>
      </c>
      <c r="N284" s="694">
        <v>2</v>
      </c>
      <c r="O284" s="694">
        <v>1</v>
      </c>
      <c r="P284" s="694">
        <v>2</v>
      </c>
      <c r="Q284" s="694">
        <v>2</v>
      </c>
      <c r="R284" s="694">
        <v>1</v>
      </c>
      <c r="S284" s="694">
        <v>2</v>
      </c>
      <c r="T284" s="694">
        <v>2</v>
      </c>
      <c r="U284" s="694">
        <v>1</v>
      </c>
      <c r="V284" s="694">
        <v>2</v>
      </c>
      <c r="W284" s="694">
        <f t="shared" si="34"/>
        <v>0</v>
      </c>
      <c r="X284">
        <f t="shared" si="35"/>
        <v>0</v>
      </c>
      <c r="Y284" s="30"/>
    </row>
    <row r="285" spans="1:25" x14ac:dyDescent="0.2">
      <c r="A285" s="473">
        <v>5.3</v>
      </c>
      <c r="B285" s="13" t="s">
        <v>2552</v>
      </c>
      <c r="C285" s="556"/>
      <c r="D285" s="180"/>
      <c r="E285" s="285"/>
      <c r="F285" s="511"/>
      <c r="G285" s="285"/>
      <c r="H285" s="511"/>
      <c r="I285" s="181"/>
      <c r="J285" s="285"/>
      <c r="K285" s="285"/>
      <c r="L285" s="182"/>
      <c r="M285" s="5"/>
      <c r="N285" s="694"/>
      <c r="O285" s="694"/>
      <c r="P285" s="694"/>
      <c r="Q285" s="694"/>
      <c r="R285" s="694"/>
      <c r="S285" s="694"/>
      <c r="T285" s="694"/>
      <c r="U285" s="694"/>
      <c r="V285" s="694"/>
      <c r="W285" s="694">
        <f t="shared" si="34"/>
        <v>0</v>
      </c>
      <c r="X285">
        <f t="shared" si="35"/>
        <v>0</v>
      </c>
      <c r="Y285"/>
    </row>
    <row r="286" spans="1:25" s="773" customFormat="1" x14ac:dyDescent="0.2">
      <c r="A286" s="320" t="s">
        <v>2484</v>
      </c>
      <c r="B286" s="1" t="s">
        <v>3495</v>
      </c>
      <c r="C286" s="555">
        <f>tot_back_chv</f>
        <v>1</v>
      </c>
      <c r="D286" s="355" t="s">
        <v>606</v>
      </c>
      <c r="E286" s="195">
        <f>IF(C286=0,"NA",back_valve_size)</f>
        <v>4</v>
      </c>
      <c r="F286" s="1" t="str">
        <f t="shared" ref="F286:F291" si="46">IF(C286=0,"","in. diam")</f>
        <v>in. diam</v>
      </c>
      <c r="G286" s="195">
        <f>IF(C286=0,"NA",(IF(curve=1,back_valve_size,VLOOKUP(back_valve_size,pp_chv_cost_cl,2))))</f>
        <v>4</v>
      </c>
      <c r="H286" s="510" t="str">
        <f t="shared" ref="H286:H291" si="47">IF(C286=0,"","in. diam")</f>
        <v>in. diam</v>
      </c>
      <c r="I286" s="686">
        <f>IF(C286=0,"NA",(IF(curve=1,pp_chv_eq,VLOOKUP(back_valve_size,pp_chv_cost_cl,3))))</f>
        <v>640.93656039399991</v>
      </c>
      <c r="J286" s="356">
        <f>IF(C286=0,"--",(IF(I286="contact vendor","--",C286*I286)))</f>
        <v>640.93656039399991</v>
      </c>
      <c r="K286" s="195">
        <f>IF(C286=0,"NA",(VLOOKUP(back_valve_size,pp_chv_cost_cl,IF(ss_cat="large",4,5))))</f>
        <v>20</v>
      </c>
      <c r="L286" s="354">
        <v>1</v>
      </c>
      <c r="M286" s="35" t="str">
        <f>$B$209&amp;" - "&amp;$B$285&amp;" - "&amp;B286</f>
        <v>Valves and Fittings - Check Valves - Backwash - Polypropylene/PVC</v>
      </c>
      <c r="N286" s="694">
        <v>1</v>
      </c>
      <c r="O286" s="694">
        <v>2</v>
      </c>
      <c r="P286" s="694">
        <v>3</v>
      </c>
      <c r="Q286" s="694">
        <v>1</v>
      </c>
      <c r="R286" s="694">
        <v>2</v>
      </c>
      <c r="S286" s="694">
        <v>3</v>
      </c>
      <c r="T286" s="694">
        <v>1</v>
      </c>
      <c r="U286" s="694">
        <v>2</v>
      </c>
      <c r="V286" s="694">
        <v>3</v>
      </c>
      <c r="W286" s="694">
        <f t="shared" si="34"/>
        <v>1</v>
      </c>
      <c r="X286">
        <f t="shared" si="35"/>
        <v>32.046828019699994</v>
      </c>
      <c r="Y286" s="1"/>
    </row>
    <row r="287" spans="1:25" s="773" customFormat="1" x14ac:dyDescent="0.2">
      <c r="A287" s="320" t="s">
        <v>2484</v>
      </c>
      <c r="B287" s="1" t="s">
        <v>3496</v>
      </c>
      <c r="C287" s="555">
        <f>tot_back_chv</f>
        <v>1</v>
      </c>
      <c r="D287" s="355" t="s">
        <v>606</v>
      </c>
      <c r="E287" s="195">
        <f>IF(C287=0,"NA",back_valve_size)</f>
        <v>4</v>
      </c>
      <c r="F287" s="1" t="str">
        <f t="shared" si="46"/>
        <v>in. diam</v>
      </c>
      <c r="G287" s="195">
        <f>IF(C287=0,"NA",(IF(curve=1,back_valve_size,VLOOKUP(back_valve_size,ss_chv_cost_cl,2))))</f>
        <v>4</v>
      </c>
      <c r="H287" s="510" t="str">
        <f t="shared" si="47"/>
        <v>in. diam</v>
      </c>
      <c r="I287" s="686">
        <f>IF(C287=0,"NA",(IF(curve=1,ss_chv_eq,VLOOKUP(back_valve_size,ss_chv_cost_cl,3))))</f>
        <v>1561.067334162</v>
      </c>
      <c r="J287" s="356">
        <f>IF(C287=0,"--",(IF(I287="contact vendor","--",C287*I287)))</f>
        <v>1561.067334162</v>
      </c>
      <c r="K287" s="195">
        <f>IF(C287=0,"NA",(VLOOKUP(back_valve_size,ss_chv_cost_cl,IF(ss_cat="large",4,5))))</f>
        <v>20</v>
      </c>
      <c r="L287" s="354">
        <v>0</v>
      </c>
      <c r="M287" s="35" t="str">
        <f>$B$209&amp;" - "&amp;$B$285&amp;" - "&amp;B287</f>
        <v>Valves and Fittings - Check Valves - Backwash - Stainless Steel</v>
      </c>
      <c r="N287" s="694">
        <v>3</v>
      </c>
      <c r="O287" s="694">
        <v>3</v>
      </c>
      <c r="P287" s="694">
        <v>1</v>
      </c>
      <c r="Q287" s="694">
        <v>3</v>
      </c>
      <c r="R287" s="694">
        <v>3</v>
      </c>
      <c r="S287" s="694">
        <v>1</v>
      </c>
      <c r="T287" s="694">
        <v>3</v>
      </c>
      <c r="U287" s="694">
        <v>3</v>
      </c>
      <c r="V287" s="694">
        <v>1</v>
      </c>
      <c r="W287" s="694">
        <f t="shared" si="34"/>
        <v>0</v>
      </c>
      <c r="X287">
        <f t="shared" si="35"/>
        <v>0</v>
      </c>
      <c r="Y287" s="1"/>
    </row>
    <row r="288" spans="1:25" s="773" customFormat="1" x14ac:dyDescent="0.2">
      <c r="A288" s="320" t="s">
        <v>2484</v>
      </c>
      <c r="B288" s="1" t="s">
        <v>1159</v>
      </c>
      <c r="C288" s="555">
        <f>tot_back_chv</f>
        <v>1</v>
      </c>
      <c r="D288" s="355" t="s">
        <v>606</v>
      </c>
      <c r="E288" s="195">
        <f>IF(C288=0,"NA",back_valve_size)</f>
        <v>4</v>
      </c>
      <c r="F288" s="1" t="str">
        <f t="shared" si="46"/>
        <v>in. diam</v>
      </c>
      <c r="G288" s="195">
        <f>IF(C288=0,"NA",(IF(curve=1,back_valve_size,VLOOKUP(back_valve_size,ci_chv_cost_cl,2))))</f>
        <v>4</v>
      </c>
      <c r="H288" s="510" t="str">
        <f t="shared" si="47"/>
        <v>in. diam</v>
      </c>
      <c r="I288" s="686">
        <f>IF(C288=0,"NA",(IF(curve=1,ci_chv_eq,VLOOKUP(back_valve_size,ci_chv_cost_cl,3))))</f>
        <v>1432.7510239100002</v>
      </c>
      <c r="J288" s="356">
        <f>IF(C288=0,"--",(IF(I288="contact vendor","--",C288*I288)))</f>
        <v>1432.7510239100002</v>
      </c>
      <c r="K288" s="195">
        <f>IF(C288=0,"NA",(VLOOKUP(back_valve_size,ci_chv_cost_cl,IF(ss_cat="large",4,5))))</f>
        <v>20</v>
      </c>
      <c r="L288" s="354">
        <v>0</v>
      </c>
      <c r="M288" s="35" t="str">
        <f>$B$209&amp;" - "&amp;$B$285&amp;" - "&amp;B288</f>
        <v>Valves and Fittings - Check Valves - Backwash - Cast Iron</v>
      </c>
      <c r="N288" s="694">
        <v>2</v>
      </c>
      <c r="O288" s="694">
        <v>1</v>
      </c>
      <c r="P288" s="694">
        <v>2</v>
      </c>
      <c r="Q288" s="694">
        <v>2</v>
      </c>
      <c r="R288" s="694">
        <v>1</v>
      </c>
      <c r="S288" s="694">
        <v>2</v>
      </c>
      <c r="T288" s="694">
        <v>2</v>
      </c>
      <c r="U288" s="694">
        <v>1</v>
      </c>
      <c r="V288" s="694">
        <v>2</v>
      </c>
      <c r="W288" s="694">
        <f t="shared" si="34"/>
        <v>0</v>
      </c>
      <c r="X288">
        <f t="shared" si="35"/>
        <v>0</v>
      </c>
      <c r="Y288" s="1"/>
    </row>
    <row r="289" spans="1:25" s="773" customFormat="1" x14ac:dyDescent="0.2">
      <c r="A289" s="320" t="s">
        <v>2256</v>
      </c>
      <c r="B289" s="1" t="s">
        <v>1772</v>
      </c>
      <c r="C289" s="555">
        <f>tot_res_chv</f>
        <v>2</v>
      </c>
      <c r="D289" s="355" t="s">
        <v>606</v>
      </c>
      <c r="E289" s="195">
        <f>IF(C289=0,"NA",res_valve_size)</f>
        <v>1</v>
      </c>
      <c r="F289" s="1" t="str">
        <f t="shared" si="46"/>
        <v>in. diam</v>
      </c>
      <c r="G289" s="195">
        <f>IF(C289=0,"NA",IF(curve=1,res_valve_size,VLOOKUP(res_valve_size,pp_chv_cost_cl,2)))</f>
        <v>1</v>
      </c>
      <c r="H289" s="510" t="str">
        <f t="shared" si="47"/>
        <v>in. diam</v>
      </c>
      <c r="I289" s="686">
        <f>IF(C289=0,0,IF(curve=1,pp_chv_eq_res,VLOOKUP(res_valve_size,pp_chv_cost_cl,3)))</f>
        <v>121.006459237</v>
      </c>
      <c r="J289" s="356">
        <f>IF(I289=0,0,IF(I289="contact vendor","--",C289*I289))</f>
        <v>242.012918474</v>
      </c>
      <c r="K289" s="195">
        <f>IF(C289=0,"NA",VLOOKUP(res_valve_size,pp_chv_cost_cl,IF(ss_cat="large",4,5)))</f>
        <v>20</v>
      </c>
      <c r="L289" s="354">
        <v>1</v>
      </c>
      <c r="M289" s="35" t="str">
        <f>$B$209 &amp; " - " &amp; $B$285&amp;" "&amp;" - "&amp;B289</f>
        <v>Valves and Fittings - Check Valves  - Residuals - Polypropylene/PVC</v>
      </c>
      <c r="N289" s="694">
        <v>1</v>
      </c>
      <c r="O289" s="694">
        <v>2</v>
      </c>
      <c r="P289" s="694">
        <v>3</v>
      </c>
      <c r="Q289" s="694">
        <v>1</v>
      </c>
      <c r="R289" s="694">
        <v>2</v>
      </c>
      <c r="S289" s="694">
        <v>3</v>
      </c>
      <c r="T289" s="694">
        <v>1</v>
      </c>
      <c r="U289" s="694">
        <v>2</v>
      </c>
      <c r="V289" s="694">
        <v>3</v>
      </c>
      <c r="W289" s="694">
        <f t="shared" si="34"/>
        <v>1</v>
      </c>
      <c r="X289">
        <f t="shared" si="35"/>
        <v>12.1006459237</v>
      </c>
      <c r="Y289" s="1"/>
    </row>
    <row r="290" spans="1:25" s="773" customFormat="1" x14ac:dyDescent="0.2">
      <c r="A290" s="320" t="s">
        <v>2256</v>
      </c>
      <c r="B290" s="1" t="s">
        <v>1773</v>
      </c>
      <c r="C290" s="555">
        <f>tot_res_chv</f>
        <v>2</v>
      </c>
      <c r="D290" s="355" t="s">
        <v>606</v>
      </c>
      <c r="E290" s="195">
        <f>IF(C290=0,"NA",res_valve_size)</f>
        <v>1</v>
      </c>
      <c r="F290" s="1" t="str">
        <f t="shared" si="46"/>
        <v>in. diam</v>
      </c>
      <c r="G290" s="195">
        <f>IF(C290=0,"NA",IF(curve=1,res_valve_size,VLOOKUP(res_valve_size,ss_chv_cost_cl,2)))</f>
        <v>1</v>
      </c>
      <c r="H290" s="510" t="str">
        <f t="shared" si="47"/>
        <v>in. diam</v>
      </c>
      <c r="I290" s="686">
        <f>IF(C290=0,0,IF(curve=1,ss_chv_eq_res,VLOOKUP(res_valve_size,ss_chv_cost_cl,3)))</f>
        <v>344.60377714499998</v>
      </c>
      <c r="J290" s="356">
        <f>IF(I290=0,0,IF(I290="contact vendor","--",C290*I290))</f>
        <v>689.20755428999996</v>
      </c>
      <c r="K290" s="195">
        <f>IF(C290=0,"NA",VLOOKUP(res_valve_size,ss_chv_cost_cl,IF(ss_cat="large",4,5)))</f>
        <v>20</v>
      </c>
      <c r="L290" s="354">
        <v>0</v>
      </c>
      <c r="M290" s="35" t="str">
        <f>$B$209 &amp; " - " &amp; $B$285&amp;" "&amp;" - "&amp;B290</f>
        <v>Valves and Fittings - Check Valves  - Residuals - Stainless Steel</v>
      </c>
      <c r="N290" s="694">
        <v>3</v>
      </c>
      <c r="O290" s="694">
        <v>3</v>
      </c>
      <c r="P290" s="694">
        <v>1</v>
      </c>
      <c r="Q290" s="694">
        <v>3</v>
      </c>
      <c r="R290" s="694">
        <v>3</v>
      </c>
      <c r="S290" s="694">
        <v>1</v>
      </c>
      <c r="T290" s="694">
        <v>3</v>
      </c>
      <c r="U290" s="694">
        <v>3</v>
      </c>
      <c r="V290" s="694">
        <v>1</v>
      </c>
      <c r="W290" s="694">
        <f t="shared" si="34"/>
        <v>0</v>
      </c>
      <c r="X290">
        <f t="shared" si="35"/>
        <v>0</v>
      </c>
      <c r="Y290" s="1"/>
    </row>
    <row r="291" spans="1:25" s="773" customFormat="1" x14ac:dyDescent="0.2">
      <c r="A291" s="320" t="s">
        <v>2256</v>
      </c>
      <c r="B291" s="1" t="s">
        <v>1459</v>
      </c>
      <c r="C291" s="555">
        <f>tot_res_chv</f>
        <v>2</v>
      </c>
      <c r="D291" s="355" t="s">
        <v>606</v>
      </c>
      <c r="E291" s="195">
        <f>IF(C291=0,"NA",res_valve_size)</f>
        <v>1</v>
      </c>
      <c r="F291" s="1" t="str">
        <f t="shared" si="46"/>
        <v>in. diam</v>
      </c>
      <c r="G291" s="195">
        <f>IF(C291=0,"NA",IF(curve=1,res_valve_size,VLOOKUP(res_valve_size,ci_chv_cost_cl,2)))</f>
        <v>1</v>
      </c>
      <c r="H291" s="510" t="str">
        <f t="shared" si="47"/>
        <v>in. diam</v>
      </c>
      <c r="I291" s="686" t="str">
        <f>IF(C291=0,0,IF(curve=1,ci_chv_eq_res,VLOOKUP(res_valve_size,ci_chv_cost_cl,3)))</f>
        <v>contact vendor</v>
      </c>
      <c r="J291" s="356" t="str">
        <f>IF(I291=0,0,IF(I291="contact vendor","--",C291*I291))</f>
        <v>--</v>
      </c>
      <c r="K291" s="195">
        <f>IF(C291=0,"NA",VLOOKUP(res_valve_size,ci_chv_cost_cl,IF(ss_cat="large",4,5)))</f>
        <v>20</v>
      </c>
      <c r="L291" s="354">
        <v>0</v>
      </c>
      <c r="M291" s="35" t="str">
        <f>$B$209 &amp; " - " &amp; $B$285&amp;" "&amp;" - "&amp;B291</f>
        <v>Valves and Fittings - Check Valves  - Residuals - Cast Iron</v>
      </c>
      <c r="N291" s="694">
        <v>2</v>
      </c>
      <c r="O291" s="694">
        <v>1</v>
      </c>
      <c r="P291" s="694">
        <v>2</v>
      </c>
      <c r="Q291" s="694">
        <v>2</v>
      </c>
      <c r="R291" s="694">
        <v>1</v>
      </c>
      <c r="S291" s="694">
        <v>2</v>
      </c>
      <c r="T291" s="694">
        <v>2</v>
      </c>
      <c r="U291" s="694">
        <v>1</v>
      </c>
      <c r="V291" s="694">
        <v>2</v>
      </c>
      <c r="W291" s="694">
        <f t="shared" si="34"/>
        <v>0</v>
      </c>
      <c r="X291">
        <f t="shared" si="35"/>
        <v>0</v>
      </c>
      <c r="Y291" s="1"/>
    </row>
    <row r="292" spans="1:25" s="773" customFormat="1" x14ac:dyDescent="0.2">
      <c r="A292" s="320" t="s">
        <v>2257</v>
      </c>
      <c r="B292" s="1" t="s">
        <v>4410</v>
      </c>
      <c r="C292" s="555">
        <f>tot_in_chv</f>
        <v>1</v>
      </c>
      <c r="D292" s="355" t="s">
        <v>606</v>
      </c>
      <c r="E292" s="195">
        <f>in_valve_size</f>
        <v>3</v>
      </c>
      <c r="F292" s="1" t="s">
        <v>1430</v>
      </c>
      <c r="G292" s="195">
        <f>IF(curve=1,in_valve_size,VLOOKUP(in_valve_size,pp_chv_cost_cl,2))</f>
        <v>3</v>
      </c>
      <c r="H292" s="510" t="s">
        <v>1430</v>
      </c>
      <c r="I292" s="686">
        <f>IF(curve=1,pp_chv_eq_in,VLOOKUP(in_valve_size,pp_chv_cost_cl,3))</f>
        <v>419.89216404900003</v>
      </c>
      <c r="J292" s="356">
        <f>IF(I292="contact vendor","--",C292*I292)</f>
        <v>419.89216404900003</v>
      </c>
      <c r="K292" s="195">
        <f>VLOOKUP(in_valve_size,pp_chv_cost_cl,IF(ss_cat="large",4,5))</f>
        <v>20</v>
      </c>
      <c r="L292" s="354">
        <v>1</v>
      </c>
      <c r="M292" s="35" t="str">
        <f t="shared" ref="M292:M297" si="48">$B$209&amp;" - "&amp;$B$285&amp;" - "&amp;B292</f>
        <v>Valves and Fittings - Check Valves - Influent and treated water - Polypropylene/PVC</v>
      </c>
      <c r="N292" s="694">
        <v>1</v>
      </c>
      <c r="O292" s="694">
        <v>2</v>
      </c>
      <c r="P292" s="694">
        <v>3</v>
      </c>
      <c r="Q292" s="694">
        <v>1</v>
      </c>
      <c r="R292" s="694">
        <v>2</v>
      </c>
      <c r="S292" s="694">
        <v>3</v>
      </c>
      <c r="T292" s="694">
        <v>1</v>
      </c>
      <c r="U292" s="694">
        <v>2</v>
      </c>
      <c r="V292" s="694">
        <v>3</v>
      </c>
      <c r="W292" s="694">
        <f t="shared" si="34"/>
        <v>1</v>
      </c>
      <c r="X292">
        <f t="shared" si="35"/>
        <v>20.994608202450003</v>
      </c>
      <c r="Y292" s="1"/>
    </row>
    <row r="293" spans="1:25" s="773" customFormat="1" x14ac:dyDescent="0.2">
      <c r="A293" s="320" t="s">
        <v>2257</v>
      </c>
      <c r="B293" s="1" t="s">
        <v>4411</v>
      </c>
      <c r="C293" s="555">
        <f>tot_in_chv</f>
        <v>1</v>
      </c>
      <c r="D293" s="355" t="s">
        <v>606</v>
      </c>
      <c r="E293" s="195">
        <f>in_valve_size</f>
        <v>3</v>
      </c>
      <c r="F293" s="1" t="s">
        <v>1430</v>
      </c>
      <c r="G293" s="195">
        <f>IF(curve=1,in_valve_size,VLOOKUP(in_valve_size,ss_chv_cost_cl,2))</f>
        <v>3</v>
      </c>
      <c r="H293" s="510" t="s">
        <v>1430</v>
      </c>
      <c r="I293" s="686">
        <f>IF(curve=1,ss_chv_eq_in,VLOOKUP(in_valve_size,ss_chv_cost_cl,3))</f>
        <v>1068.100740353</v>
      </c>
      <c r="J293" s="356">
        <f>IF(I293="contact vendor","--",C293*I293)</f>
        <v>1068.100740353</v>
      </c>
      <c r="K293" s="195">
        <f>VLOOKUP(in_valve_size,ss_chv_cost_cl,IF(ss_cat="large",4,5))</f>
        <v>20</v>
      </c>
      <c r="L293" s="354">
        <v>0</v>
      </c>
      <c r="M293" s="35" t="str">
        <f t="shared" si="48"/>
        <v>Valves and Fittings - Check Valves - Influent and treated water - Stainless Steel</v>
      </c>
      <c r="N293" s="694">
        <v>3</v>
      </c>
      <c r="O293" s="694">
        <v>3</v>
      </c>
      <c r="P293" s="694">
        <v>1</v>
      </c>
      <c r="Q293" s="694">
        <v>3</v>
      </c>
      <c r="R293" s="694">
        <v>3</v>
      </c>
      <c r="S293" s="694">
        <v>1</v>
      </c>
      <c r="T293" s="694">
        <v>3</v>
      </c>
      <c r="U293" s="694">
        <v>3</v>
      </c>
      <c r="V293" s="694">
        <v>1</v>
      </c>
      <c r="W293" s="694">
        <f t="shared" si="34"/>
        <v>0</v>
      </c>
      <c r="X293">
        <f t="shared" si="35"/>
        <v>0</v>
      </c>
      <c r="Y293" s="1"/>
    </row>
    <row r="294" spans="1:25" s="773" customFormat="1" x14ac:dyDescent="0.2">
      <c r="A294" s="320" t="s">
        <v>2257</v>
      </c>
      <c r="B294" s="1" t="s">
        <v>4412</v>
      </c>
      <c r="C294" s="555">
        <f>tot_in_chv</f>
        <v>1</v>
      </c>
      <c r="D294" s="355" t="s">
        <v>606</v>
      </c>
      <c r="E294" s="195">
        <f>in_valve_size</f>
        <v>3</v>
      </c>
      <c r="F294" s="1" t="s">
        <v>1430</v>
      </c>
      <c r="G294" s="195">
        <f>IF(curve=1,in_valve_size,VLOOKUP(in_valve_size,ci_chv_cost_cl,2))</f>
        <v>3</v>
      </c>
      <c r="H294" s="510" t="s">
        <v>1430</v>
      </c>
      <c r="I294" s="686">
        <f>IF(curve=1,ci_chv_eq_in,VLOOKUP(in_valve_size,ci_chv_cost_cl,3))</f>
        <v>994.56124249400011</v>
      </c>
      <c r="J294" s="356">
        <f>IF(I294="contact vendor","--",C294*I294)</f>
        <v>994.56124249400011</v>
      </c>
      <c r="K294" s="195">
        <f>VLOOKUP(in_valve_size,ci_chv_cost_cl,IF(ss_cat="large",4,5))</f>
        <v>20</v>
      </c>
      <c r="L294" s="354">
        <v>0</v>
      </c>
      <c r="M294" s="35" t="str">
        <f t="shared" si="48"/>
        <v>Valves and Fittings - Check Valves - Influent and treated water - Cast Iron</v>
      </c>
      <c r="N294" s="694">
        <v>2</v>
      </c>
      <c r="O294" s="694">
        <v>1</v>
      </c>
      <c r="P294" s="694">
        <v>2</v>
      </c>
      <c r="Q294" s="694">
        <v>2</v>
      </c>
      <c r="R294" s="694">
        <v>1</v>
      </c>
      <c r="S294" s="694">
        <v>2</v>
      </c>
      <c r="T294" s="694">
        <v>2</v>
      </c>
      <c r="U294" s="694">
        <v>1</v>
      </c>
      <c r="V294" s="694">
        <v>2</v>
      </c>
      <c r="W294" s="694">
        <f t="shared" si="34"/>
        <v>0</v>
      </c>
      <c r="X294">
        <f t="shared" si="35"/>
        <v>0</v>
      </c>
      <c r="Y294" s="1"/>
    </row>
    <row r="295" spans="1:25" s="773" customFormat="1" x14ac:dyDescent="0.2">
      <c r="A295" s="320" t="s">
        <v>2258</v>
      </c>
      <c r="B295" s="1" t="s">
        <v>1160</v>
      </c>
      <c r="C295" s="555">
        <f>IF(bp_pct&gt;0,tot_bp_chv,0)</f>
        <v>0</v>
      </c>
      <c r="D295" s="355" t="s">
        <v>606</v>
      </c>
      <c r="E295" s="195" t="str">
        <f>IF(bp_pct=0,"NA",bypass_valve_size)</f>
        <v>NA</v>
      </c>
      <c r="F295" s="1" t="str">
        <f>IF(bp_pct=0," ","in. diam")</f>
        <v xml:space="preserve"> </v>
      </c>
      <c r="G295" s="195" t="str">
        <f>IF(bp_pct=0,"NA",(IF(curve=1,bypass_valve_size,VLOOKUP(bypass_valve_size,pp_chv_cost_cl,2))))</f>
        <v>NA</v>
      </c>
      <c r="H295" s="510" t="str">
        <f>IF(bp_pct=0," ","in. diam")</f>
        <v xml:space="preserve"> </v>
      </c>
      <c r="I295" s="686" t="str">
        <f>IF(bp_pct=0,"NA",(IF(curve=1,pp_chv_eq_bp,VLOOKUP(bypass_valve_size,pp_chv_cost_cl,3))))</f>
        <v>NA</v>
      </c>
      <c r="J295" s="356">
        <f>IF(bp_pct=0,0,IF(I295="contact vendor","--",C295*I295))</f>
        <v>0</v>
      </c>
      <c r="K295" s="195" t="str">
        <f>IF(bp_pct=0,"NA",VLOOKUP(bypass_valve_size,pp_chv_cost_cl,IF(ss_cat="large",4,5)))</f>
        <v>NA</v>
      </c>
      <c r="L295" s="354"/>
      <c r="M295" s="35" t="str">
        <f t="shared" si="48"/>
        <v>Valves and Fittings - Check Valves - Bypass - Polypropylene/PVC</v>
      </c>
      <c r="N295" s="694">
        <v>1</v>
      </c>
      <c r="O295" s="694">
        <v>2</v>
      </c>
      <c r="P295" s="694">
        <v>3</v>
      </c>
      <c r="Q295" s="694">
        <v>1</v>
      </c>
      <c r="R295" s="694">
        <v>2</v>
      </c>
      <c r="S295" s="694">
        <v>3</v>
      </c>
      <c r="T295" s="694">
        <v>1</v>
      </c>
      <c r="U295" s="694">
        <v>2</v>
      </c>
      <c r="V295" s="694">
        <v>3</v>
      </c>
      <c r="W295" s="694">
        <f t="shared" si="34"/>
        <v>0</v>
      </c>
      <c r="X295">
        <f t="shared" si="35"/>
        <v>0</v>
      </c>
      <c r="Y295" s="1"/>
    </row>
    <row r="296" spans="1:25" s="773" customFormat="1" x14ac:dyDescent="0.2">
      <c r="A296" s="320" t="s">
        <v>2258</v>
      </c>
      <c r="B296" s="1" t="s">
        <v>1161</v>
      </c>
      <c r="C296" s="555">
        <f>IF(bp_pct&gt;0,tot_bp_chv,0)</f>
        <v>0</v>
      </c>
      <c r="D296" s="355" t="s">
        <v>606</v>
      </c>
      <c r="E296" s="195" t="str">
        <f>IF(bp_pct=0,"NA",bypass_valve_size)</f>
        <v>NA</v>
      </c>
      <c r="F296" s="1" t="str">
        <f>IF(bp_pct=0," ","in. diam")</f>
        <v xml:space="preserve"> </v>
      </c>
      <c r="G296" s="195" t="str">
        <f>IF(bp_pct=0,"NA",(IF(curve=1,bypass_valve_size,VLOOKUP(bypass_valve_size,ss_chv_cost_cl,2))))</f>
        <v>NA</v>
      </c>
      <c r="H296" s="510" t="str">
        <f>IF(bp_pct=0," ","in. diam")</f>
        <v xml:space="preserve"> </v>
      </c>
      <c r="I296" s="686" t="str">
        <f>IF(bp_pct=0,"NA",(IF(curve=1,ss_chv_eq_bp,VLOOKUP(bypass_valve_size,ss_chv_cost_cl,3))))</f>
        <v>NA</v>
      </c>
      <c r="J296" s="356">
        <f>IF(bp_pct=0,0,IF(I296="contact vendor","--",C296*I296))</f>
        <v>0</v>
      </c>
      <c r="K296" s="195" t="str">
        <f>IF(bp_pct=0,"NA",VLOOKUP(bypass_valve_size,ss_chv_cost_cl,IF(ss_cat="large",4,5)))</f>
        <v>NA</v>
      </c>
      <c r="L296" s="354"/>
      <c r="M296" s="35" t="str">
        <f t="shared" si="48"/>
        <v>Valves and Fittings - Check Valves - Bypass - Stainless Steel</v>
      </c>
      <c r="N296" s="694">
        <v>3</v>
      </c>
      <c r="O296" s="694">
        <v>3</v>
      </c>
      <c r="P296" s="694">
        <v>1</v>
      </c>
      <c r="Q296" s="694">
        <v>3</v>
      </c>
      <c r="R296" s="694">
        <v>3</v>
      </c>
      <c r="S296" s="694">
        <v>1</v>
      </c>
      <c r="T296" s="694">
        <v>3</v>
      </c>
      <c r="U296" s="694">
        <v>3</v>
      </c>
      <c r="V296" s="694">
        <v>1</v>
      </c>
      <c r="W296" s="694">
        <f t="shared" si="34"/>
        <v>0</v>
      </c>
      <c r="X296">
        <f t="shared" si="35"/>
        <v>0</v>
      </c>
      <c r="Y296" s="1"/>
    </row>
    <row r="297" spans="1:25" s="773" customFormat="1" x14ac:dyDescent="0.2">
      <c r="A297" s="320" t="s">
        <v>2258</v>
      </c>
      <c r="B297" s="1" t="s">
        <v>1162</v>
      </c>
      <c r="C297" s="555">
        <f>IF(bp_pct&gt;0,tot_bp_chv,0)</f>
        <v>0</v>
      </c>
      <c r="D297" s="355" t="s">
        <v>606</v>
      </c>
      <c r="E297" s="195" t="str">
        <f>IF(bp_pct=0,"NA",bypass_valve_size)</f>
        <v>NA</v>
      </c>
      <c r="F297" s="1" t="str">
        <f>IF(bp_pct=0," ","in. diam")</f>
        <v xml:space="preserve"> </v>
      </c>
      <c r="G297" s="195" t="str">
        <f>IF(bp_pct=0,"NA",(IF(curve=1,bypass_valve_size,VLOOKUP(bypass_valve_size,ci_chv_cost_cl,2))))</f>
        <v>NA</v>
      </c>
      <c r="H297" s="510" t="str">
        <f>IF(bp_pct=0," ","in. diam")</f>
        <v xml:space="preserve"> </v>
      </c>
      <c r="I297" s="686" t="str">
        <f>IF(bp_pct=0,"NA",(IF(curve=1,ci_chv_eq_bp,VLOOKUP(bypass_valve_size,ci_chv_cost_cl,3))))</f>
        <v>NA</v>
      </c>
      <c r="J297" s="356">
        <f>IF(bp_pct=0,0,IF(I297="contact vendor","--",C297*I297))</f>
        <v>0</v>
      </c>
      <c r="K297" s="195" t="str">
        <f>IF(bp_pct=0,"NA",VLOOKUP(bypass_valve_size,ci_chv_cost_cl,IF(ss_cat="large",4,5)))</f>
        <v>NA</v>
      </c>
      <c r="L297" s="354"/>
      <c r="M297" s="35" t="str">
        <f t="shared" si="48"/>
        <v>Valves and Fittings - Check Valves - Bypass - Cast Iron</v>
      </c>
      <c r="N297" s="694">
        <v>2</v>
      </c>
      <c r="O297" s="694">
        <v>1</v>
      </c>
      <c r="P297" s="694">
        <v>2</v>
      </c>
      <c r="Q297" s="694">
        <v>2</v>
      </c>
      <c r="R297" s="694">
        <v>1</v>
      </c>
      <c r="S297" s="694">
        <v>2</v>
      </c>
      <c r="T297" s="694">
        <v>2</v>
      </c>
      <c r="U297" s="694">
        <v>1</v>
      </c>
      <c r="V297" s="694">
        <v>2</v>
      </c>
      <c r="W297" s="694">
        <f t="shared" si="34"/>
        <v>0</v>
      </c>
      <c r="X297">
        <f t="shared" si="35"/>
        <v>0</v>
      </c>
      <c r="Y297" s="1"/>
    </row>
    <row r="298" spans="1:25" s="773" customFormat="1" x14ac:dyDescent="0.2">
      <c r="A298" s="320" t="s">
        <v>2259</v>
      </c>
      <c r="B298" s="1" t="s">
        <v>2083</v>
      </c>
      <c r="C298" s="555">
        <f>tot_e_donor_chv</f>
        <v>4</v>
      </c>
      <c r="D298" s="355" t="s">
        <v>606</v>
      </c>
      <c r="E298" s="195">
        <f>e_donor_valve_size</f>
        <v>0.5</v>
      </c>
      <c r="F298" s="1" t="s">
        <v>1430</v>
      </c>
      <c r="G298" s="195">
        <f>IF(curve=1,e_donor_valve_size,VLOOKUP(e_donor_valve_size,pp_chv_cost_cl,2))</f>
        <v>0.5</v>
      </c>
      <c r="H298" s="510" t="s">
        <v>1430</v>
      </c>
      <c r="I298" s="686">
        <f>IF(curve=1,pp_chv_eq_e_donor,VLOOKUP(e_donor_valve_size,pp_chv_cost_cl,3))</f>
        <v>76.119009675249998</v>
      </c>
      <c r="J298" s="356">
        <f>IF(I298="contact vendor","--",C298*I298)</f>
        <v>304.47603870099999</v>
      </c>
      <c r="K298" s="195">
        <f>VLOOKUP(e_donor_valve_size,pp_chv_cost_cl,IF(ss_cat="large",4,5))</f>
        <v>20</v>
      </c>
      <c r="L298" s="354">
        <v>1</v>
      </c>
      <c r="M298" s="35" t="str">
        <f t="shared" ref="M298:M303" si="49">$B$209&amp;" - "&amp;$B$285&amp;" - "&amp;B298</f>
        <v>Valves and Fittings - Check Valves - Electron Donor - Polypropylene/PVC</v>
      </c>
      <c r="N298" s="694">
        <v>1</v>
      </c>
      <c r="O298" s="694">
        <v>2</v>
      </c>
      <c r="P298" s="694">
        <v>2</v>
      </c>
      <c r="Q298" s="694">
        <v>1</v>
      </c>
      <c r="R298" s="694">
        <v>2</v>
      </c>
      <c r="S298" s="694">
        <v>2</v>
      </c>
      <c r="T298" s="694">
        <v>1</v>
      </c>
      <c r="U298" s="694">
        <v>2</v>
      </c>
      <c r="V298" s="694">
        <v>2</v>
      </c>
      <c r="W298" s="694">
        <f t="shared" si="34"/>
        <v>1</v>
      </c>
      <c r="X298">
        <f t="shared" si="35"/>
        <v>15.22380193505</v>
      </c>
      <c r="Y298" s="1"/>
    </row>
    <row r="299" spans="1:25" s="773" customFormat="1" x14ac:dyDescent="0.2">
      <c r="A299" s="320" t="s">
        <v>2259</v>
      </c>
      <c r="B299" s="1" t="s">
        <v>2084</v>
      </c>
      <c r="C299" s="555">
        <f>tot_e_donor_chv</f>
        <v>4</v>
      </c>
      <c r="D299" s="355" t="s">
        <v>606</v>
      </c>
      <c r="E299" s="195">
        <f>e_donor_valve_size</f>
        <v>0.5</v>
      </c>
      <c r="F299" s="1" t="s">
        <v>1430</v>
      </c>
      <c r="G299" s="195">
        <f>IF(curve=1,e_donor_valve_size,VLOOKUP(e_donor_valve_size,ss_chv_cost_cl,2))</f>
        <v>0.5</v>
      </c>
      <c r="H299" s="510" t="s">
        <v>1430</v>
      </c>
      <c r="I299" s="686">
        <f>IF(curve=1,ss_chv_eq_e_donor,VLOOKUP(e_donor_valve_size,ss_chv_cost_cl,3))</f>
        <v>218.40374976175002</v>
      </c>
      <c r="J299" s="356">
        <f>IF(I299="contact vendor","--",C299*I299)</f>
        <v>873.61499904700008</v>
      </c>
      <c r="K299" s="195">
        <f>VLOOKUP(e_donor_valve_size,ss_chv_cost_cl,IF(ss_cat="large",4,5))</f>
        <v>20</v>
      </c>
      <c r="L299" s="354">
        <v>0</v>
      </c>
      <c r="M299" s="35" t="str">
        <f t="shared" si="49"/>
        <v>Valves and Fittings - Check Valves - Electron Donor - Stainless Steel</v>
      </c>
      <c r="N299" s="694">
        <v>2</v>
      </c>
      <c r="O299" s="694">
        <v>1</v>
      </c>
      <c r="P299" s="694">
        <v>1</v>
      </c>
      <c r="Q299" s="694">
        <v>2</v>
      </c>
      <c r="R299" s="694">
        <v>1</v>
      </c>
      <c r="S299" s="694">
        <v>1</v>
      </c>
      <c r="T299" s="694">
        <v>2</v>
      </c>
      <c r="U299" s="694">
        <v>1</v>
      </c>
      <c r="V299" s="694">
        <v>1</v>
      </c>
      <c r="W299" s="694">
        <f t="shared" si="34"/>
        <v>0</v>
      </c>
      <c r="X299">
        <f t="shared" si="35"/>
        <v>0</v>
      </c>
      <c r="Y299" s="1"/>
    </row>
    <row r="300" spans="1:25" s="773" customFormat="1" x14ac:dyDescent="0.2">
      <c r="A300" s="320" t="s">
        <v>2260</v>
      </c>
      <c r="B300" s="1" t="s">
        <v>2085</v>
      </c>
      <c r="C300" s="555">
        <f>tot_NH4Cl_chv</f>
        <v>0</v>
      </c>
      <c r="D300" s="355" t="s">
        <v>606</v>
      </c>
      <c r="E300" s="195">
        <f>NH4Cl_valve_size</f>
        <v>0</v>
      </c>
      <c r="F300" s="1" t="s">
        <v>1430</v>
      </c>
      <c r="G300" s="195">
        <f>IF(curve=1,NH4Cl_valve_size,VLOOKUP(NH4Cl_valve_size,pp_chv_cost_cl,2))</f>
        <v>0</v>
      </c>
      <c r="H300" s="510" t="s">
        <v>1430</v>
      </c>
      <c r="I300" s="686" t="str">
        <f>IF(C300=0,"NA",IF(curve=1,pp_chv_eq_NH4Cl,VLOOKUP(NH4Cl_valve_size,pp_chv_cost_cl,3)))</f>
        <v>NA</v>
      </c>
      <c r="J300" s="356" t="str">
        <f t="shared" ref="J300:J309" si="50">IF(OR(C300=0,I300="contact vendor"),"--",C300*I300)</f>
        <v>--</v>
      </c>
      <c r="K300" s="195">
        <f>VLOOKUP(NH4Cl_valve_size,pp_chv_cost_cl,IF(ss_cat="large",4,5))</f>
        <v>20</v>
      </c>
      <c r="L300" s="354"/>
      <c r="M300" s="35" t="str">
        <f t="shared" si="49"/>
        <v>Valves and Fittings - Check Valves - Ammonium Chloride - Polypropylene/PVC</v>
      </c>
      <c r="N300" s="694">
        <v>1</v>
      </c>
      <c r="O300" s="694">
        <v>2</v>
      </c>
      <c r="P300" s="694">
        <v>2</v>
      </c>
      <c r="Q300" s="694">
        <v>1</v>
      </c>
      <c r="R300" s="694">
        <v>2</v>
      </c>
      <c r="S300" s="694">
        <v>2</v>
      </c>
      <c r="T300" s="694">
        <v>1</v>
      </c>
      <c r="U300" s="694">
        <v>2</v>
      </c>
      <c r="V300" s="694">
        <v>2</v>
      </c>
      <c r="W300" s="694">
        <f t="shared" si="34"/>
        <v>0</v>
      </c>
      <c r="X300">
        <f t="shared" si="35"/>
        <v>0</v>
      </c>
      <c r="Y300" s="1"/>
    </row>
    <row r="301" spans="1:25" s="773" customFormat="1" x14ac:dyDescent="0.2">
      <c r="A301" s="320" t="s">
        <v>2260</v>
      </c>
      <c r="B301" s="1" t="s">
        <v>2086</v>
      </c>
      <c r="C301" s="555">
        <f>tot_NH4Cl_chv</f>
        <v>0</v>
      </c>
      <c r="D301" s="355" t="s">
        <v>606</v>
      </c>
      <c r="E301" s="195">
        <f>NH4Cl_valve_size</f>
        <v>0</v>
      </c>
      <c r="F301" s="1" t="s">
        <v>1430</v>
      </c>
      <c r="G301" s="195">
        <f>IF(curve=1,NH4Cl_valve_size,VLOOKUP(NH4Cl_valve_size,ss_chv_cost_cl,2))</f>
        <v>0</v>
      </c>
      <c r="H301" s="510" t="s">
        <v>1430</v>
      </c>
      <c r="I301" s="686" t="str">
        <f>IF(C301=0,"NA",IF(curve=1,ss_chv_eq_NH4Cl,VLOOKUP(NH4Cl_valve_size,ss_chv_cost_cl,3)))</f>
        <v>NA</v>
      </c>
      <c r="J301" s="356" t="str">
        <f t="shared" si="50"/>
        <v>--</v>
      </c>
      <c r="K301" s="195">
        <f>VLOOKUP(NH4Cl_valve_size,ss_chv_cost_cl,IF(ss_cat="large",4,5))</f>
        <v>20</v>
      </c>
      <c r="L301" s="354"/>
      <c r="M301" s="35" t="str">
        <f t="shared" si="49"/>
        <v>Valves and Fittings - Check Valves - Ammonium Chloride - Stainless Steel</v>
      </c>
      <c r="N301" s="694">
        <v>2</v>
      </c>
      <c r="O301" s="694">
        <v>1</v>
      </c>
      <c r="P301" s="694">
        <v>1</v>
      </c>
      <c r="Q301" s="694">
        <v>2</v>
      </c>
      <c r="R301" s="694">
        <v>1</v>
      </c>
      <c r="S301" s="694">
        <v>1</v>
      </c>
      <c r="T301" s="694">
        <v>2</v>
      </c>
      <c r="U301" s="694">
        <v>1</v>
      </c>
      <c r="V301" s="694">
        <v>1</v>
      </c>
      <c r="W301" s="694">
        <f t="shared" si="34"/>
        <v>0</v>
      </c>
      <c r="X301">
        <f t="shared" si="35"/>
        <v>0</v>
      </c>
      <c r="Y301" s="1"/>
    </row>
    <row r="302" spans="1:25" s="773" customFormat="1" x14ac:dyDescent="0.2">
      <c r="A302" s="320" t="s">
        <v>2261</v>
      </c>
      <c r="B302" s="1" t="s">
        <v>2087</v>
      </c>
      <c r="C302" s="555">
        <f>tot_H3PO4_chv</f>
        <v>6</v>
      </c>
      <c r="D302" s="355" t="s">
        <v>606</v>
      </c>
      <c r="E302" s="195">
        <f>H3PO4_valve_size</f>
        <v>0.5</v>
      </c>
      <c r="F302" s="1" t="s">
        <v>1430</v>
      </c>
      <c r="G302" s="195">
        <f>IF(curve=1,H3PO4_valve_size,VLOOKUP(H3PO4_valve_size,pp_chv_cost_cl,2))</f>
        <v>0.5</v>
      </c>
      <c r="H302" s="510" t="s">
        <v>1430</v>
      </c>
      <c r="I302" s="686">
        <f>IF(C302=0,"NA",IF(curve=1,pp_chv_eq_H3PO4,VLOOKUP(H3PO4_valve_size,pp_chv_cost_cl,3)))</f>
        <v>76.119009675249998</v>
      </c>
      <c r="J302" s="356">
        <f t="shared" si="50"/>
        <v>456.71405805149999</v>
      </c>
      <c r="K302" s="195">
        <f>VLOOKUP(H3PO4_valve_size,pp_chv_cost_cl,IF(ss_cat="large",4,5))</f>
        <v>20</v>
      </c>
      <c r="L302" s="354">
        <v>1</v>
      </c>
      <c r="M302" s="35" t="str">
        <f t="shared" si="49"/>
        <v>Valves and Fittings - Check Valves - Phosphoric Acid - Polypropylene/PVC</v>
      </c>
      <c r="N302" s="694">
        <v>1</v>
      </c>
      <c r="O302" s="694">
        <v>2</v>
      </c>
      <c r="P302" s="694">
        <v>2</v>
      </c>
      <c r="Q302" s="694">
        <v>1</v>
      </c>
      <c r="R302" s="694">
        <v>2</v>
      </c>
      <c r="S302" s="694">
        <v>2</v>
      </c>
      <c r="T302" s="694">
        <v>1</v>
      </c>
      <c r="U302" s="694">
        <v>2</v>
      </c>
      <c r="V302" s="694">
        <v>2</v>
      </c>
      <c r="W302" s="694">
        <f t="shared" si="34"/>
        <v>1</v>
      </c>
      <c r="X302">
        <f t="shared" si="35"/>
        <v>22.835702902575001</v>
      </c>
      <c r="Y302" s="1"/>
    </row>
    <row r="303" spans="1:25" s="773" customFormat="1" x14ac:dyDescent="0.2">
      <c r="A303" s="320" t="s">
        <v>2261</v>
      </c>
      <c r="B303" s="1" t="s">
        <v>2088</v>
      </c>
      <c r="C303" s="555">
        <f>tot_H3PO4_chv</f>
        <v>6</v>
      </c>
      <c r="D303" s="355" t="s">
        <v>606</v>
      </c>
      <c r="E303" s="195">
        <f>H3PO4_valve_size</f>
        <v>0.5</v>
      </c>
      <c r="F303" s="1" t="s">
        <v>1430</v>
      </c>
      <c r="G303" s="195">
        <f>IF(curve=1,H3PO4_valve_size,VLOOKUP(H3PO4_valve_size,ss_chv_cost_cl,2))</f>
        <v>0.5</v>
      </c>
      <c r="H303" s="510" t="s">
        <v>1430</v>
      </c>
      <c r="I303" s="686">
        <f>IF(C303=0,"NA",IF(curve=1,ss_chv_eq_H3PO4,VLOOKUP(H3PO4_valve_size,ss_chv_cost_cl,3)))</f>
        <v>218.40374976175002</v>
      </c>
      <c r="J303" s="356">
        <f t="shared" si="50"/>
        <v>1310.4224985705</v>
      </c>
      <c r="K303" s="195">
        <f>VLOOKUP(H3PO4_valve_size,ss_chv_cost_cl,IF(ss_cat="large",4,5))</f>
        <v>20</v>
      </c>
      <c r="L303" s="354">
        <v>0</v>
      </c>
      <c r="M303" s="35" t="str">
        <f t="shared" si="49"/>
        <v>Valves and Fittings - Check Valves - Phosphoric Acid - Stainless Steel</v>
      </c>
      <c r="N303" s="694">
        <v>2</v>
      </c>
      <c r="O303" s="694">
        <v>1</v>
      </c>
      <c r="P303" s="694">
        <v>1</v>
      </c>
      <c r="Q303" s="694">
        <v>2</v>
      </c>
      <c r="R303" s="694">
        <v>1</v>
      </c>
      <c r="S303" s="694">
        <v>1</v>
      </c>
      <c r="T303" s="694">
        <v>2</v>
      </c>
      <c r="U303" s="694">
        <v>1</v>
      </c>
      <c r="V303" s="694">
        <v>1</v>
      </c>
      <c r="W303" s="694">
        <f t="shared" si="34"/>
        <v>0</v>
      </c>
      <c r="X303">
        <f t="shared" si="35"/>
        <v>0</v>
      </c>
      <c r="Y303" s="1"/>
    </row>
    <row r="304" spans="1:25" s="773" customFormat="1" x14ac:dyDescent="0.2">
      <c r="A304" s="320" t="s">
        <v>2261</v>
      </c>
      <c r="B304" s="1" t="s">
        <v>143</v>
      </c>
      <c r="C304" s="555">
        <f>tot_H2O2_chv</f>
        <v>0</v>
      </c>
      <c r="D304" s="355" t="s">
        <v>606</v>
      </c>
      <c r="E304" s="195">
        <f>H2O2_valve_size</f>
        <v>0</v>
      </c>
      <c r="F304" s="1" t="s">
        <v>1430</v>
      </c>
      <c r="G304" s="195">
        <f>IF(curve=1,H2O2_valve_size,VLOOKUP(H3PO4_valve_size,pp_chv_cost_cl,2))</f>
        <v>0</v>
      </c>
      <c r="H304" s="510" t="s">
        <v>1430</v>
      </c>
      <c r="I304" s="686" t="str">
        <f>IF(C304=0,"NA",IF(curve=1,pp_chv_eq_H2O2,VLOOKUP(H3PO4_valve_size,pp_chv_cost_cl,3)))</f>
        <v>NA</v>
      </c>
      <c r="J304" s="356" t="str">
        <f t="shared" si="50"/>
        <v>--</v>
      </c>
      <c r="K304" s="195">
        <f>VLOOKUP(H2O2_valve_size,pp_chv_cost_cl,IF(ss_cat="large",4,5))</f>
        <v>20</v>
      </c>
      <c r="L304" s="354">
        <v>0</v>
      </c>
      <c r="M304" s="35" t="str">
        <f t="shared" ref="M304:M309" si="51">$B$209&amp;" - "&amp;$B$285&amp;" - "&amp;B304</f>
        <v>Valves and Fittings - Check Valves - Hydrogen Peroxide - Polypropylene/PVC</v>
      </c>
      <c r="N304" s="694">
        <v>1</v>
      </c>
      <c r="O304" s="694">
        <v>2</v>
      </c>
      <c r="P304" s="694">
        <v>2</v>
      </c>
      <c r="Q304" s="694">
        <v>1</v>
      </c>
      <c r="R304" s="694">
        <v>2</v>
      </c>
      <c r="S304" s="694">
        <v>2</v>
      </c>
      <c r="T304" s="694">
        <v>1</v>
      </c>
      <c r="U304" s="694">
        <v>2</v>
      </c>
      <c r="V304" s="694">
        <v>2</v>
      </c>
      <c r="W304" s="694">
        <f t="shared" si="34"/>
        <v>0</v>
      </c>
      <c r="X304">
        <f t="shared" si="35"/>
        <v>0</v>
      </c>
      <c r="Y304" s="1"/>
    </row>
    <row r="305" spans="1:25" s="773" customFormat="1" x14ac:dyDescent="0.2">
      <c r="A305" s="320" t="s">
        <v>2261</v>
      </c>
      <c r="B305" s="1" t="s">
        <v>144</v>
      </c>
      <c r="C305" s="555">
        <f>tot_H2O2_chv</f>
        <v>0</v>
      </c>
      <c r="D305" s="355" t="s">
        <v>606</v>
      </c>
      <c r="E305" s="195">
        <f>H2O2_valve_size</f>
        <v>0</v>
      </c>
      <c r="F305" s="1" t="s">
        <v>1430</v>
      </c>
      <c r="G305" s="195">
        <f>IF(curve=1,H2O2_valve_size,VLOOKUP(H3PO4_valve_size,ss_chv_cost_cl,2))</f>
        <v>0</v>
      </c>
      <c r="H305" s="510" t="s">
        <v>1430</v>
      </c>
      <c r="I305" s="686" t="str">
        <f>IF(C305=0,"NA",IF(curve=1,ss_chv_eq_H2O2,VLOOKUP(H3PO4_valve_size,ss_chv_cost_cl,3)))</f>
        <v>NA</v>
      </c>
      <c r="J305" s="356" t="str">
        <f t="shared" si="50"/>
        <v>--</v>
      </c>
      <c r="K305" s="195">
        <f>VLOOKUP(H3PO4_valve_size,ss_chv_cost_cl,IF(ss_cat="large",4,5))</f>
        <v>20</v>
      </c>
      <c r="L305" s="354">
        <v>0</v>
      </c>
      <c r="M305" s="35" t="str">
        <f t="shared" si="51"/>
        <v>Valves and Fittings - Check Valves - Hydrogen Peroxide - Stainless Steel</v>
      </c>
      <c r="N305" s="694">
        <v>2</v>
      </c>
      <c r="O305" s="694">
        <v>1</v>
      </c>
      <c r="P305" s="694">
        <v>1</v>
      </c>
      <c r="Q305" s="694">
        <v>2</v>
      </c>
      <c r="R305" s="694">
        <v>1</v>
      </c>
      <c r="S305" s="694">
        <v>1</v>
      </c>
      <c r="T305" s="694">
        <v>2</v>
      </c>
      <c r="U305" s="694">
        <v>1</v>
      </c>
      <c r="V305" s="694">
        <v>1</v>
      </c>
      <c r="W305" s="694">
        <f t="shared" si="34"/>
        <v>0</v>
      </c>
      <c r="X305">
        <f t="shared" si="35"/>
        <v>0</v>
      </c>
      <c r="Y305" s="1"/>
    </row>
    <row r="306" spans="1:25" s="773" customFormat="1" x14ac:dyDescent="0.2">
      <c r="A306" s="320" t="s">
        <v>754</v>
      </c>
      <c r="B306" s="1" t="s">
        <v>4366</v>
      </c>
      <c r="C306" s="30">
        <f>tot_coag_chv</f>
        <v>2</v>
      </c>
      <c r="D306" s="351" t="s">
        <v>606</v>
      </c>
      <c r="E306" s="352">
        <f>IF(C306=0,"NA",coag_valve_size)</f>
        <v>0.5</v>
      </c>
      <c r="F306" s="1" t="str">
        <f>IF(C306=0,"","in. diam")</f>
        <v>in. diam</v>
      </c>
      <c r="G306" s="352">
        <f>IF(C306=0,"NA",IF(curve=1,coag_valve_size,VLOOKUP(coag_valve_size,pp_chv_cost_cl,2)))</f>
        <v>0.5</v>
      </c>
      <c r="H306" s="1" t="str">
        <f>IF(C306=0,"","in. diam")</f>
        <v>in. diam</v>
      </c>
      <c r="I306" s="357">
        <f>IF(C306=0,"NA",IF(curve=1,pp_chv_eq_coag,VLOOKUP(coag_valve_size,pp_chv_cost_cl,3)))</f>
        <v>76.119009675249998</v>
      </c>
      <c r="J306" s="353">
        <f t="shared" ref="J306" si="52">IF(OR(C306=0,I306="contact vendor"),"--",C306*I306)</f>
        <v>152.2380193505</v>
      </c>
      <c r="K306" s="352">
        <f>IF(C306=0,"NA",VLOOKUP(coag_valve_size,pp_chv_cost_cl,IF(ss_cat="large",4,5)))</f>
        <v>20</v>
      </c>
      <c r="L306" s="599">
        <v>1</v>
      </c>
      <c r="M306" s="35" t="str">
        <f t="shared" si="51"/>
        <v>Valves and Fittings - Check Valves - Ferric Chloride - Polypropylene/PVC</v>
      </c>
      <c r="N306" s="694">
        <v>1</v>
      </c>
      <c r="O306" s="694">
        <v>1</v>
      </c>
      <c r="P306" s="694">
        <v>1</v>
      </c>
      <c r="Q306" s="694">
        <v>1</v>
      </c>
      <c r="R306" s="694">
        <v>1</v>
      </c>
      <c r="S306" s="694">
        <v>1</v>
      </c>
      <c r="T306" s="694">
        <v>1</v>
      </c>
      <c r="U306" s="694">
        <v>1</v>
      </c>
      <c r="V306" s="694">
        <v>1</v>
      </c>
      <c r="W306" s="694">
        <v>1</v>
      </c>
      <c r="X306">
        <f t="shared" ref="X306" si="53">IF(W306,J306/K306,0)</f>
        <v>7.611900967525</v>
      </c>
      <c r="Y306" s="1"/>
    </row>
    <row r="307" spans="1:25" s="773" customFormat="1" x14ac:dyDescent="0.2">
      <c r="A307" s="320" t="s">
        <v>4371</v>
      </c>
      <c r="B307" s="1" t="s">
        <v>751</v>
      </c>
      <c r="C307" s="30">
        <f>tot_polymer_chv</f>
        <v>2</v>
      </c>
      <c r="D307" s="351" t="s">
        <v>606</v>
      </c>
      <c r="E307" s="352">
        <f>IF(C307=0,"NA",polymer_valve_size)</f>
        <v>0.5</v>
      </c>
      <c r="F307" s="1" t="str">
        <f>IF(C307=0,"","in. diam")</f>
        <v>in. diam</v>
      </c>
      <c r="G307" s="352">
        <f>IF(C307=0,"NA",IF(curve=1,polymer_valve_size,VLOOKUP(polymer_valve_size,pp_chv_cost_cl,2)))</f>
        <v>0.5</v>
      </c>
      <c r="H307" s="1" t="str">
        <f>IF(C307=0,"","in. diam")</f>
        <v>in. diam</v>
      </c>
      <c r="I307" s="357">
        <f>IF(C307=0,"NA",IF(curve=1,pp_chv_eq_polymer,VLOOKUP(polymer_valve_size,pp_chv_cost_cl,3)))</f>
        <v>76.119009675249998</v>
      </c>
      <c r="J307" s="353">
        <f t="shared" si="50"/>
        <v>152.2380193505</v>
      </c>
      <c r="K307" s="352">
        <f>IF(C307=0,"NA",VLOOKUP(polymer_valve_size,pp_chv_cost_cl,IF(ss_cat="large",4,5)))</f>
        <v>20</v>
      </c>
      <c r="L307" s="599">
        <v>1</v>
      </c>
      <c r="M307" s="35" t="str">
        <f t="shared" si="51"/>
        <v>Valves and Fittings - Check Valves - Polymer - Polypropylene/PVC</v>
      </c>
      <c r="N307" s="694">
        <v>1</v>
      </c>
      <c r="O307" s="694">
        <v>2</v>
      </c>
      <c r="P307" s="694">
        <v>3</v>
      </c>
      <c r="Q307" s="694">
        <v>1</v>
      </c>
      <c r="R307" s="694">
        <v>2</v>
      </c>
      <c r="S307" s="694">
        <v>3</v>
      </c>
      <c r="T307" s="694">
        <v>1</v>
      </c>
      <c r="U307" s="694">
        <v>2</v>
      </c>
      <c r="V307" s="694">
        <v>3</v>
      </c>
      <c r="W307" s="694">
        <f t="shared" si="34"/>
        <v>1</v>
      </c>
      <c r="X307">
        <f t="shared" si="35"/>
        <v>7.611900967525</v>
      </c>
      <c r="Y307" s="1"/>
    </row>
    <row r="308" spans="1:25" s="773" customFormat="1" x14ac:dyDescent="0.2">
      <c r="A308" s="320" t="s">
        <v>4371</v>
      </c>
      <c r="B308" s="1" t="s">
        <v>752</v>
      </c>
      <c r="C308" s="30">
        <f>tot_polymer_chv</f>
        <v>2</v>
      </c>
      <c r="D308" s="351" t="s">
        <v>606</v>
      </c>
      <c r="E308" s="352">
        <f>IF(C308=0,"NA",polymer_valve_size)</f>
        <v>0.5</v>
      </c>
      <c r="F308" s="1" t="str">
        <f>IF(C308=0,"","in. diam")</f>
        <v>in. diam</v>
      </c>
      <c r="G308" s="352">
        <f>IF(C308=0,"NA",IF(curve=1,polymer_valve_size,VLOOKUP(polymer_valve_size,ss_chv_cost_cl,2)))</f>
        <v>0.5</v>
      </c>
      <c r="H308" s="1" t="str">
        <f>IF(C308=0,"","in. diam")</f>
        <v>in. diam</v>
      </c>
      <c r="I308" s="357">
        <f>IF(C308=0,"NA",IF(curve=1,ss_chv_eq_polymer,VLOOKUP(polymer_valve_size,ss_chv_cost_cl,3)))</f>
        <v>218.40374976175002</v>
      </c>
      <c r="J308" s="353">
        <f t="shared" si="50"/>
        <v>436.80749952350004</v>
      </c>
      <c r="K308" s="352">
        <f>IF(C308=0,"NA",VLOOKUP(polymer_valve_size,ss_chv_cost_cl,IF(ss_cat="large",4,5)))</f>
        <v>20</v>
      </c>
      <c r="L308" s="684">
        <v>0</v>
      </c>
      <c r="M308" s="35" t="str">
        <f t="shared" si="51"/>
        <v>Valves and Fittings - Check Valves - Polymer - Stainless Steel</v>
      </c>
      <c r="N308" s="694">
        <v>3</v>
      </c>
      <c r="O308" s="694">
        <v>3</v>
      </c>
      <c r="P308" s="694">
        <v>1</v>
      </c>
      <c r="Q308" s="694">
        <v>3</v>
      </c>
      <c r="R308" s="694">
        <v>3</v>
      </c>
      <c r="S308" s="694">
        <v>1</v>
      </c>
      <c r="T308" s="694">
        <v>3</v>
      </c>
      <c r="U308" s="694">
        <v>3</v>
      </c>
      <c r="V308" s="694">
        <v>1</v>
      </c>
      <c r="W308" s="694">
        <f t="shared" si="34"/>
        <v>0</v>
      </c>
      <c r="X308">
        <f t="shared" si="35"/>
        <v>0</v>
      </c>
      <c r="Y308" s="1"/>
    </row>
    <row r="309" spans="1:25" s="773" customFormat="1" x14ac:dyDescent="0.2">
      <c r="A309" s="320" t="s">
        <v>4371</v>
      </c>
      <c r="B309" s="1" t="s">
        <v>753</v>
      </c>
      <c r="C309" s="30">
        <f>tot_polymer_chv</f>
        <v>2</v>
      </c>
      <c r="D309" s="351" t="s">
        <v>606</v>
      </c>
      <c r="E309" s="352">
        <f>IF(C309=0,"NA",polymer_valve_size)</f>
        <v>0.5</v>
      </c>
      <c r="F309" s="1" t="str">
        <f>IF(C309=0,"","in. diam")</f>
        <v>in. diam</v>
      </c>
      <c r="G309" s="352">
        <f>IF(C309=0,"NA",IF(curve=1,polymer_valve_size,VLOOKUP(polymer_valve_size,ci_chv_cost_cl,2)))</f>
        <v>0.5</v>
      </c>
      <c r="H309" s="1" t="str">
        <f>IF(C309=0,"","in. diam")</f>
        <v>in. diam</v>
      </c>
      <c r="I309" s="357" t="str">
        <f>IF(C309=0,"NA",IF(curve=1,ci_chv_eq_polymer,VLOOKUP(polymer_valve_size,ci_chv_cost_cl,3)))</f>
        <v>contact vendor</v>
      </c>
      <c r="J309" s="353" t="str">
        <f t="shared" si="50"/>
        <v>--</v>
      </c>
      <c r="K309" s="352">
        <f>IF(C309=0,"NA",VLOOKUP(polymer_valve_size,ci_chv_cost_cl,IF(ss_cat="large",4,5)))</f>
        <v>20</v>
      </c>
      <c r="L309" s="599">
        <v>0</v>
      </c>
      <c r="M309" s="35" t="str">
        <f t="shared" si="51"/>
        <v>Valves and Fittings - Check Valves - Polymer - Cast Iron</v>
      </c>
      <c r="N309" s="694">
        <v>2</v>
      </c>
      <c r="O309" s="694">
        <v>1</v>
      </c>
      <c r="P309" s="694">
        <v>2</v>
      </c>
      <c r="Q309" s="694">
        <v>2</v>
      </c>
      <c r="R309" s="694">
        <v>1</v>
      </c>
      <c r="S309" s="694">
        <v>2</v>
      </c>
      <c r="T309" s="694">
        <v>2</v>
      </c>
      <c r="U309" s="694">
        <v>1</v>
      </c>
      <c r="V309" s="694">
        <v>2</v>
      </c>
      <c r="W309" s="694">
        <f t="shared" si="34"/>
        <v>0</v>
      </c>
      <c r="X309">
        <f t="shared" si="35"/>
        <v>0</v>
      </c>
      <c r="Y309" s="1"/>
    </row>
    <row r="310" spans="1:25" x14ac:dyDescent="0.2">
      <c r="A310" s="360" t="s">
        <v>2485</v>
      </c>
      <c r="B310" s="43" t="s">
        <v>3455</v>
      </c>
      <c r="C310" s="553"/>
      <c r="D310" s="271"/>
      <c r="E310" s="369"/>
      <c r="F310" s="513"/>
      <c r="G310" s="563"/>
      <c r="H310" s="513"/>
      <c r="I310" s="877"/>
      <c r="J310" s="369"/>
      <c r="K310" s="369"/>
      <c r="L310" s="276"/>
      <c r="M310" s="5"/>
      <c r="N310" s="694"/>
      <c r="O310" s="694"/>
      <c r="P310" s="694"/>
      <c r="Q310" s="694"/>
      <c r="R310" s="694"/>
      <c r="S310" s="694"/>
      <c r="T310" s="694"/>
      <c r="U310" s="694"/>
      <c r="V310" s="694"/>
      <c r="W310" s="694">
        <f t="shared" si="34"/>
        <v>0</v>
      </c>
      <c r="X310">
        <f t="shared" si="35"/>
        <v>0</v>
      </c>
      <c r="Y310"/>
    </row>
    <row r="311" spans="1:25" s="773" customFormat="1" x14ac:dyDescent="0.2">
      <c r="A311" s="472">
        <v>6.1</v>
      </c>
      <c r="B311" s="550" t="s">
        <v>1146</v>
      </c>
      <c r="C311" s="555">
        <f>total_booster_pumps</f>
        <v>0</v>
      </c>
      <c r="D311" s="355" t="s">
        <v>606</v>
      </c>
      <c r="E311" s="549" t="str">
        <f>IF(C311=0,"NA",pump_rating)</f>
        <v>NA</v>
      </c>
      <c r="F311" s="1" t="str">
        <f>IF(C311=0,"","gpm")</f>
        <v/>
      </c>
      <c r="G311" s="549" t="str">
        <f>IF(C311=0,"NA",IF(curve=1,pump_rating,VLOOKUP(pump_rating,pump_cost_cl,2)))</f>
        <v>NA</v>
      </c>
      <c r="H311" s="510" t="str">
        <f>IF(C311=0,"","gpm")</f>
        <v/>
      </c>
      <c r="I311" s="686" t="str">
        <f>IF(C311=0,"NA",IF(curve=1,pump_eq,VLOOKUP(pump_rating,pump_cost_cl,3)))</f>
        <v>NA</v>
      </c>
      <c r="J311" s="356">
        <f>IF(C311=0,0,IF(I311="contact vendor","--",C311*I311))</f>
        <v>0</v>
      </c>
      <c r="K311" s="195" t="str">
        <f>IF(C311=0,"NA",VLOOKUP(pump_rating,pump_cost_cl,IF(ss_cat="large",4,5)))</f>
        <v>NA</v>
      </c>
      <c r="L311" s="354"/>
      <c r="M311" s="5" t="str">
        <f>$B$310&amp;" - "&amp;B311</f>
        <v>Pumps and Blowers - Booster Pump</v>
      </c>
      <c r="N311" s="694">
        <v>1</v>
      </c>
      <c r="O311" s="694">
        <v>1</v>
      </c>
      <c r="P311" s="694">
        <v>1</v>
      </c>
      <c r="Q311" s="694">
        <v>1</v>
      </c>
      <c r="R311" s="694">
        <v>1</v>
      </c>
      <c r="S311" s="694">
        <v>1</v>
      </c>
      <c r="T311" s="694">
        <v>1</v>
      </c>
      <c r="U311" s="694">
        <v>1</v>
      </c>
      <c r="V311" s="694">
        <v>1</v>
      </c>
      <c r="W311" s="694">
        <f t="shared" si="34"/>
        <v>0</v>
      </c>
      <c r="X311">
        <f t="shared" si="35"/>
        <v>0</v>
      </c>
      <c r="Y311" s="1"/>
    </row>
    <row r="312" spans="1:25" s="773" customFormat="1" x14ac:dyDescent="0.2">
      <c r="A312" s="472">
        <v>6.2</v>
      </c>
      <c r="B312" s="550" t="s">
        <v>2793</v>
      </c>
      <c r="C312" s="555">
        <f>recycle_pumps</f>
        <v>0</v>
      </c>
      <c r="D312" s="355" t="s">
        <v>606</v>
      </c>
      <c r="E312" s="549" t="str">
        <f>IF(C312=0,"NA",recycle_pump_rating)</f>
        <v>NA</v>
      </c>
      <c r="F312" s="1" t="str">
        <f>IF(C312=0,"","gpm")</f>
        <v/>
      </c>
      <c r="G312" s="549" t="str">
        <f>IF(C312=0,"NA",IF(curve=1,recycle_pump_rating,VLOOKUP(recycle_pump_rating,pump_cost_cl,2)))</f>
        <v>NA</v>
      </c>
      <c r="H312" s="510" t="str">
        <f>IF(C312=0,"","gpm")</f>
        <v/>
      </c>
      <c r="I312" s="686" t="str">
        <f>IF(C312=0,"NA",IF(curve=1,recycle_pump_eq,VLOOKUP(recycle_pump_rating,pump_cost_cl,3)))</f>
        <v>NA</v>
      </c>
      <c r="J312" s="356">
        <f>IF(C312=0,0,IF(I312="contact vendor","--",C312*I312))</f>
        <v>0</v>
      </c>
      <c r="K312" s="195" t="str">
        <f>IF(C312=0,"NA",VLOOKUP(recycle_pump_rating,pump_cost_cl,IF(ss_cat="large",4,5)))</f>
        <v>NA</v>
      </c>
      <c r="L312" s="354"/>
      <c r="M312" s="5" t="str">
        <f>$B$310&amp;" - "&amp;B312</f>
        <v>Pumps and Blowers - Recycle Pump</v>
      </c>
      <c r="N312" s="694">
        <v>1</v>
      </c>
      <c r="O312" s="694">
        <v>1</v>
      </c>
      <c r="P312" s="694">
        <v>1</v>
      </c>
      <c r="Q312" s="694">
        <v>1</v>
      </c>
      <c r="R312" s="694">
        <v>1</v>
      </c>
      <c r="S312" s="694">
        <v>1</v>
      </c>
      <c r="T312" s="694">
        <v>1</v>
      </c>
      <c r="U312" s="694">
        <v>1</v>
      </c>
      <c r="V312" s="694">
        <v>1</v>
      </c>
      <c r="W312" s="694">
        <f t="shared" si="34"/>
        <v>0</v>
      </c>
      <c r="X312">
        <f t="shared" si="35"/>
        <v>0</v>
      </c>
      <c r="Y312" s="1"/>
    </row>
    <row r="313" spans="1:25" s="773" customFormat="1" x14ac:dyDescent="0.2">
      <c r="A313" s="472">
        <v>6.3</v>
      </c>
      <c r="B313" s="550" t="s">
        <v>1147</v>
      </c>
      <c r="C313" s="555">
        <f>backwash_pumps</f>
        <v>0</v>
      </c>
      <c r="D313" s="355" t="s">
        <v>606</v>
      </c>
      <c r="E313" s="549" t="str">
        <f>IF(C313=0,"NA",back_pump_rating)</f>
        <v>NA</v>
      </c>
      <c r="F313" s="1" t="str">
        <f>IF(C313=0,"","gpm")</f>
        <v/>
      </c>
      <c r="G313" s="549" t="str">
        <f>IF(C313=0,"NA",IF(curve=1,back_pump_rating,VLOOKUP(back_pump_rating,back_pump_cost_cl,2)))</f>
        <v>NA</v>
      </c>
      <c r="H313" s="510" t="str">
        <f>IF(C313=0,"","gpm")</f>
        <v/>
      </c>
      <c r="I313" s="686" t="str">
        <f>IF(C313=0,"NA",IF(curve=1,pump_eq_back,VLOOKUP(back_pump_rating,back_pump_cost_cl,3)))</f>
        <v>NA</v>
      </c>
      <c r="J313" s="356" t="str">
        <f>IF(C313=0,"--",(IF(I313="contact vendor","--",C313*I313)))</f>
        <v>--</v>
      </c>
      <c r="K313" s="195" t="str">
        <f>IF(C313=0,"NA",VLOOKUP(back_pump_rating,back_pump_cost_cl,IF(ss_cat="large",4,5)))</f>
        <v>NA</v>
      </c>
      <c r="L313" s="354"/>
      <c r="M313" s="5" t="str">
        <f>$B$310&amp;" - "&amp;B313</f>
        <v>Pumps and Blowers - Backwash Pump</v>
      </c>
      <c r="N313" s="694">
        <v>1</v>
      </c>
      <c r="O313" s="694">
        <v>1</v>
      </c>
      <c r="P313" s="694">
        <v>1</v>
      </c>
      <c r="Q313" s="694">
        <v>1</v>
      </c>
      <c r="R313" s="694">
        <v>1</v>
      </c>
      <c r="S313" s="694">
        <v>1</v>
      </c>
      <c r="T313" s="694">
        <v>1</v>
      </c>
      <c r="U313" s="694">
        <v>1</v>
      </c>
      <c r="V313" s="694">
        <v>1</v>
      </c>
      <c r="W313" s="694">
        <f t="shared" si="34"/>
        <v>0</v>
      </c>
      <c r="X313">
        <f t="shared" si="35"/>
        <v>0</v>
      </c>
      <c r="Y313" s="1"/>
    </row>
    <row r="314" spans="1:25" s="773" customFormat="1" x14ac:dyDescent="0.2">
      <c r="A314" s="472">
        <v>6.4</v>
      </c>
      <c r="B314" s="550" t="s">
        <v>1148</v>
      </c>
      <c r="C314" s="555">
        <f>res_pumps</f>
        <v>2</v>
      </c>
      <c r="D314" s="355" t="s">
        <v>606</v>
      </c>
      <c r="E314" s="549">
        <f>IF(res_pumps=0,"NA",res_pump_rating)</f>
        <v>3.7233796296296298</v>
      </c>
      <c r="F314" s="1" t="str">
        <f>IF(C314=0,"","gpm")</f>
        <v>gpm</v>
      </c>
      <c r="G314" s="549">
        <f>IF(res_pumps=0,"NA",IF(curve=1,res_pump_rating,VLOOKUP(res_pump_rating,pump_cost_cl,2)))</f>
        <v>3.7233796296296298</v>
      </c>
      <c r="H314" s="510" t="str">
        <f>IF(C314=0,"","gpm")</f>
        <v>gpm</v>
      </c>
      <c r="I314" s="686">
        <f>IF(res_pumps=0,0,IF(curve=1,res_pump_eq,VLOOKUP(res_pump_rating,pump_cost_cl,3)))</f>
        <v>4148.6249805490752</v>
      </c>
      <c r="J314" s="356">
        <f>IF(I314="contact vendor","--",C314*I314)</f>
        <v>8297.2499610981504</v>
      </c>
      <c r="K314" s="195">
        <f>IF(res_pumps=0,"NA",VLOOKUP(res_pump_rating,pump_cost_cl,IF(ss_cat="large",4,5)))</f>
        <v>17</v>
      </c>
      <c r="L314" s="354">
        <v>1</v>
      </c>
      <c r="M314" s="35" t="str">
        <f>$B$310&amp;" - "&amp;B314</f>
        <v>Pumps and Blowers - Residuals Pump</v>
      </c>
      <c r="N314" s="694">
        <v>1</v>
      </c>
      <c r="O314" s="694">
        <v>1</v>
      </c>
      <c r="P314" s="694">
        <v>1</v>
      </c>
      <c r="Q314" s="694">
        <v>1</v>
      </c>
      <c r="R314" s="694">
        <v>1</v>
      </c>
      <c r="S314" s="694">
        <v>1</v>
      </c>
      <c r="T314" s="694">
        <v>1</v>
      </c>
      <c r="U314" s="694">
        <v>1</v>
      </c>
      <c r="V314" s="694">
        <v>1</v>
      </c>
      <c r="W314" s="694">
        <f t="shared" si="34"/>
        <v>1</v>
      </c>
      <c r="X314">
        <f t="shared" si="35"/>
        <v>488.0735271234206</v>
      </c>
      <c r="Y314" s="1"/>
    </row>
    <row r="315" spans="1:25" x14ac:dyDescent="0.2">
      <c r="A315" s="473">
        <v>6.5</v>
      </c>
      <c r="B315" s="86" t="s">
        <v>2101</v>
      </c>
      <c r="C315" s="556"/>
      <c r="D315" s="180"/>
      <c r="E315" s="342"/>
      <c r="F315" s="511"/>
      <c r="G315" s="566"/>
      <c r="H315" s="511"/>
      <c r="I315" s="373"/>
      <c r="J315" s="284"/>
      <c r="K315" s="283"/>
      <c r="L315" s="343"/>
      <c r="M315" s="35"/>
      <c r="N315" s="694"/>
      <c r="O315" s="694"/>
      <c r="P315" s="694"/>
      <c r="Q315" s="694"/>
      <c r="R315" s="694"/>
      <c r="S315" s="694"/>
      <c r="T315" s="694"/>
      <c r="U315" s="694"/>
      <c r="V315" s="694"/>
      <c r="W315" s="694">
        <f t="shared" si="34"/>
        <v>0</v>
      </c>
      <c r="X315">
        <f t="shared" si="35"/>
        <v>0</v>
      </c>
      <c r="Y315"/>
    </row>
    <row r="316" spans="1:25" s="773" customFormat="1" x14ac:dyDescent="0.2">
      <c r="A316" s="320" t="s">
        <v>2262</v>
      </c>
      <c r="B316" s="1" t="s">
        <v>1602</v>
      </c>
      <c r="C316" s="555">
        <f>cm_pumps_e_donor</f>
        <v>2</v>
      </c>
      <c r="D316" s="355" t="s">
        <v>606</v>
      </c>
      <c r="E316" s="883">
        <f>cm_pump_rating_e_donor</f>
        <v>0.31984857482185275</v>
      </c>
      <c r="F316" s="884" t="s">
        <v>3747</v>
      </c>
      <c r="G316" s="883">
        <f>IF(curve=1,cm_pump_rating_e_donor,VLOOKUP(cm_pump_rating_e_donor,pvc_mmpump_cost_cl,2))</f>
        <v>0.31984857482185275</v>
      </c>
      <c r="H316" s="510" t="s">
        <v>3747</v>
      </c>
      <c r="I316" s="686">
        <f>IF(curve=1,pvc_e_donor_mmpump_eq,VLOOKUP(cm_pump_rating_e_donor,pvc_mmpump_cost_cl,3))</f>
        <v>3019.3059057435044</v>
      </c>
      <c r="J316" s="356">
        <f>IF(I316="contact vendor","--",C316*I316)</f>
        <v>6038.6118114870087</v>
      </c>
      <c r="K316" s="195">
        <f>IF(cm_pumps_e_donor=0,"NA",VLOOKUP(cm_pump_rating_e_donor,pvc_mmpump_cost_cl,IF(ss_cat="large",4,5)))</f>
        <v>17</v>
      </c>
      <c r="L316" s="354">
        <v>0</v>
      </c>
      <c r="M316" s="35" t="str">
        <f>$B$310&amp;" - "&amp;$B$315&amp;" - "&amp;B316</f>
        <v>Pumps and Blowers - Electron Donor Metering - PVC - Motor Driven</v>
      </c>
      <c r="N316" s="810">
        <v>3</v>
      </c>
      <c r="O316" s="810">
        <v>3</v>
      </c>
      <c r="P316" s="810">
        <v>2</v>
      </c>
      <c r="Q316" s="810">
        <v>4</v>
      </c>
      <c r="R316" s="810">
        <v>4</v>
      </c>
      <c r="S316" s="810">
        <v>1</v>
      </c>
      <c r="T316" s="810">
        <v>4</v>
      </c>
      <c r="U316" s="810">
        <v>4</v>
      </c>
      <c r="V316" s="810">
        <v>1</v>
      </c>
      <c r="W316" s="694">
        <f t="shared" si="34"/>
        <v>0</v>
      </c>
      <c r="X316">
        <f t="shared" si="35"/>
        <v>0</v>
      </c>
      <c r="Y316" s="1"/>
    </row>
    <row r="317" spans="1:25" s="773" customFormat="1" x14ac:dyDescent="0.2">
      <c r="A317" s="320" t="s">
        <v>2262</v>
      </c>
      <c r="B317" s="1" t="s">
        <v>1603</v>
      </c>
      <c r="C317" s="555">
        <f>cm_pumps_e_donor</f>
        <v>2</v>
      </c>
      <c r="D317" s="355" t="s">
        <v>606</v>
      </c>
      <c r="E317" s="883">
        <f>cm_pump_rating_e_donor</f>
        <v>0.31984857482185275</v>
      </c>
      <c r="F317" s="884" t="s">
        <v>3747</v>
      </c>
      <c r="G317" s="883">
        <f>IF(curve=1,cm_pump_rating_e_donor,VLOOKUP(cm_pump_rating_e_donor,ss_mmpump_cost_cl,2))</f>
        <v>0.31984857482185275</v>
      </c>
      <c r="H317" s="510" t="s">
        <v>3747</v>
      </c>
      <c r="I317" s="686">
        <f>IF(curve=1,ss_e_donor_mmpump_eq,VLOOKUP(cm_pump_rating_e_donor,ss_mmpump_cost_cl,3))</f>
        <v>3450.2679904815309</v>
      </c>
      <c r="J317" s="356">
        <f>IF(I317="contact vendor","--",C317*I317)</f>
        <v>6900.5359809630618</v>
      </c>
      <c r="K317" s="195">
        <f>IF(cm_pumps_e_donor=0,"NA",VLOOKUP(cm_pump_rating_e_donor,ss_mmpump_cost_cl,IF(ss_cat="large",4,5)))</f>
        <v>17</v>
      </c>
      <c r="L317" s="354">
        <v>0</v>
      </c>
      <c r="M317" s="35" t="str">
        <f>$B$310&amp;" - "&amp;$B$315&amp;" - "&amp;B317</f>
        <v>Pumps and Blowers - Electron Donor Metering - Stainless Steel - Motor Driven</v>
      </c>
      <c r="N317" s="810">
        <v>4</v>
      </c>
      <c r="O317" s="810">
        <v>4</v>
      </c>
      <c r="P317" s="810">
        <v>1</v>
      </c>
      <c r="Q317" s="810">
        <v>3</v>
      </c>
      <c r="R317" s="810">
        <v>3</v>
      </c>
      <c r="S317" s="810">
        <v>2</v>
      </c>
      <c r="T317" s="810">
        <v>3</v>
      </c>
      <c r="U317" s="810">
        <v>3</v>
      </c>
      <c r="V317" s="810">
        <v>2</v>
      </c>
      <c r="W317" s="694">
        <f t="shared" si="34"/>
        <v>0</v>
      </c>
      <c r="X317">
        <f t="shared" si="35"/>
        <v>0</v>
      </c>
      <c r="Y317" s="1"/>
    </row>
    <row r="318" spans="1:25" s="773" customFormat="1" x14ac:dyDescent="0.2">
      <c r="A318" s="320" t="s">
        <v>2262</v>
      </c>
      <c r="B318" s="1" t="s">
        <v>1604</v>
      </c>
      <c r="C318" s="555">
        <f>cm_pumps_e_donor</f>
        <v>2</v>
      </c>
      <c r="D318" s="355" t="s">
        <v>606</v>
      </c>
      <c r="E318" s="883">
        <f>cm_pump_rating_e_donor</f>
        <v>0.31984857482185275</v>
      </c>
      <c r="F318" s="884" t="s">
        <v>3747</v>
      </c>
      <c r="G318" s="883">
        <f>IF(curve=1,cm_pump_rating_e_donor,VLOOKUP(cm_pump_rating_e_donor,pvc_empump_cost_cl,2))</f>
        <v>0.31984857482185275</v>
      </c>
      <c r="H318" s="510" t="s">
        <v>3747</v>
      </c>
      <c r="I318" s="686">
        <f>IF(curve=1,pvc_e_donor_empump_eq,VLOOKUP(cm_pump_rating_e_donor,pvc_empump_cost_cl,3))</f>
        <v>1168.2489599445335</v>
      </c>
      <c r="J318" s="356">
        <f>IF(I318="contact vendor","--",C318*I318)</f>
        <v>2336.4979198890669</v>
      </c>
      <c r="K318" s="195">
        <f>IF(cm_pumps_e_donor=0,"NA",VLOOKUP(cm_pump_rating_e_donor,pvc_empump_cost_cl,IF(ss_cat="large",4,5)))</f>
        <v>15</v>
      </c>
      <c r="L318" s="354">
        <v>1</v>
      </c>
      <c r="M318" s="35" t="str">
        <f>$B$310&amp;" - "&amp;$B$315&amp;" - "&amp;B318</f>
        <v>Pumps and Blowers - Electron Donor Metering - PVC - Electric</v>
      </c>
      <c r="N318" s="810">
        <v>1</v>
      </c>
      <c r="O318" s="810">
        <v>2</v>
      </c>
      <c r="P318" s="810">
        <v>4</v>
      </c>
      <c r="Q318" s="810">
        <v>1</v>
      </c>
      <c r="R318" s="810">
        <v>2</v>
      </c>
      <c r="S318" s="810">
        <v>4</v>
      </c>
      <c r="T318" s="810">
        <v>1</v>
      </c>
      <c r="U318" s="810">
        <v>2</v>
      </c>
      <c r="V318" s="810">
        <v>4</v>
      </c>
      <c r="W318" s="694">
        <f t="shared" si="34"/>
        <v>1</v>
      </c>
      <c r="X318">
        <f t="shared" si="35"/>
        <v>155.76652799260447</v>
      </c>
      <c r="Y318" s="1"/>
    </row>
    <row r="319" spans="1:25" s="773" customFormat="1" x14ac:dyDescent="0.2">
      <c r="A319" s="320" t="s">
        <v>2262</v>
      </c>
      <c r="B319" s="1" t="s">
        <v>1605</v>
      </c>
      <c r="C319" s="555">
        <f>cm_pumps_e_donor</f>
        <v>2</v>
      </c>
      <c r="D319" s="355" t="s">
        <v>606</v>
      </c>
      <c r="E319" s="883">
        <f>cm_pump_rating_e_donor</f>
        <v>0.31984857482185275</v>
      </c>
      <c r="F319" s="884" t="s">
        <v>3747</v>
      </c>
      <c r="G319" s="883">
        <f>IF(curve=1,cm_pump_rating_e_donor,VLOOKUP(cm_pump_rating_e_donor,ss_empump_cost_cl,2))</f>
        <v>0.31984857482185275</v>
      </c>
      <c r="H319" s="510" t="s">
        <v>3747</v>
      </c>
      <c r="I319" s="686">
        <f>IF(curve=1,ss_e_donor_empump_eq,VLOOKUP(cm_pump_rating_e_donor,ss_empump_cost_cl,3))</f>
        <v>1963.572499919456</v>
      </c>
      <c r="J319" s="356">
        <f>IF(I319="contact vendor","--",C319*I319)</f>
        <v>3927.1449998389121</v>
      </c>
      <c r="K319" s="195">
        <f>IF(cm_pumps_e_donor=0,"NA",VLOOKUP(cm_pump_rating_e_donor,ss_empump_cost_cl,IF(ss_cat="large",4,5)))</f>
        <v>15</v>
      </c>
      <c r="L319" s="354">
        <v>0</v>
      </c>
      <c r="M319" s="35" t="str">
        <f>$B$310&amp;" - "&amp;$B$315&amp;" - "&amp;B319</f>
        <v>Pumps and Blowers - Electron Donor Metering - Stainless Steel - Electric</v>
      </c>
      <c r="N319" s="810">
        <v>2</v>
      </c>
      <c r="O319" s="810">
        <v>1</v>
      </c>
      <c r="P319" s="810">
        <v>3</v>
      </c>
      <c r="Q319" s="810">
        <v>2</v>
      </c>
      <c r="R319" s="810">
        <v>1</v>
      </c>
      <c r="S319" s="810">
        <v>3</v>
      </c>
      <c r="T319" s="810">
        <v>2</v>
      </c>
      <c r="U319" s="810">
        <v>1</v>
      </c>
      <c r="V319" s="810">
        <v>3</v>
      </c>
      <c r="W319" s="694">
        <f t="shared" si="34"/>
        <v>0</v>
      </c>
      <c r="X319">
        <f t="shared" si="35"/>
        <v>0</v>
      </c>
      <c r="Y319" s="1"/>
    </row>
    <row r="320" spans="1:25" x14ac:dyDescent="0.2">
      <c r="A320" s="473">
        <v>6.6</v>
      </c>
      <c r="B320" s="86" t="s">
        <v>2102</v>
      </c>
      <c r="C320" s="556"/>
      <c r="D320" s="180"/>
      <c r="E320" s="342"/>
      <c r="F320" s="511"/>
      <c r="G320" s="566"/>
      <c r="H320" s="511"/>
      <c r="I320" s="373"/>
      <c r="J320" s="284"/>
      <c r="K320" s="283"/>
      <c r="L320" s="343"/>
      <c r="M320" s="35"/>
      <c r="N320" s="694"/>
      <c r="O320" s="694"/>
      <c r="P320" s="694"/>
      <c r="Q320" s="694"/>
      <c r="R320" s="694"/>
      <c r="S320" s="694"/>
      <c r="T320" s="694"/>
      <c r="U320" s="694"/>
      <c r="V320" s="694"/>
      <c r="W320" s="694">
        <f t="shared" si="34"/>
        <v>0</v>
      </c>
      <c r="X320">
        <f t="shared" si="35"/>
        <v>0</v>
      </c>
      <c r="Y320"/>
    </row>
    <row r="321" spans="1:25" s="773" customFormat="1" x14ac:dyDescent="0.2">
      <c r="A321" s="320" t="s">
        <v>2263</v>
      </c>
      <c r="B321" s="1" t="s">
        <v>1602</v>
      </c>
      <c r="C321" s="555">
        <f>cm_pumps_NH4Cl</f>
        <v>0</v>
      </c>
      <c r="D321" s="355" t="s">
        <v>606</v>
      </c>
      <c r="E321" s="883" t="str">
        <f>IF(C321=0,"NA",cm_pump_rating_NH4Cl)</f>
        <v>NA</v>
      </c>
      <c r="F321" s="884" t="str">
        <f>IF(C321=0,"","gph")</f>
        <v/>
      </c>
      <c r="G321" s="883" t="str">
        <f>IF(C321=0,"NA",IF(curve=1,cm_pump_rating_NH4Cl,VLOOKUP(cm_pump_rating_NH4Cl,pvc_mmpump_cost_cl,2)))</f>
        <v>NA</v>
      </c>
      <c r="H321" s="510" t="str">
        <f>IF(C321=0,"","gph")</f>
        <v/>
      </c>
      <c r="I321" s="686" t="str">
        <f>IF(C321=0,"NA",IF(curve=1,pvc_NH4Cl_mmpump_eq,VLOOKUP(cm_pump_rating_NH4Cl,pvc_mmpump_cost_cl,3)))</f>
        <v>NA</v>
      </c>
      <c r="J321" s="356" t="str">
        <f>IF(C321=0,"--",(IF(I321="contact vendor","--",C321*I321)))</f>
        <v>--</v>
      </c>
      <c r="K321" s="195" t="str">
        <f>IF(cm_pumps_NH4Cl=0,"NA",VLOOKUP(cm_pump_rating_NH4Cl,pvc_mmpump_cost_cl,IF(ss_cat="large",4,5)))</f>
        <v>NA</v>
      </c>
      <c r="L321" s="354"/>
      <c r="M321" s="35" t="str">
        <f>$B$310&amp;" - "&amp;$B$320&amp;" - "&amp;B321</f>
        <v>Pumps and Blowers - Ammonium Chloride Metering - PVC - Motor Driven</v>
      </c>
      <c r="N321" s="810">
        <v>3</v>
      </c>
      <c r="O321" s="810">
        <v>3</v>
      </c>
      <c r="P321" s="810">
        <v>2</v>
      </c>
      <c r="Q321" s="810">
        <v>4</v>
      </c>
      <c r="R321" s="810">
        <v>4</v>
      </c>
      <c r="S321" s="810">
        <v>1</v>
      </c>
      <c r="T321" s="810">
        <v>4</v>
      </c>
      <c r="U321" s="810">
        <v>4</v>
      </c>
      <c r="V321" s="810">
        <v>1</v>
      </c>
      <c r="W321" s="694">
        <f t="shared" si="34"/>
        <v>0</v>
      </c>
      <c r="X321">
        <f t="shared" si="35"/>
        <v>0</v>
      </c>
      <c r="Y321" s="1"/>
    </row>
    <row r="322" spans="1:25" s="773" customFormat="1" x14ac:dyDescent="0.2">
      <c r="A322" s="320" t="s">
        <v>2263</v>
      </c>
      <c r="B322" s="1" t="s">
        <v>1603</v>
      </c>
      <c r="C322" s="555">
        <f>cm_pumps_NH4Cl</f>
        <v>0</v>
      </c>
      <c r="D322" s="355" t="s">
        <v>606</v>
      </c>
      <c r="E322" s="883" t="str">
        <f>IF(C322=0,"NA",IF(C322=0,"NA",cm_pump_rating_NH4Cl))</f>
        <v>NA</v>
      </c>
      <c r="F322" s="884" t="str">
        <f>IF(C322=0,"","gph")</f>
        <v/>
      </c>
      <c r="G322" s="883" t="str">
        <f>IF(C322=0,"NA",IF(curve=1,cm_pump_rating_NH4Cl,VLOOKUP(cm_pump_rating_NH4Cl,ss_mmpump_cost_cl,2)))</f>
        <v>NA</v>
      </c>
      <c r="H322" s="510" t="str">
        <f>IF(C322=0,"","gph")</f>
        <v/>
      </c>
      <c r="I322" s="686" t="str">
        <f>IF(C322=0,"NA",IF(curve=1,ss_NH4Cl_mmpump_eq,VLOOKUP(cm_pump_rating_NH4Cl,ss_mmpump_cost_cl,3)))</f>
        <v>NA</v>
      </c>
      <c r="J322" s="356" t="str">
        <f>IF(C322=0,"--",(IF(I322="contact vendor","--",C322*I322)))</f>
        <v>--</v>
      </c>
      <c r="K322" s="195" t="str">
        <f>IF(cm_pumps_NH4Cl=0,"NA",VLOOKUP(cm_pump_rating_NH4Cl,ss_mmpump_cost_cl,IF(ss_cat="large",4,5)))</f>
        <v>NA</v>
      </c>
      <c r="L322" s="354"/>
      <c r="M322" s="35" t="str">
        <f>$B$310&amp;" - "&amp;$B$320&amp;" - "&amp;B322</f>
        <v>Pumps and Blowers - Ammonium Chloride Metering - Stainless Steel - Motor Driven</v>
      </c>
      <c r="N322" s="810">
        <v>4</v>
      </c>
      <c r="O322" s="810">
        <v>4</v>
      </c>
      <c r="P322" s="810">
        <v>1</v>
      </c>
      <c r="Q322" s="810">
        <v>3</v>
      </c>
      <c r="R322" s="810">
        <v>3</v>
      </c>
      <c r="S322" s="810">
        <v>2</v>
      </c>
      <c r="T322" s="810">
        <v>3</v>
      </c>
      <c r="U322" s="810">
        <v>3</v>
      </c>
      <c r="V322" s="810">
        <v>2</v>
      </c>
      <c r="W322" s="694">
        <f t="shared" si="34"/>
        <v>0</v>
      </c>
      <c r="X322">
        <f t="shared" si="35"/>
        <v>0</v>
      </c>
      <c r="Y322" s="1"/>
    </row>
    <row r="323" spans="1:25" s="773" customFormat="1" x14ac:dyDescent="0.2">
      <c r="A323" s="320" t="s">
        <v>2263</v>
      </c>
      <c r="B323" s="1" t="s">
        <v>1604</v>
      </c>
      <c r="C323" s="555">
        <f>cm_pumps_NH4Cl</f>
        <v>0</v>
      </c>
      <c r="D323" s="355" t="s">
        <v>606</v>
      </c>
      <c r="E323" s="883" t="str">
        <f>IF(C323=0,"NA",IF(C323=0,"NA",cm_pump_rating_NH4Cl))</f>
        <v>NA</v>
      </c>
      <c r="F323" s="884" t="str">
        <f>IF(C323=0,"","gph")</f>
        <v/>
      </c>
      <c r="G323" s="883" t="str">
        <f>IF(C323=0,"NA",IF(curve=1,cm_pump_rating_NH4Cl,VLOOKUP(cm_pump_rating_NH4Cl,pvc_empump_cost_cl,2)))</f>
        <v>NA</v>
      </c>
      <c r="H323" s="510" t="str">
        <f>IF(C323=0,"","gph")</f>
        <v/>
      </c>
      <c r="I323" s="686" t="str">
        <f>IF(C323=0,"NA",IF(curve=1,pvc_NH4Cl_empump_eq,VLOOKUP(cm_pump_rating_NH4Cl,pvc_empump_cost_cl,3)))</f>
        <v>NA</v>
      </c>
      <c r="J323" s="356" t="str">
        <f>IF(C323=0,"--",(IF(I323="contact vendor","--",C323*I323)))</f>
        <v>--</v>
      </c>
      <c r="K323" s="195" t="str">
        <f>IF(cm_pumps_NH4Cl=0,"NA",VLOOKUP(cm_pump_rating_NH4Cl,pvc_empump_cost_cl,IF(ss_cat="large",4,5)))</f>
        <v>NA</v>
      </c>
      <c r="L323" s="354"/>
      <c r="M323" s="35" t="str">
        <f>$B$310&amp;" - "&amp;$B$320&amp;" - "&amp;B323</f>
        <v>Pumps and Blowers - Ammonium Chloride Metering - PVC - Electric</v>
      </c>
      <c r="N323" s="810">
        <v>1</v>
      </c>
      <c r="O323" s="810">
        <v>2</v>
      </c>
      <c r="P323" s="810">
        <v>4</v>
      </c>
      <c r="Q323" s="810">
        <v>1</v>
      </c>
      <c r="R323" s="810">
        <v>2</v>
      </c>
      <c r="S323" s="810">
        <v>4</v>
      </c>
      <c r="T323" s="810">
        <v>1</v>
      </c>
      <c r="U323" s="810">
        <v>2</v>
      </c>
      <c r="V323" s="810">
        <v>4</v>
      </c>
      <c r="W323" s="694">
        <f t="shared" si="34"/>
        <v>0</v>
      </c>
      <c r="X323">
        <f t="shared" si="35"/>
        <v>0</v>
      </c>
      <c r="Y323" s="1"/>
    </row>
    <row r="324" spans="1:25" s="773" customFormat="1" x14ac:dyDescent="0.2">
      <c r="A324" s="320" t="s">
        <v>2263</v>
      </c>
      <c r="B324" s="1" t="s">
        <v>1605</v>
      </c>
      <c r="C324" s="555">
        <f>cm_pumps_NH4Cl</f>
        <v>0</v>
      </c>
      <c r="D324" s="355" t="s">
        <v>606</v>
      </c>
      <c r="E324" s="883" t="str">
        <f>IF(C324=0,"NA",IF(C324=0,"NA",cm_pump_rating_NH4Cl))</f>
        <v>NA</v>
      </c>
      <c r="F324" s="884" t="str">
        <f>IF(C324=0,"","gph")</f>
        <v/>
      </c>
      <c r="G324" s="883" t="str">
        <f>IF(C324=0,"NA",IF(curve=1,cm_pump_rating_NH4Cl,VLOOKUP(cm_pump_rating_NH4Cl,ss_empump_cost_cl,2)))</f>
        <v>NA</v>
      </c>
      <c r="H324" s="510" t="str">
        <f>IF(C324=0,"","gph")</f>
        <v/>
      </c>
      <c r="I324" s="686" t="str">
        <f>IF(C324=0,"NA",IF(curve=1,ss_NH4Cl_empump_eq,VLOOKUP(cm_pump_rating_NH4Cl,ss_empump_cost_cl,3)))</f>
        <v>NA</v>
      </c>
      <c r="J324" s="356" t="str">
        <f>IF(C324=0,"--",(IF(I324="contact vendor","--",C324*I324)))</f>
        <v>--</v>
      </c>
      <c r="K324" s="195" t="str">
        <f>IF(cm_pumps_NH4Cl=0,"NA",VLOOKUP(cm_pump_rating_NH4Cl,ss_empump_cost_cl,IF(ss_cat="large",4,5)))</f>
        <v>NA</v>
      </c>
      <c r="L324" s="354"/>
      <c r="M324" s="35" t="str">
        <f>$B$310&amp;" - "&amp;$B$320&amp;" - "&amp;B324</f>
        <v>Pumps and Blowers - Ammonium Chloride Metering - Stainless Steel - Electric</v>
      </c>
      <c r="N324" s="810">
        <v>2</v>
      </c>
      <c r="O324" s="810">
        <v>1</v>
      </c>
      <c r="P324" s="810">
        <v>3</v>
      </c>
      <c r="Q324" s="810">
        <v>2</v>
      </c>
      <c r="R324" s="810">
        <v>1</v>
      </c>
      <c r="S324" s="810">
        <v>3</v>
      </c>
      <c r="T324" s="810">
        <v>2</v>
      </c>
      <c r="U324" s="810">
        <v>1</v>
      </c>
      <c r="V324" s="810">
        <v>3</v>
      </c>
      <c r="W324" s="694">
        <f t="shared" si="34"/>
        <v>0</v>
      </c>
      <c r="X324">
        <f t="shared" si="35"/>
        <v>0</v>
      </c>
      <c r="Y324" s="1"/>
    </row>
    <row r="325" spans="1:25" x14ac:dyDescent="0.2">
      <c r="A325" s="473">
        <v>6.7</v>
      </c>
      <c r="B325" s="86" t="s">
        <v>2103</v>
      </c>
      <c r="C325" s="556"/>
      <c r="D325" s="180"/>
      <c r="E325" s="342"/>
      <c r="F325" s="511"/>
      <c r="G325" s="566"/>
      <c r="H325" s="511"/>
      <c r="I325" s="373"/>
      <c r="J325" s="284"/>
      <c r="K325" s="283"/>
      <c r="L325" s="343"/>
      <c r="M325" s="35"/>
      <c r="N325" s="694"/>
      <c r="O325" s="694"/>
      <c r="P325" s="694"/>
      <c r="Q325" s="694"/>
      <c r="R325" s="694"/>
      <c r="S325" s="694"/>
      <c r="T325" s="694"/>
      <c r="U325" s="694"/>
      <c r="V325" s="694"/>
      <c r="W325" s="694">
        <f t="shared" ref="W325:W404" si="54">IF(ISERROR(K325*L325),0,IF(K325&lt;1,0,L325))</f>
        <v>0</v>
      </c>
      <c r="X325">
        <f t="shared" ref="X325:X404" si="55">IF(W325,J325/K325,0)</f>
        <v>0</v>
      </c>
      <c r="Y325"/>
    </row>
    <row r="326" spans="1:25" s="773" customFormat="1" x14ac:dyDescent="0.2">
      <c r="A326" s="320" t="s">
        <v>2264</v>
      </c>
      <c r="B326" s="1" t="s">
        <v>1602</v>
      </c>
      <c r="C326" s="555">
        <f>cm_pumps_H3PO4</f>
        <v>2</v>
      </c>
      <c r="D326" s="355" t="s">
        <v>606</v>
      </c>
      <c r="E326" s="883">
        <f>IF(C326=0,"NA",IF(C326=0,"NA",cm_pump_rating_H3PO4))</f>
        <v>0.13</v>
      </c>
      <c r="F326" s="884" t="str">
        <f>IF(C326=0,"","gph")</f>
        <v>gph</v>
      </c>
      <c r="G326" s="883">
        <f>IF(C326=0,"NA",IF(curve=1,cm_pump_rating_H3PO4,VLOOKUP(cm_pump_rating_H3PO4,pvc_mmpump_cost_cl,2)))</f>
        <v>0.13</v>
      </c>
      <c r="H326" s="885" t="str">
        <f>IF(C326=0,"","gph")</f>
        <v>gph</v>
      </c>
      <c r="I326" s="686">
        <f>IF(C326=0,"NA",IF(curve=1,pvc_H3PO4_mmpump_eq,VLOOKUP(cm_pump_rating_H3PO4,pvc_mmpump_cost_cl,3)))</f>
        <v>3008.1694310770154</v>
      </c>
      <c r="J326" s="356">
        <f>IF(C326=0,"--",(IF(I326="contact vendor","--",C326*I326)))</f>
        <v>6016.3388621540307</v>
      </c>
      <c r="K326" s="195">
        <f>IF(cm_pumps_H3PO4=0,"NA",VLOOKUP(cm_pump_rating_H3PO4,pvc_mmpump_cost_cl,IF(ss_cat="large",4,5)))</f>
        <v>17</v>
      </c>
      <c r="L326" s="354">
        <v>0</v>
      </c>
      <c r="M326" s="35" t="str">
        <f>$B$310&amp;" - "&amp;$B$325&amp;" - "&amp;B326</f>
        <v>Pumps and Blowers - Phosphoric Acid Metering - PVC - Motor Driven</v>
      </c>
      <c r="N326" s="810">
        <v>2</v>
      </c>
      <c r="O326" s="810">
        <v>2</v>
      </c>
      <c r="P326" s="810">
        <v>1</v>
      </c>
      <c r="Q326" s="810">
        <v>2</v>
      </c>
      <c r="R326" s="810">
        <v>2</v>
      </c>
      <c r="S326" s="810">
        <v>1</v>
      </c>
      <c r="T326" s="810">
        <v>2</v>
      </c>
      <c r="U326" s="810">
        <v>2</v>
      </c>
      <c r="V326" s="810">
        <v>1</v>
      </c>
      <c r="W326" s="694">
        <f t="shared" si="54"/>
        <v>0</v>
      </c>
      <c r="X326">
        <f t="shared" si="55"/>
        <v>0</v>
      </c>
      <c r="Y326" s="1"/>
    </row>
    <row r="327" spans="1:25" s="773" customFormat="1" x14ac:dyDescent="0.2">
      <c r="A327" s="320" t="s">
        <v>2264</v>
      </c>
      <c r="B327" s="1" t="s">
        <v>1604</v>
      </c>
      <c r="C327" s="555">
        <f>cm_pumps_H3PO4</f>
        <v>2</v>
      </c>
      <c r="D327" s="355" t="s">
        <v>606</v>
      </c>
      <c r="E327" s="883">
        <f>IF(C327=0,"NA",IF(C327=0,"NA",cm_pump_rating_H3PO4))</f>
        <v>0.13</v>
      </c>
      <c r="F327" s="884" t="str">
        <f>IF(C327=0,"","gph")</f>
        <v>gph</v>
      </c>
      <c r="G327" s="883">
        <f>IF(C327=0,"NA",IF(curve=1,cm_pump_rating_H3PO4,VLOOKUP(cm_pump_rating_H3PO4,pvc_empump_cost_cl,2)))</f>
        <v>0.13</v>
      </c>
      <c r="H327" s="885" t="str">
        <f>IF(C327=0,"","gph")</f>
        <v>gph</v>
      </c>
      <c r="I327" s="686">
        <f>IF(C327=0,"NA",IF(curve=1,pvc_H3PO4_empump_eq,VLOOKUP(cm_pump_rating_H3PO4,pvc_empump_cost_cl,3)))</f>
        <v>1156.1708500057375</v>
      </c>
      <c r="J327" s="356">
        <f>IF(C327=0,"--",(IF(I327="contact vendor","--",C327*I327)))</f>
        <v>2312.341700011475</v>
      </c>
      <c r="K327" s="195">
        <f>IF(cm_pumps_H3PO4=0,"NA",VLOOKUP(cm_pump_rating_H3PO4,pvc_empump_cost_cl,IF(ss_cat="large",4,5)))</f>
        <v>15</v>
      </c>
      <c r="L327" s="354">
        <v>1</v>
      </c>
      <c r="M327" s="35" t="str">
        <f>$B$310&amp;" - "&amp;$B$325&amp;" - "&amp;B327</f>
        <v>Pumps and Blowers - Phosphoric Acid Metering - PVC - Electric</v>
      </c>
      <c r="N327" s="810">
        <v>1</v>
      </c>
      <c r="O327" s="810">
        <v>1</v>
      </c>
      <c r="P327" s="810">
        <v>2</v>
      </c>
      <c r="Q327" s="810">
        <v>1</v>
      </c>
      <c r="R327" s="810">
        <v>1</v>
      </c>
      <c r="S327" s="810">
        <v>2</v>
      </c>
      <c r="T327" s="810">
        <v>1</v>
      </c>
      <c r="U327" s="810">
        <v>1</v>
      </c>
      <c r="V327" s="810">
        <v>2</v>
      </c>
      <c r="W327" s="694">
        <f t="shared" si="54"/>
        <v>1</v>
      </c>
      <c r="X327">
        <f t="shared" si="55"/>
        <v>154.15611333409834</v>
      </c>
      <c r="Y327" s="1"/>
    </row>
    <row r="328" spans="1:25" s="871" customFormat="1" ht="12.75" customHeight="1" x14ac:dyDescent="0.2">
      <c r="A328" s="537" t="s">
        <v>2790</v>
      </c>
      <c r="B328" s="44" t="s">
        <v>3450</v>
      </c>
      <c r="C328" s="559"/>
      <c r="D328" s="44"/>
      <c r="E328" s="531"/>
      <c r="F328" s="534"/>
      <c r="G328" s="531"/>
      <c r="H328" s="534"/>
      <c r="I328" s="411"/>
      <c r="J328" s="412"/>
      <c r="K328" s="532"/>
      <c r="L328" s="413"/>
      <c r="M328" s="35"/>
      <c r="N328" s="810"/>
      <c r="O328" s="694"/>
      <c r="P328" s="694"/>
      <c r="Q328" s="810"/>
      <c r="R328" s="694"/>
      <c r="S328" s="694"/>
      <c r="T328" s="810"/>
      <c r="U328" s="694"/>
      <c r="V328" s="694"/>
      <c r="W328" s="694">
        <f t="shared" si="54"/>
        <v>0</v>
      </c>
      <c r="X328">
        <f t="shared" si="55"/>
        <v>0</v>
      </c>
      <c r="Y328" s="5"/>
    </row>
    <row r="329" spans="1:25" s="773" customFormat="1" x14ac:dyDescent="0.2">
      <c r="A329" s="320" t="s">
        <v>2265</v>
      </c>
      <c r="B329" s="1" t="s">
        <v>2208</v>
      </c>
      <c r="C329" s="555">
        <f>IF(air_scour_I="yes",num_blowers,0)</f>
        <v>1</v>
      </c>
      <c r="D329" s="355" t="s">
        <v>606</v>
      </c>
      <c r="E329" s="549">
        <f>IF(C329=0,"NA",design_air_flow)</f>
        <v>100.53096491487338</v>
      </c>
      <c r="F329" s="1" t="str">
        <f>IF(C329=0,"","cfm")</f>
        <v>cfm</v>
      </c>
      <c r="G329" s="549">
        <f>IF(C329=0,"NA",IF(curve=1,design_air_flow,VLOOKUP(design_air_flow,pd_blow_cost_cl,2)))</f>
        <v>100.53096491487338</v>
      </c>
      <c r="H329" s="510" t="str">
        <f>IF(C329=0,"","cfm")</f>
        <v>cfm</v>
      </c>
      <c r="I329" s="686">
        <f>IF(C329=0,"NA",IF(curve=1,pd_blow_eq,VLOOKUP(design_air_flow,pd_blow_cost_cl,3)))</f>
        <v>14280.352460707296</v>
      </c>
      <c r="J329" s="356">
        <f>IF(C329=0,"NA",IF(I329="contact vendor","--",C329*I329))</f>
        <v>14280.352460707296</v>
      </c>
      <c r="K329" s="195">
        <f>IF(C329=0,"NA",VLOOKUP(design_air_flow,pd_blow_cost_cl,IF(ss_cat="large",4,5)))</f>
        <v>20</v>
      </c>
      <c r="L329" s="354">
        <v>1</v>
      </c>
      <c r="M329" s="35" t="str">
        <f>$B$310&amp;" - "&amp;$B$328&amp;" - "&amp;B329</f>
        <v>Pumps and Blowers - Blowers - Air Scour - Positive Displacement</v>
      </c>
      <c r="N329" s="810">
        <v>1</v>
      </c>
      <c r="O329" s="810">
        <v>1</v>
      </c>
      <c r="P329" s="810">
        <v>1</v>
      </c>
      <c r="Q329" s="810">
        <v>1</v>
      </c>
      <c r="R329" s="810">
        <v>1</v>
      </c>
      <c r="S329" s="810">
        <v>1</v>
      </c>
      <c r="T329" s="810">
        <v>1</v>
      </c>
      <c r="U329" s="810">
        <v>1</v>
      </c>
      <c r="V329" s="810">
        <v>1</v>
      </c>
      <c r="W329" s="694">
        <f t="shared" si="54"/>
        <v>1</v>
      </c>
      <c r="X329">
        <f t="shared" si="55"/>
        <v>714.01762303536475</v>
      </c>
      <c r="Y329" s="1"/>
    </row>
    <row r="330" spans="1:25" s="773" customFormat="1" x14ac:dyDescent="0.2">
      <c r="A330" s="320" t="s">
        <v>2791</v>
      </c>
      <c r="B330" s="1" t="s">
        <v>2209</v>
      </c>
      <c r="C330" s="555">
        <f>IF(design_type=3,num_bio_blowers,0)</f>
        <v>0</v>
      </c>
      <c r="D330" s="355" t="s">
        <v>606</v>
      </c>
      <c r="E330" s="549" t="str">
        <f>IF(C330=0,"NA",design_air_flow_bio)</f>
        <v>NA</v>
      </c>
      <c r="F330" s="1" t="str">
        <f>IF(C330=0,"","cfm")</f>
        <v/>
      </c>
      <c r="G330" s="549" t="str">
        <f>IF(C330=0,"NA",IF(curve=1,design_air_flow_bio,VLOOKUP(design_air_flow_bio,pd_blow_cost_cl,2)))</f>
        <v>NA</v>
      </c>
      <c r="H330" s="510" t="str">
        <f>IF(C330=0,"","cfm")</f>
        <v/>
      </c>
      <c r="I330" s="686" t="str">
        <f>IF(C330=0,"NA",IF(curve=1,pd_bio_blow_eq,VLOOKUP(design_air_flow_bio,pd_blow_cost_cl,3)))</f>
        <v>NA</v>
      </c>
      <c r="J330" s="356" t="str">
        <f>IF(C330=0,"NA",IF(I330="contact vendor","--",C330*I330))</f>
        <v>NA</v>
      </c>
      <c r="K330" s="195" t="str">
        <f>IF(C330=0,"NA",VLOOKUP(design_air_flow_bio,pd_blow_cost_cl,IF(ss_cat="large",4,5)))</f>
        <v>NA</v>
      </c>
      <c r="L330" s="354"/>
      <c r="M330" s="35" t="str">
        <f>$B$310&amp;" - "&amp;$B$328&amp;" - "&amp;B330</f>
        <v>Pumps and Blowers - Blowers - Biomass Removal - Positive Displacement</v>
      </c>
      <c r="N330" s="810">
        <v>1</v>
      </c>
      <c r="O330" s="810">
        <v>1</v>
      </c>
      <c r="P330" s="810">
        <v>1</v>
      </c>
      <c r="Q330" s="810">
        <v>1</v>
      </c>
      <c r="R330" s="810">
        <v>1</v>
      </c>
      <c r="S330" s="810">
        <v>1</v>
      </c>
      <c r="T330" s="810">
        <v>1</v>
      </c>
      <c r="U330" s="810">
        <v>1</v>
      </c>
      <c r="V330" s="810">
        <v>1</v>
      </c>
      <c r="W330" s="694">
        <f t="shared" si="54"/>
        <v>0</v>
      </c>
      <c r="X330">
        <f t="shared" si="55"/>
        <v>0</v>
      </c>
      <c r="Y330" s="1"/>
    </row>
    <row r="331" spans="1:25" s="773" customFormat="1" x14ac:dyDescent="0.2">
      <c r="A331" s="320" t="s">
        <v>2949</v>
      </c>
      <c r="B331" s="1" t="s">
        <v>3111</v>
      </c>
      <c r="C331" s="555">
        <f>num_aeration_blowers</f>
        <v>2</v>
      </c>
      <c r="D331" s="355" t="s">
        <v>606</v>
      </c>
      <c r="E331" s="549">
        <f>IF(C331=0,"NA",design_air_flow_aeration)</f>
        <v>5.5972222222222232</v>
      </c>
      <c r="F331" s="1" t="str">
        <f>IF(C331=0,"","cfm")</f>
        <v>cfm</v>
      </c>
      <c r="G331" s="549">
        <f>IF(C331=0,"NA",IF(curve=1,design_air_flow_aeration,VLOOKUP(design_air_flow_aeration,pd_blow_cost_cl,2)))</f>
        <v>5.5972222222222232</v>
      </c>
      <c r="H331" s="510" t="str">
        <f>IF(C331=0,"","cfm")</f>
        <v>cfm</v>
      </c>
      <c r="I331" s="686">
        <f>IF(C331=0,"NA",IF(curve=1,pd_aeration_blow_eq,VLOOKUP(design_air_flow_aeration,pd_blow_cost_cl,3)))</f>
        <v>11194.007105229774</v>
      </c>
      <c r="J331" s="356">
        <f>IF(C331=0,"NA",IF(I331="contact vendor","--",C331*I331))</f>
        <v>22388.014210459547</v>
      </c>
      <c r="K331" s="195">
        <f>IF(C331=0,"NA",VLOOKUP(design_air_flow_aeration,pd_blow_cost_cl,IF(ss_cat="large",4,5)))</f>
        <v>20</v>
      </c>
      <c r="L331" s="354">
        <v>1</v>
      </c>
      <c r="M331" s="35" t="str">
        <f>$B$310&amp;" - "&amp;$B$328&amp;" - "&amp;B331</f>
        <v>Pumps and Blowers - Blowers - Aeration - Positive Displacement</v>
      </c>
      <c r="N331" s="810">
        <v>1</v>
      </c>
      <c r="O331" s="810">
        <v>1</v>
      </c>
      <c r="P331" s="810">
        <v>1</v>
      </c>
      <c r="Q331" s="810">
        <v>1</v>
      </c>
      <c r="R331" s="810">
        <v>1</v>
      </c>
      <c r="S331" s="810">
        <v>1</v>
      </c>
      <c r="T331" s="810">
        <v>1</v>
      </c>
      <c r="U331" s="810">
        <v>1</v>
      </c>
      <c r="V331" s="810">
        <v>1</v>
      </c>
      <c r="W331" s="694">
        <f t="shared" si="54"/>
        <v>1</v>
      </c>
      <c r="X331">
        <f t="shared" si="55"/>
        <v>1119.4007105229773</v>
      </c>
      <c r="Y331" s="1"/>
    </row>
    <row r="332" spans="1:25" x14ac:dyDescent="0.2">
      <c r="A332" s="473">
        <v>6.9</v>
      </c>
      <c r="B332" s="86" t="s">
        <v>147</v>
      </c>
      <c r="C332" s="556"/>
      <c r="D332" s="180"/>
      <c r="E332" s="342"/>
      <c r="F332" s="511"/>
      <c r="G332" s="566"/>
      <c r="H332" s="511"/>
      <c r="I332" s="373"/>
      <c r="J332" s="284"/>
      <c r="K332" s="283"/>
      <c r="L332" s="343"/>
      <c r="M332" s="35"/>
      <c r="N332" s="694"/>
      <c r="O332" s="694"/>
      <c r="P332" s="694"/>
      <c r="Q332" s="694"/>
      <c r="R332" s="694"/>
      <c r="S332" s="694"/>
      <c r="T332" s="694"/>
      <c r="U332" s="694"/>
      <c r="V332" s="694"/>
      <c r="W332" s="694">
        <f t="shared" si="54"/>
        <v>0</v>
      </c>
      <c r="X332">
        <f t="shared" si="55"/>
        <v>0</v>
      </c>
      <c r="Y332"/>
    </row>
    <row r="333" spans="1:25" s="773" customFormat="1" x14ac:dyDescent="0.2">
      <c r="A333" s="320" t="s">
        <v>2792</v>
      </c>
      <c r="B333" s="1" t="s">
        <v>1602</v>
      </c>
      <c r="C333" s="555">
        <f>cm_pumps_H2O2</f>
        <v>0</v>
      </c>
      <c r="D333" s="355" t="s">
        <v>606</v>
      </c>
      <c r="E333" s="883" t="str">
        <f>IF(C333=0,"NA",IF(C333=0,"NA",cm_pump_rating_H2O2))</f>
        <v>NA</v>
      </c>
      <c r="F333" s="884" t="str">
        <f>IF(C333=0,"","gph")</f>
        <v/>
      </c>
      <c r="G333" s="883" t="str">
        <f>IF(C333=0,"NA",IF(curve=1,cm_pump_rating_H2O2,VLOOKUP(cm_pump_rating_H2O2,pvc_mmpump_cost_cl,2)))</f>
        <v>NA</v>
      </c>
      <c r="H333" s="510" t="str">
        <f>IF(C333=0,"","gph")</f>
        <v/>
      </c>
      <c r="I333" s="686" t="str">
        <f>IF(C333=0,"NA",IF(curve=1,pvc_H2O2_mmpump_eq,VLOOKUP(cm_pump_rating_H2O2,pvc_mmpump_cost_cl,3)))</f>
        <v>NA</v>
      </c>
      <c r="J333" s="356" t="str">
        <f>IF(C333=0,"--",(IF(I333="contact vendor","--",C333*I333)))</f>
        <v>--</v>
      </c>
      <c r="K333" s="195" t="str">
        <f>IF(cm_pumps_H2O2=0,"NA",VLOOKUP(cm_pump_rating_H2O2,pvc_mmpump_cost_cl,IF(ss_cat="large",4,5)))</f>
        <v>NA</v>
      </c>
      <c r="L333" s="354"/>
      <c r="M333" s="35" t="str">
        <f>$B$310&amp;" - "&amp;$B$332&amp;" - "&amp;B333</f>
        <v>Pumps and Blowers - Hydrogen Peroxide Metering - PVC - Motor Driven</v>
      </c>
      <c r="N333" s="810">
        <v>3</v>
      </c>
      <c r="O333" s="810">
        <v>3</v>
      </c>
      <c r="P333" s="810">
        <v>2</v>
      </c>
      <c r="Q333" s="810">
        <v>4</v>
      </c>
      <c r="R333" s="810">
        <v>4</v>
      </c>
      <c r="S333" s="810">
        <v>1</v>
      </c>
      <c r="T333" s="810">
        <v>4</v>
      </c>
      <c r="U333" s="810">
        <v>4</v>
      </c>
      <c r="V333" s="810">
        <v>1</v>
      </c>
      <c r="W333" s="694">
        <f t="shared" si="54"/>
        <v>0</v>
      </c>
      <c r="X333">
        <f t="shared" si="55"/>
        <v>0</v>
      </c>
      <c r="Y333" s="1"/>
    </row>
    <row r="334" spans="1:25" s="773" customFormat="1" x14ac:dyDescent="0.2">
      <c r="A334" s="320" t="s">
        <v>2792</v>
      </c>
      <c r="B334" s="1" t="s">
        <v>1603</v>
      </c>
      <c r="C334" s="555">
        <f>cm_pumps_H2O2</f>
        <v>0</v>
      </c>
      <c r="D334" s="355" t="s">
        <v>606</v>
      </c>
      <c r="E334" s="883" t="str">
        <f>IF(C334=0,"NA",IF(C334=0,"NA",cm_pump_rating_H2O2))</f>
        <v>NA</v>
      </c>
      <c r="F334" s="884" t="str">
        <f>IF(C334=0,"","gph")</f>
        <v/>
      </c>
      <c r="G334" s="883" t="str">
        <f>IF(C334=0,"NA",IF(curve=1,cm_pump_rating_H2O2,VLOOKUP(cm_pump_rating_H2O2,ss_mmpump_cost_cl,2)))</f>
        <v>NA</v>
      </c>
      <c r="H334" s="510" t="str">
        <f>IF(C334=0,"","gph")</f>
        <v/>
      </c>
      <c r="I334" s="686" t="str">
        <f>IF(C334=0,"NA",IF(curve=1,ss_H2O2_mmpump_eq,VLOOKUP(cm_pump_rating_H2O2,ss_mmpump_cost_cl,3)))</f>
        <v>NA</v>
      </c>
      <c r="J334" s="356" t="str">
        <f>IF(C334=0,"--",(IF(I334="contact vendor","--",C334*I334)))</f>
        <v>--</v>
      </c>
      <c r="K334" s="195" t="str">
        <f>IF(cm_pumps_H2O2=0,"NA",VLOOKUP(cm_pump_rating_H2O2,ss_mmpump_cost_cl,IF(ss_cat="large",4,5)))</f>
        <v>NA</v>
      </c>
      <c r="L334" s="354"/>
      <c r="M334" s="35" t="str">
        <f>$B$310&amp;" - "&amp;$B$332&amp;" - "&amp;B334</f>
        <v>Pumps and Blowers - Hydrogen Peroxide Metering - Stainless Steel - Motor Driven</v>
      </c>
      <c r="N334" s="810">
        <v>4</v>
      </c>
      <c r="O334" s="810">
        <v>4</v>
      </c>
      <c r="P334" s="810">
        <v>1</v>
      </c>
      <c r="Q334" s="810">
        <v>3</v>
      </c>
      <c r="R334" s="810">
        <v>3</v>
      </c>
      <c r="S334" s="810">
        <v>2</v>
      </c>
      <c r="T334" s="810">
        <v>3</v>
      </c>
      <c r="U334" s="810">
        <v>3</v>
      </c>
      <c r="V334" s="810">
        <v>2</v>
      </c>
      <c r="W334" s="694">
        <f t="shared" si="54"/>
        <v>0</v>
      </c>
      <c r="X334">
        <f t="shared" si="55"/>
        <v>0</v>
      </c>
      <c r="Y334" s="1"/>
    </row>
    <row r="335" spans="1:25" s="773" customFormat="1" x14ac:dyDescent="0.2">
      <c r="A335" s="320" t="s">
        <v>2792</v>
      </c>
      <c r="B335" s="1" t="s">
        <v>1604</v>
      </c>
      <c r="C335" s="555">
        <f>cm_pumps_H2O2</f>
        <v>0</v>
      </c>
      <c r="D335" s="355" t="s">
        <v>606</v>
      </c>
      <c r="E335" s="883" t="str">
        <f>IF(C335=0,"NA",IF(C335=0,"NA",cm_pump_rating_H2O2))</f>
        <v>NA</v>
      </c>
      <c r="F335" s="884" t="str">
        <f>IF(C335=0,"","gph")</f>
        <v/>
      </c>
      <c r="G335" s="883" t="str">
        <f>IF(C335=0,"NA",IF(curve=1,cm_pump_rating_H2O2,VLOOKUP(cm_pump_rating_H2O2,pvc_empump_cost_cl,2)))</f>
        <v>NA</v>
      </c>
      <c r="H335" s="510" t="str">
        <f>IF(C335=0,"","gph")</f>
        <v/>
      </c>
      <c r="I335" s="686" t="str">
        <f>IF(C335=0,"NA",IF(curve=1,pvc_H2O2_empump_eq,VLOOKUP(cm_pump_rating_H2O2,pvc_empump_cost_cl,3)))</f>
        <v>NA</v>
      </c>
      <c r="J335" s="356" t="str">
        <f>IF(C335=0,"--",(IF(I335="contact vendor","--",C335*I335)))</f>
        <v>--</v>
      </c>
      <c r="K335" s="195" t="str">
        <f>IF(cm_pumps_H2O2=0,"NA",VLOOKUP(cm_pump_rating_H2O2,pvc_empump_cost_cl,IF(ss_cat="large",4,5)))</f>
        <v>NA</v>
      </c>
      <c r="L335" s="354"/>
      <c r="M335" s="35" t="str">
        <f>$B$310&amp;" - "&amp;$B$332&amp;" - "&amp;B335</f>
        <v>Pumps and Blowers - Hydrogen Peroxide Metering - PVC - Electric</v>
      </c>
      <c r="N335" s="810">
        <v>1</v>
      </c>
      <c r="O335" s="810">
        <v>2</v>
      </c>
      <c r="P335" s="810">
        <v>4</v>
      </c>
      <c r="Q335" s="810">
        <v>1</v>
      </c>
      <c r="R335" s="810">
        <v>2</v>
      </c>
      <c r="S335" s="810">
        <v>4</v>
      </c>
      <c r="T335" s="810">
        <v>1</v>
      </c>
      <c r="U335" s="810">
        <v>2</v>
      </c>
      <c r="V335" s="810">
        <v>4</v>
      </c>
      <c r="W335" s="694">
        <f t="shared" si="54"/>
        <v>0</v>
      </c>
      <c r="X335">
        <f t="shared" si="55"/>
        <v>0</v>
      </c>
      <c r="Y335" s="1"/>
    </row>
    <row r="336" spans="1:25" s="773" customFormat="1" x14ac:dyDescent="0.2">
      <c r="A336" s="320" t="s">
        <v>2792</v>
      </c>
      <c r="B336" s="1" t="s">
        <v>1605</v>
      </c>
      <c r="C336" s="555">
        <f>cm_pumps_H2O2</f>
        <v>0</v>
      </c>
      <c r="D336" s="355" t="s">
        <v>606</v>
      </c>
      <c r="E336" s="883" t="str">
        <f>IF(C336=0,"NA",IF(C336=0,"NA",cm_pump_rating_H2O2))</f>
        <v>NA</v>
      </c>
      <c r="F336" s="884" t="str">
        <f>IF(C336=0,"","gph")</f>
        <v/>
      </c>
      <c r="G336" s="883" t="str">
        <f>IF(C336=0,"NA",IF(curve=1,cm_pump_rating_H2O2,VLOOKUP(cm_pump_rating_H2O2,ss_empump_cost_cl,2)))</f>
        <v>NA</v>
      </c>
      <c r="H336" s="510" t="str">
        <f>IF(C336=0,"","gph")</f>
        <v/>
      </c>
      <c r="I336" s="686" t="str">
        <f>IF(C336=0,"NA",IF(curve=1,ss_H2O2_empump_eq,VLOOKUP(cm_pump_rating_H2O2,ss_empump_cost_cl,3)))</f>
        <v>NA</v>
      </c>
      <c r="J336" s="356" t="str">
        <f>IF(C336=0,"--",(IF(I336="contact vendor","--",C336*I336)))</f>
        <v>--</v>
      </c>
      <c r="K336" s="195" t="str">
        <f>IF(cm_pumps_H2O2=0,"NA",VLOOKUP(cm_pump_rating_H2O2,ss_empump_cost_cl,IF(ss_cat="large",4,5)))</f>
        <v>NA</v>
      </c>
      <c r="L336" s="354"/>
      <c r="M336" s="35" t="str">
        <f>$B$310&amp;" - "&amp;$B$332&amp;" - "&amp;B336</f>
        <v>Pumps and Blowers - Hydrogen Peroxide Metering - Stainless Steel - Electric</v>
      </c>
      <c r="N336" s="810">
        <v>2</v>
      </c>
      <c r="O336" s="810">
        <v>1</v>
      </c>
      <c r="P336" s="810">
        <v>3</v>
      </c>
      <c r="Q336" s="810">
        <v>2</v>
      </c>
      <c r="R336" s="810">
        <v>1</v>
      </c>
      <c r="S336" s="810">
        <v>3</v>
      </c>
      <c r="T336" s="810">
        <v>2</v>
      </c>
      <c r="U336" s="810">
        <v>1</v>
      </c>
      <c r="V336" s="810">
        <v>3</v>
      </c>
      <c r="W336" s="694">
        <f t="shared" si="54"/>
        <v>0</v>
      </c>
      <c r="X336">
        <f t="shared" si="55"/>
        <v>0</v>
      </c>
      <c r="Y336" s="1"/>
    </row>
    <row r="337" spans="1:25" s="773" customFormat="1" x14ac:dyDescent="0.2">
      <c r="A337" s="473" t="s">
        <v>2921</v>
      </c>
      <c r="B337" s="875" t="s">
        <v>4372</v>
      </c>
      <c r="C337" s="556"/>
      <c r="D337" s="180"/>
      <c r="E337" s="342"/>
      <c r="F337" s="511"/>
      <c r="G337" s="566"/>
      <c r="H337" s="511"/>
      <c r="I337" s="373"/>
      <c r="J337" s="284"/>
      <c r="K337" s="283"/>
      <c r="L337" s="343"/>
      <c r="M337" s="35"/>
      <c r="N337" s="694"/>
      <c r="O337" s="694"/>
      <c r="P337" s="694"/>
      <c r="Q337" s="694"/>
      <c r="R337" s="694"/>
      <c r="S337" s="694"/>
      <c r="T337" s="694"/>
      <c r="U337" s="694"/>
      <c r="V337" s="694"/>
      <c r="W337" s="694">
        <f t="shared" si="54"/>
        <v>0</v>
      </c>
      <c r="X337">
        <f t="shared" si="55"/>
        <v>0</v>
      </c>
      <c r="Y337" s="1"/>
    </row>
    <row r="338" spans="1:25" s="773" customFormat="1" x14ac:dyDescent="0.2">
      <c r="A338" s="320" t="s">
        <v>2923</v>
      </c>
      <c r="B338" s="1" t="s">
        <v>1602</v>
      </c>
      <c r="C338" s="555">
        <f>cm_pumps_coag_filt</f>
        <v>2</v>
      </c>
      <c r="D338" s="355" t="s">
        <v>606</v>
      </c>
      <c r="E338" s="883">
        <f>IF(C338=0,"NA",IF(C338=0,"NA",cm_pump_rating_coag_filt))</f>
        <v>0.13</v>
      </c>
      <c r="F338" s="884" t="str">
        <f>IF(C338=0,"","gph")</f>
        <v>gph</v>
      </c>
      <c r="G338" s="883">
        <f>IF(C338=0,"NA",IF(curve=1,cm_pump_rating_coag_filt,VLOOKUP(cm_pump_rating_coag_filt,pvc_mmpump_cost_cl,2)))</f>
        <v>0.13</v>
      </c>
      <c r="H338" s="510" t="str">
        <f>IF(C338=0,"","gph")</f>
        <v>gph</v>
      </c>
      <c r="I338" s="686">
        <f>IF(C338=0,"NA",IF(curve=1,pvc_coag_filt_mmpump_eq,VLOOKUP(cm_pump_rating_coag_filt,pvc_mmpump_cost_cl,3)))</f>
        <v>3008.1694310770154</v>
      </c>
      <c r="J338" s="356">
        <f>IF(C338=0,"--",(IF(I338="contact vendor","--",C338*I338)))</f>
        <v>6016.3388621540307</v>
      </c>
      <c r="K338" s="195">
        <f>IF(cm_pumps_coag_filt=0,"NA",VLOOKUP(cm_pump_rating_coag_filt,pvc_mmpump_cost_cl,IF(ss_cat="large",4,5)))</f>
        <v>17</v>
      </c>
      <c r="L338" s="354">
        <v>0</v>
      </c>
      <c r="M338" s="35" t="str">
        <f>$B$310&amp;" - "&amp;$B$337&amp;" - "&amp;B338</f>
        <v>Pumps and Blowers - Ferric Chloride Metering to Post-Treatment - PVC - Motor Driven</v>
      </c>
      <c r="N338" s="810">
        <v>2</v>
      </c>
      <c r="O338" s="810">
        <v>2</v>
      </c>
      <c r="P338" s="810">
        <v>1</v>
      </c>
      <c r="Q338" s="810">
        <v>2</v>
      </c>
      <c r="R338" s="810">
        <v>2</v>
      </c>
      <c r="S338" s="810">
        <v>1</v>
      </c>
      <c r="T338" s="810">
        <v>2</v>
      </c>
      <c r="U338" s="810">
        <v>2</v>
      </c>
      <c r="V338" s="810">
        <v>1</v>
      </c>
      <c r="W338" s="694">
        <f t="shared" si="54"/>
        <v>0</v>
      </c>
      <c r="X338">
        <f t="shared" si="55"/>
        <v>0</v>
      </c>
      <c r="Y338" s="1"/>
    </row>
    <row r="339" spans="1:25" s="773" customFormat="1" x14ac:dyDescent="0.2">
      <c r="A339" s="320" t="s">
        <v>2923</v>
      </c>
      <c r="B339" s="1" t="s">
        <v>1604</v>
      </c>
      <c r="C339" s="555">
        <f>cm_pumps_coag_filt</f>
        <v>2</v>
      </c>
      <c r="D339" s="355" t="s">
        <v>606</v>
      </c>
      <c r="E339" s="883">
        <f>IF(C339=0,"NA",IF(C339=0,"NA",cm_pump_rating_coag_filt))</f>
        <v>0.13</v>
      </c>
      <c r="F339" s="884" t="str">
        <f>IF(C339=0,"","gph")</f>
        <v>gph</v>
      </c>
      <c r="G339" s="883">
        <f>IF(C339=0,"NA",IF(curve=1,cm_pump_rating_coag_filt,VLOOKUP(cm_pump_rating_coag_filt,pvc_empump_cost_cl,2)))</f>
        <v>0.13</v>
      </c>
      <c r="H339" s="510" t="str">
        <f>IF(C339=0,"","gph")</f>
        <v>gph</v>
      </c>
      <c r="I339" s="686">
        <f>IF(C339=0,"NA",IF(curve=1,pvc_coag_filt_empump_eq,VLOOKUP(cm_pump_rating_coag_filt,pvc_empump_cost_cl,3)))</f>
        <v>1156.1708500057375</v>
      </c>
      <c r="J339" s="356">
        <f>IF(C339=0,"--",(IF(I339="contact vendor","--",C339*I339)))</f>
        <v>2312.341700011475</v>
      </c>
      <c r="K339" s="195">
        <f>IF(cm_pumps_coag_filt=0,"NA",VLOOKUP(cm_pump_rating_coag_filt,pvc_empump_cost_cl,IF(ss_cat="large",4,5)))</f>
        <v>15</v>
      </c>
      <c r="L339" s="354">
        <v>1</v>
      </c>
      <c r="M339" s="35" t="str">
        <f>$B$310&amp;" - "&amp;$B$337&amp;" - "&amp;B339</f>
        <v>Pumps and Blowers - Ferric Chloride Metering to Post-Treatment - PVC - Electric</v>
      </c>
      <c r="N339" s="810">
        <v>1</v>
      </c>
      <c r="O339" s="810">
        <v>1</v>
      </c>
      <c r="P339" s="810">
        <v>2</v>
      </c>
      <c r="Q339" s="810">
        <v>1</v>
      </c>
      <c r="R339" s="810">
        <v>1</v>
      </c>
      <c r="S339" s="810">
        <v>2</v>
      </c>
      <c r="T339" s="810">
        <v>1</v>
      </c>
      <c r="U339" s="810">
        <v>1</v>
      </c>
      <c r="V339" s="810">
        <v>2</v>
      </c>
      <c r="W339" s="694">
        <f t="shared" si="54"/>
        <v>1</v>
      </c>
      <c r="X339">
        <f t="shared" si="55"/>
        <v>154.15611333409834</v>
      </c>
      <c r="Y339" s="1"/>
    </row>
    <row r="340" spans="1:25" s="773" customFormat="1" x14ac:dyDescent="0.2">
      <c r="A340" s="473">
        <v>6.11</v>
      </c>
      <c r="B340" s="875" t="s">
        <v>4326</v>
      </c>
      <c r="C340" s="556"/>
      <c r="D340" s="180"/>
      <c r="E340" s="342"/>
      <c r="F340" s="511"/>
      <c r="G340" s="566"/>
      <c r="H340" s="511"/>
      <c r="I340" s="373"/>
      <c r="J340" s="284"/>
      <c r="K340" s="283"/>
      <c r="L340" s="343"/>
      <c r="M340" s="35"/>
      <c r="N340" s="694"/>
      <c r="O340" s="694"/>
      <c r="P340" s="694"/>
      <c r="Q340" s="694"/>
      <c r="R340" s="694"/>
      <c r="S340" s="694"/>
      <c r="T340" s="694"/>
      <c r="U340" s="694"/>
      <c r="V340" s="694"/>
      <c r="W340" s="694">
        <f t="shared" ref="W340:W342" si="56">IF(ISERROR(K340*L340),0,IF(K340&lt;1,0,L340))</f>
        <v>0</v>
      </c>
      <c r="X340">
        <f t="shared" ref="X340:X342" si="57">IF(W340,J340/K340,0)</f>
        <v>0</v>
      </c>
      <c r="Y340" s="1"/>
    </row>
    <row r="341" spans="1:25" s="773" customFormat="1" x14ac:dyDescent="0.2">
      <c r="A341" s="320" t="s">
        <v>4373</v>
      </c>
      <c r="B341" s="1" t="s">
        <v>1602</v>
      </c>
      <c r="C341" s="555">
        <f>cm_pumps_coag</f>
        <v>0</v>
      </c>
      <c r="D341" s="355" t="s">
        <v>606</v>
      </c>
      <c r="E341" s="883" t="str">
        <f>IF(C341=0,"NA",IF(C341=0,"NA",cm_pump_rating_coag))</f>
        <v>NA</v>
      </c>
      <c r="F341" s="884" t="str">
        <f>IF(C341=0,"","gph")</f>
        <v/>
      </c>
      <c r="G341" s="883" t="str">
        <f>IF(C341=0,"NA",IF(curve=1,cm_pump_rating_coag,VLOOKUP(cm_pump_rating_coag,pvc_mmpump_cost_cl,2)))</f>
        <v>NA</v>
      </c>
      <c r="H341" s="510" t="str">
        <f>IF(C341=0,"","gph")</f>
        <v/>
      </c>
      <c r="I341" s="686" t="str">
        <f>IF(C341=0,"NA",IF(curve=1,pvc_coag_mmpump_eq,VLOOKUP(cm_pump_rating_coag,pvc_mmpump_cost_cl,3)))</f>
        <v>NA</v>
      </c>
      <c r="J341" s="356" t="str">
        <f>IF(C341=0,"--",(IF(I341="contact vendor","--",C341*I341)))</f>
        <v>--</v>
      </c>
      <c r="K341" s="195" t="str">
        <f>IF(cm_pumps_coag=0,"NA",VLOOKUP(cm_pump_rating_coag,pvc_mmpump_cost_cl,IF(ss_cat="large",4,5)))</f>
        <v>NA</v>
      </c>
      <c r="L341" s="354"/>
      <c r="M341" s="35" t="str">
        <f>$B$310&amp;" - "&amp;$B$340&amp;" - "&amp;B341</f>
        <v>Pumps and Blowers - Ferric Chloride Metering to Residuals - PVC - Motor Driven</v>
      </c>
      <c r="N341" s="810">
        <v>2</v>
      </c>
      <c r="O341" s="810">
        <v>2</v>
      </c>
      <c r="P341" s="810">
        <v>1</v>
      </c>
      <c r="Q341" s="810">
        <v>2</v>
      </c>
      <c r="R341" s="810">
        <v>2</v>
      </c>
      <c r="S341" s="810">
        <v>1</v>
      </c>
      <c r="T341" s="810">
        <v>2</v>
      </c>
      <c r="U341" s="810">
        <v>2</v>
      </c>
      <c r="V341" s="810">
        <v>1</v>
      </c>
      <c r="W341" s="694">
        <f t="shared" si="56"/>
        <v>0</v>
      </c>
      <c r="X341">
        <f t="shared" si="57"/>
        <v>0</v>
      </c>
      <c r="Y341" s="1"/>
    </row>
    <row r="342" spans="1:25" s="773" customFormat="1" x14ac:dyDescent="0.2">
      <c r="A342" s="320" t="s">
        <v>4373</v>
      </c>
      <c r="B342" s="1" t="s">
        <v>1604</v>
      </c>
      <c r="C342" s="555">
        <f>cm_pumps_coag</f>
        <v>0</v>
      </c>
      <c r="D342" s="355" t="s">
        <v>606</v>
      </c>
      <c r="E342" s="883" t="str">
        <f>IF(C342=0,"NA",IF(C342=0,"NA",cm_pump_rating_coag))</f>
        <v>NA</v>
      </c>
      <c r="F342" s="884" t="str">
        <f>IF(C342=0,"","gph")</f>
        <v/>
      </c>
      <c r="G342" s="883" t="str">
        <f>IF(C342=0,"NA",IF(curve=1,cm_pump_rating_coag,VLOOKUP(cm_pump_rating_coag,pvc_empump_cost_cl,2)))</f>
        <v>NA</v>
      </c>
      <c r="H342" s="510" t="str">
        <f>IF(C342=0,"","gph")</f>
        <v/>
      </c>
      <c r="I342" s="686" t="str">
        <f>IF(C342=0,"NA",IF(curve=1,pvc_coag_empump_eq,VLOOKUP(cm_pump_rating_coag,pvc_empump_cost_cl,3)))</f>
        <v>NA</v>
      </c>
      <c r="J342" s="356" t="str">
        <f>IF(C342=0,"--",(IF(I342="contact vendor","--",C342*I342)))</f>
        <v>--</v>
      </c>
      <c r="K342" s="195" t="str">
        <f>IF(cm_pumps_coag=0,"NA",VLOOKUP(cm_pump_rating_coag,pvc_empump_cost_cl,IF(ss_cat="large",4,5)))</f>
        <v>NA</v>
      </c>
      <c r="L342" s="354"/>
      <c r="M342" s="35" t="str">
        <f>$B$310&amp;" - "&amp;$B$340&amp;" - "&amp;B342</f>
        <v>Pumps and Blowers - Ferric Chloride Metering to Residuals - PVC - Electric</v>
      </c>
      <c r="N342" s="810">
        <v>1</v>
      </c>
      <c r="O342" s="810">
        <v>1</v>
      </c>
      <c r="P342" s="810">
        <v>2</v>
      </c>
      <c r="Q342" s="810">
        <v>1</v>
      </c>
      <c r="R342" s="810">
        <v>1</v>
      </c>
      <c r="S342" s="810">
        <v>2</v>
      </c>
      <c r="T342" s="810">
        <v>1</v>
      </c>
      <c r="U342" s="810">
        <v>1</v>
      </c>
      <c r="V342" s="810">
        <v>2</v>
      </c>
      <c r="W342" s="694">
        <f t="shared" si="56"/>
        <v>0</v>
      </c>
      <c r="X342">
        <f t="shared" si="57"/>
        <v>0</v>
      </c>
      <c r="Y342" s="1"/>
    </row>
    <row r="343" spans="1:25" x14ac:dyDescent="0.2">
      <c r="A343" s="473">
        <v>6.12</v>
      </c>
      <c r="B343" s="86" t="s">
        <v>2922</v>
      </c>
      <c r="C343" s="556"/>
      <c r="D343" s="180"/>
      <c r="E343" s="342"/>
      <c r="F343" s="511"/>
      <c r="G343" s="566"/>
      <c r="H343" s="511"/>
      <c r="I343" s="373"/>
      <c r="J343" s="284"/>
      <c r="K343" s="283"/>
      <c r="L343" s="343"/>
      <c r="M343" s="35"/>
      <c r="N343" s="694"/>
      <c r="O343" s="694"/>
      <c r="P343" s="694"/>
      <c r="Q343" s="694"/>
      <c r="R343" s="694"/>
      <c r="S343" s="694"/>
      <c r="T343" s="694"/>
      <c r="U343" s="694"/>
      <c r="V343" s="694"/>
      <c r="W343" s="694">
        <f t="shared" si="54"/>
        <v>0</v>
      </c>
      <c r="X343">
        <f t="shared" si="55"/>
        <v>0</v>
      </c>
      <c r="Y343"/>
    </row>
    <row r="344" spans="1:25" s="773" customFormat="1" x14ac:dyDescent="0.2">
      <c r="A344" s="320" t="s">
        <v>4374</v>
      </c>
      <c r="B344" s="1" t="s">
        <v>1602</v>
      </c>
      <c r="C344" s="555">
        <f>cm_pumps_polymer</f>
        <v>2</v>
      </c>
      <c r="D344" s="355" t="s">
        <v>606</v>
      </c>
      <c r="E344" s="883">
        <f>IF(C344=0,"NA",IF(C344=0,"NA",cm_pump_rating_polymer))</f>
        <v>1.3459419642857142</v>
      </c>
      <c r="F344" s="884" t="str">
        <f>IF(C344=0,"","gph")</f>
        <v>gph</v>
      </c>
      <c r="G344" s="883">
        <f>IF(C344=0,"NA",IF(curve=1,cm_pump_rating_polymer,VLOOKUP(cm_pump_rating_polymer,pvc_mmpump_cost_cl,2)))</f>
        <v>1.3459419642857142</v>
      </c>
      <c r="H344" s="510" t="str">
        <f>IF(C344=0,"","gph")</f>
        <v>gph</v>
      </c>
      <c r="I344" s="686">
        <f>IF(C344=0,"NA",IF(curve=1,pvc_polymer_mmpump_eq,VLOOKUP(cm_pump_rating_polymer,pvc_mmpump_cost_cl,3)))</f>
        <v>3079.1072108380549</v>
      </c>
      <c r="J344" s="356">
        <f>IF(C344=0,"--",(IF(I344="contact vendor","--",C344*I344)))</f>
        <v>6158.2144216761099</v>
      </c>
      <c r="K344" s="195">
        <f>IF(C344=0,"NA",VLOOKUP(cm_pump_rating_polymer,pvc_mmpump_cost_cl,IF(ss_cat="large",4,5)))</f>
        <v>17</v>
      </c>
      <c r="L344" s="354">
        <v>0</v>
      </c>
      <c r="M344" s="35" t="str">
        <f>$B$310&amp;" - "&amp;$B$343&amp;" - "&amp;B344</f>
        <v>Pumps and Blowers - Polymer Metering - PVC - Motor Driven</v>
      </c>
      <c r="N344" s="810">
        <v>3</v>
      </c>
      <c r="O344" s="810">
        <v>3</v>
      </c>
      <c r="P344" s="810">
        <v>2</v>
      </c>
      <c r="Q344" s="810">
        <v>4</v>
      </c>
      <c r="R344" s="810">
        <v>4</v>
      </c>
      <c r="S344" s="810">
        <v>1</v>
      </c>
      <c r="T344" s="810">
        <v>4</v>
      </c>
      <c r="U344" s="810">
        <v>4</v>
      </c>
      <c r="V344" s="810">
        <v>1</v>
      </c>
      <c r="W344" s="694">
        <f t="shared" si="54"/>
        <v>0</v>
      </c>
      <c r="X344">
        <f t="shared" si="55"/>
        <v>0</v>
      </c>
      <c r="Y344" s="1"/>
    </row>
    <row r="345" spans="1:25" s="773" customFormat="1" x14ac:dyDescent="0.2">
      <c r="A345" s="320" t="s">
        <v>4374</v>
      </c>
      <c r="B345" s="1" t="s">
        <v>1603</v>
      </c>
      <c r="C345" s="555">
        <f>cm_pumps_polymer</f>
        <v>2</v>
      </c>
      <c r="D345" s="355" t="s">
        <v>606</v>
      </c>
      <c r="E345" s="883">
        <f>IF(C345=0,"NA",IF(C345=0,"NA",cm_pump_rating_polymer))</f>
        <v>1.3459419642857142</v>
      </c>
      <c r="F345" s="884" t="str">
        <f>IF(C345=0,"","gph")</f>
        <v>gph</v>
      </c>
      <c r="G345" s="883">
        <f>IF(C345=0,"NA",IF(curve=1,cm_pump_rating_polymer,VLOOKUP(cm_pump_rating_polymer,ss_mmpump_cost_cl,2)))</f>
        <v>1.3459419642857142</v>
      </c>
      <c r="H345" s="510" t="str">
        <f>IF(C345=0,"","gph")</f>
        <v>gph</v>
      </c>
      <c r="I345" s="686">
        <f>IF(C345=0,"NA",IF(curve=1,ss_polymer_mmpump_eq,VLOOKUP(cm_pump_rating_polymer,ss_mmpump_cost_cl,3)))</f>
        <v>3512.4480901088009</v>
      </c>
      <c r="J345" s="356">
        <f>IF(C345=0,"--",(IF(I345="contact vendor","--",C345*I345)))</f>
        <v>7024.8961802176018</v>
      </c>
      <c r="K345" s="195">
        <f>IF(C345=0,"NA",VLOOKUP(cm_pump_rating_polymer,ss_mmpump_cost_cl,IF(ss_cat="large",4,5)))</f>
        <v>17</v>
      </c>
      <c r="L345" s="354">
        <v>0</v>
      </c>
      <c r="M345" s="35" t="str">
        <f>$B$310&amp;" - "&amp;$B$343&amp;" - "&amp;B345</f>
        <v>Pumps and Blowers - Polymer Metering - Stainless Steel - Motor Driven</v>
      </c>
      <c r="N345" s="810">
        <v>4</v>
      </c>
      <c r="O345" s="810">
        <v>4</v>
      </c>
      <c r="P345" s="810">
        <v>1</v>
      </c>
      <c r="Q345" s="810">
        <v>3</v>
      </c>
      <c r="R345" s="810">
        <v>3</v>
      </c>
      <c r="S345" s="810">
        <v>2</v>
      </c>
      <c r="T345" s="810">
        <v>3</v>
      </c>
      <c r="U345" s="810">
        <v>3</v>
      </c>
      <c r="V345" s="810">
        <v>2</v>
      </c>
      <c r="W345" s="694">
        <f t="shared" si="54"/>
        <v>0</v>
      </c>
      <c r="X345">
        <f t="shared" si="55"/>
        <v>0</v>
      </c>
      <c r="Y345" s="1"/>
    </row>
    <row r="346" spans="1:25" s="773" customFormat="1" x14ac:dyDescent="0.2">
      <c r="A346" s="320" t="s">
        <v>4374</v>
      </c>
      <c r="B346" s="1" t="s">
        <v>1604</v>
      </c>
      <c r="C346" s="555">
        <f>cm_pumps_polymer</f>
        <v>2</v>
      </c>
      <c r="D346" s="355" t="s">
        <v>606</v>
      </c>
      <c r="E346" s="883">
        <f>IF(C346=0,"NA",IF(C346=0,"NA",cm_pump_rating_polymer))</f>
        <v>1.3459419642857142</v>
      </c>
      <c r="F346" s="884" t="str">
        <f>IF(C346=0,"","gph")</f>
        <v>gph</v>
      </c>
      <c r="G346" s="883">
        <f>IF(C346=0,"NA",IF(curve=1,cm_pump_rating_polymer,VLOOKUP(cm_pump_rating_polymer,pvc_empump_cost_cl,2)))</f>
        <v>1.3459419642857142</v>
      </c>
      <c r="H346" s="510" t="str">
        <f>IF(C346=0,"","gph")</f>
        <v>gph</v>
      </c>
      <c r="I346" s="686">
        <f>IF(C346=0,"NA",IF(curve=1,pvc_polymer_empump_eq,VLOOKUP(cm_pump_rating_polymer,pvc_empump_cost_cl,3)))</f>
        <v>1235.7464047032797</v>
      </c>
      <c r="J346" s="356">
        <f>IF(C346=0,"--",(IF(I346="contact vendor","--",C346*I346)))</f>
        <v>2471.4928094065594</v>
      </c>
      <c r="K346" s="195">
        <f>IF(C346=0,"NA",VLOOKUP(cm_pump_rating_polymer,pvc_empump_cost_cl,IF(ss_cat="large",4,5)))</f>
        <v>15</v>
      </c>
      <c r="L346" s="354">
        <v>1</v>
      </c>
      <c r="M346" s="35" t="str">
        <f>$B$310&amp;" - "&amp;$B$343&amp;" - "&amp;B346</f>
        <v>Pumps and Blowers - Polymer Metering - PVC - Electric</v>
      </c>
      <c r="N346" s="810">
        <v>1</v>
      </c>
      <c r="O346" s="810">
        <v>2</v>
      </c>
      <c r="P346" s="810">
        <v>4</v>
      </c>
      <c r="Q346" s="810">
        <v>1</v>
      </c>
      <c r="R346" s="810">
        <v>2</v>
      </c>
      <c r="S346" s="810">
        <v>4</v>
      </c>
      <c r="T346" s="810">
        <v>1</v>
      </c>
      <c r="U346" s="810">
        <v>2</v>
      </c>
      <c r="V346" s="810">
        <v>4</v>
      </c>
      <c r="W346" s="694">
        <f t="shared" si="54"/>
        <v>1</v>
      </c>
      <c r="X346">
        <f t="shared" si="55"/>
        <v>164.76618729377063</v>
      </c>
      <c r="Y346" s="1"/>
    </row>
    <row r="347" spans="1:25" s="773" customFormat="1" x14ac:dyDescent="0.2">
      <c r="A347" s="320" t="s">
        <v>4374</v>
      </c>
      <c r="B347" s="1" t="s">
        <v>1605</v>
      </c>
      <c r="C347" s="555">
        <f>cm_pumps_polymer</f>
        <v>2</v>
      </c>
      <c r="D347" s="355" t="s">
        <v>606</v>
      </c>
      <c r="E347" s="883">
        <f>IF(C347=0,"NA",IF(C347=0,"NA",cm_pump_rating_polymer))</f>
        <v>1.3459419642857142</v>
      </c>
      <c r="F347" s="884" t="str">
        <f>IF(C347=0,"","gph")</f>
        <v>gph</v>
      </c>
      <c r="G347" s="883">
        <f>IF(C347=0,"NA",IF(curve=1,cm_pump_rating_polymer,VLOOKUP(cm_pump_rating_polymer,ss_empump_cost_cl,2)))</f>
        <v>1.3459419642857142</v>
      </c>
      <c r="H347" s="510" t="str">
        <f>IF(C347=0,"","gph")</f>
        <v>gph</v>
      </c>
      <c r="I347" s="686">
        <f>IF(C347=0,"NA",IF(curve=1,ss_polymer_empump_eq,VLOOKUP(cm_pump_rating_polymer,ss_empump_cost_cl,3)))</f>
        <v>2404.5622648563713</v>
      </c>
      <c r="J347" s="356">
        <f>IF(C347=0,"--",(IF(I347="contact vendor","--",C347*I347)))</f>
        <v>4809.1245297127425</v>
      </c>
      <c r="K347" s="195">
        <f>IF(C347=0,"NA",VLOOKUP(cm_pump_rating_polymer,ss_empump_cost_cl,IF(ss_cat="large",4,5)))</f>
        <v>15</v>
      </c>
      <c r="L347" s="354">
        <v>0</v>
      </c>
      <c r="M347" s="35" t="str">
        <f>$B$310&amp;" - "&amp;$B$343&amp;" - "&amp;B347</f>
        <v>Pumps and Blowers - Polymer Metering - Stainless Steel - Electric</v>
      </c>
      <c r="N347" s="810">
        <v>2</v>
      </c>
      <c r="O347" s="810">
        <v>1</v>
      </c>
      <c r="P347" s="810">
        <v>3</v>
      </c>
      <c r="Q347" s="810">
        <v>2</v>
      </c>
      <c r="R347" s="810">
        <v>1</v>
      </c>
      <c r="S347" s="810">
        <v>3</v>
      </c>
      <c r="T347" s="810">
        <v>2</v>
      </c>
      <c r="U347" s="810">
        <v>1</v>
      </c>
      <c r="V347" s="810">
        <v>3</v>
      </c>
      <c r="W347" s="694">
        <f t="shared" si="54"/>
        <v>0</v>
      </c>
      <c r="X347">
        <f t="shared" si="55"/>
        <v>0</v>
      </c>
      <c r="Y347" s="1"/>
    </row>
    <row r="348" spans="1:25" x14ac:dyDescent="0.2">
      <c r="A348" s="360" t="s">
        <v>2266</v>
      </c>
      <c r="B348" s="18" t="s">
        <v>588</v>
      </c>
      <c r="C348" s="553"/>
      <c r="D348" s="271"/>
      <c r="E348" s="369"/>
      <c r="F348" s="513"/>
      <c r="G348" s="563"/>
      <c r="H348" s="513"/>
      <c r="I348" s="877"/>
      <c r="J348" s="369"/>
      <c r="K348" s="369"/>
      <c r="L348" s="276"/>
      <c r="M348" s="5"/>
      <c r="N348" s="695"/>
      <c r="O348" s="695"/>
      <c r="P348" s="695"/>
      <c r="Q348" s="695"/>
      <c r="R348" s="695"/>
      <c r="S348" s="695"/>
      <c r="T348" s="695"/>
      <c r="U348" s="695"/>
      <c r="V348" s="695"/>
      <c r="W348" s="694">
        <f t="shared" si="54"/>
        <v>0</v>
      </c>
      <c r="X348">
        <f t="shared" si="55"/>
        <v>0</v>
      </c>
      <c r="Y348"/>
    </row>
    <row r="349" spans="1:25" x14ac:dyDescent="0.2">
      <c r="A349" s="473">
        <v>7.1</v>
      </c>
      <c r="B349" s="44" t="s">
        <v>959</v>
      </c>
      <c r="C349" s="179"/>
      <c r="D349" s="180"/>
      <c r="E349" s="179"/>
      <c r="F349" s="179"/>
      <c r="G349" s="179"/>
      <c r="H349" s="179"/>
      <c r="I349" s="181"/>
      <c r="J349" s="179"/>
      <c r="K349" s="179"/>
      <c r="L349" s="183"/>
      <c r="M349"/>
      <c r="N349" s="694"/>
      <c r="O349" s="694"/>
      <c r="P349" s="694"/>
      <c r="Q349" s="694"/>
      <c r="R349" s="694"/>
      <c r="S349" s="694"/>
      <c r="T349" s="694"/>
      <c r="U349" s="694"/>
      <c r="V349" s="694"/>
      <c r="W349" s="694">
        <f t="shared" si="54"/>
        <v>0</v>
      </c>
      <c r="X349">
        <f t="shared" si="55"/>
        <v>0</v>
      </c>
      <c r="Y349"/>
    </row>
    <row r="350" spans="1:25" x14ac:dyDescent="0.2">
      <c r="A350" s="320" t="s">
        <v>2267</v>
      </c>
      <c r="B350" s="30" t="s">
        <v>1523</v>
      </c>
      <c r="C350" s="595">
        <f>e_donor_cmixers</f>
        <v>0</v>
      </c>
      <c r="D350" s="351" t="s">
        <v>606</v>
      </c>
      <c r="E350" s="596" t="str">
        <f>IF(C350=0,"NA",e_donor_cmix_size)</f>
        <v>NA</v>
      </c>
      <c r="F350" s="595" t="str">
        <f>IF(C350=0,"","hp")</f>
        <v/>
      </c>
      <c r="G350" s="596" t="str">
        <f>IF(C350=0,"NA",VLOOKUP(e_donor_cmix_size,port_mix_cost_cl,2))</f>
        <v>NA</v>
      </c>
      <c r="H350" s="595" t="str">
        <f>IF(C350=0,"","hp")</f>
        <v/>
      </c>
      <c r="I350" s="597" t="str">
        <f>IF(C350=0,"NA",VLOOKUP(e_donor_cmix_size,port_mix_cost_cl,3))</f>
        <v>NA</v>
      </c>
      <c r="J350" s="598" t="str">
        <f>IF(C350=0,"--",IF(I350="contact vendor","--",C350*I350))</f>
        <v>--</v>
      </c>
      <c r="K350" s="596" t="str">
        <f>IF(C350=0,"NA",VLOOKUP(e_donor_cmix_size,port_mix_cost_cl,IF(ss_cat="large",4,5)))</f>
        <v>NA</v>
      </c>
      <c r="L350" s="599"/>
      <c r="M350" s="35" t="str">
        <f>$B$348&amp;" - "&amp;$B$349&amp;" - "&amp;B350</f>
        <v>Mixers - Mixers for Electron Donor Storage Tanks - Portable</v>
      </c>
      <c r="N350" s="694">
        <v>3</v>
      </c>
      <c r="O350" s="694">
        <v>3</v>
      </c>
      <c r="P350" s="694">
        <v>3</v>
      </c>
      <c r="Q350" s="694">
        <v>3</v>
      </c>
      <c r="R350" s="694">
        <v>3</v>
      </c>
      <c r="S350" s="694">
        <v>3</v>
      </c>
      <c r="T350" s="694">
        <v>3</v>
      </c>
      <c r="U350" s="694">
        <v>3</v>
      </c>
      <c r="V350" s="694">
        <v>3</v>
      </c>
      <c r="W350" s="694">
        <f t="shared" si="54"/>
        <v>0</v>
      </c>
      <c r="X350">
        <f t="shared" si="55"/>
        <v>0</v>
      </c>
      <c r="Y350"/>
    </row>
    <row r="351" spans="1:25" x14ac:dyDescent="0.2">
      <c r="A351" s="320" t="s">
        <v>2267</v>
      </c>
      <c r="B351" s="30" t="s">
        <v>1524</v>
      </c>
      <c r="C351" s="595">
        <f>e_donor_cmixers</f>
        <v>0</v>
      </c>
      <c r="D351" s="351" t="s">
        <v>606</v>
      </c>
      <c r="E351" s="596" t="str">
        <f>IF(C351=0,"NA",e_donor_cmix_size)</f>
        <v>NA</v>
      </c>
      <c r="F351" s="595" t="str">
        <f>IF(C351=0,"","hp")</f>
        <v/>
      </c>
      <c r="G351" s="596" t="str">
        <f>IF(C351=0,"NA",IF(curve=1,e_donor_cmix_size,VLOOKUP(e_donor_cmix_size,mount_mix_cost_cl,2)))</f>
        <v>NA</v>
      </c>
      <c r="H351" s="595" t="str">
        <f>IF(C351=0,"","hp")</f>
        <v/>
      </c>
      <c r="I351" s="597" t="str">
        <f>IF(C351=0,"NA",IF(curve=1,cmount_mix_eq_e_donor,VLOOKUP(e_donor_cmix_size,mount_mix_cost_cl,3)))</f>
        <v>NA</v>
      </c>
      <c r="J351" s="598" t="str">
        <f>IF(C351=0,"--",IF(I351="contact vendor","--",C351*I351))</f>
        <v>--</v>
      </c>
      <c r="K351" s="596" t="str">
        <f>IF(C351=0,"NA",VLOOKUP(e_donor_cmix_size,mount_mix_cost_cl,IF(ss_cat="large",4,5)))</f>
        <v>NA</v>
      </c>
      <c r="L351" s="599"/>
      <c r="M351" s="35" t="str">
        <f>$B$348&amp;" - "&amp;$B$349&amp;" - "&amp;B351</f>
        <v>Mixers - Mixers for Electron Donor Storage Tanks - Mounted</v>
      </c>
      <c r="N351" s="694">
        <v>1</v>
      </c>
      <c r="O351" s="694">
        <v>1</v>
      </c>
      <c r="P351" s="694">
        <v>1</v>
      </c>
      <c r="Q351" s="694">
        <v>1</v>
      </c>
      <c r="R351" s="694">
        <v>1</v>
      </c>
      <c r="S351" s="694">
        <v>1</v>
      </c>
      <c r="T351" s="694">
        <v>1</v>
      </c>
      <c r="U351" s="694">
        <v>1</v>
      </c>
      <c r="V351" s="694">
        <v>1</v>
      </c>
      <c r="W351" s="694">
        <f t="shared" si="54"/>
        <v>0</v>
      </c>
      <c r="X351">
        <f t="shared" si="55"/>
        <v>0</v>
      </c>
      <c r="Y351"/>
    </row>
    <row r="352" spans="1:25" x14ac:dyDescent="0.2">
      <c r="A352" s="320" t="s">
        <v>2267</v>
      </c>
      <c r="B352" s="30" t="s">
        <v>2535</v>
      </c>
      <c r="C352" s="595">
        <f>e_donor_cmixers</f>
        <v>0</v>
      </c>
      <c r="D352" s="351" t="s">
        <v>606</v>
      </c>
      <c r="E352" s="596" t="str">
        <f>IF(C352=0,"NA",e_donor_cmix_size)</f>
        <v>NA</v>
      </c>
      <c r="F352" s="595" t="str">
        <f>IF(C352=0,"","hp")</f>
        <v/>
      </c>
      <c r="G352" s="596" t="str">
        <f>IF(C352=0,"NA",IF(curve=1,e_donor_cmix_size,VLOOKUP(e_donor_cmix_size,imp_mix_cost_cl,2)))</f>
        <v>NA</v>
      </c>
      <c r="H352" s="595" t="str">
        <f>IF(C352=0,"","hp")</f>
        <v/>
      </c>
      <c r="I352" s="597" t="str">
        <f>IF(C352=0,"NA",IF(curve=1,cimp_mix_eq_e_donor,VLOOKUP(e_donor_cmix_size,imp_mix_cost_cl,3)))</f>
        <v>NA</v>
      </c>
      <c r="J352" s="598" t="str">
        <f>IF(C352=0,"--",IF(I352="contact vendor","--",C352*I352))</f>
        <v>--</v>
      </c>
      <c r="K352" s="596" t="str">
        <f>IF(C352=0,"NA",VLOOKUP(e_donor_cmix_size,imp_mix_cost_cl,IF(ss_cat="large",4,5)))</f>
        <v>NA</v>
      </c>
      <c r="L352" s="599"/>
      <c r="M352" s="35" t="str">
        <f>$B$348&amp;" - "&amp;$B$349&amp;" - "&amp;B352</f>
        <v>Mixers - Mixers for Electron Donor Storage Tanks - Impeller</v>
      </c>
      <c r="N352" s="694">
        <v>2</v>
      </c>
      <c r="O352" s="694">
        <v>2</v>
      </c>
      <c r="P352" s="694">
        <v>2</v>
      </c>
      <c r="Q352" s="694">
        <v>2</v>
      </c>
      <c r="R352" s="694">
        <v>2</v>
      </c>
      <c r="S352" s="694">
        <v>2</v>
      </c>
      <c r="T352" s="694">
        <v>2</v>
      </c>
      <c r="U352" s="694">
        <v>2</v>
      </c>
      <c r="V352" s="694">
        <v>2</v>
      </c>
      <c r="W352" s="694">
        <f t="shared" si="54"/>
        <v>0</v>
      </c>
      <c r="X352">
        <f t="shared" si="55"/>
        <v>0</v>
      </c>
      <c r="Y352"/>
    </row>
    <row r="353" spans="1:25" x14ac:dyDescent="0.2">
      <c r="A353" s="473">
        <v>7.2</v>
      </c>
      <c r="B353" s="44" t="s">
        <v>960</v>
      </c>
      <c r="C353" s="179"/>
      <c r="D353" s="180"/>
      <c r="E353" s="179"/>
      <c r="F353" s="179"/>
      <c r="G353" s="179"/>
      <c r="H353" s="179"/>
      <c r="I353" s="181"/>
      <c r="J353" s="179"/>
      <c r="K353" s="179"/>
      <c r="L353" s="183"/>
      <c r="M353"/>
      <c r="N353" s="694"/>
      <c r="O353" s="694"/>
      <c r="P353" s="694"/>
      <c r="Q353" s="694"/>
      <c r="R353" s="694"/>
      <c r="S353" s="694"/>
      <c r="T353" s="694"/>
      <c r="U353" s="694"/>
      <c r="V353" s="694"/>
      <c r="W353" s="694">
        <f t="shared" si="54"/>
        <v>0</v>
      </c>
      <c r="X353">
        <f t="shared" si="55"/>
        <v>0</v>
      </c>
      <c r="Y353"/>
    </row>
    <row r="354" spans="1:25" x14ac:dyDescent="0.2">
      <c r="A354" s="320" t="s">
        <v>958</v>
      </c>
      <c r="B354" s="30" t="s">
        <v>1523</v>
      </c>
      <c r="C354" s="595">
        <f>e_donor_dmixers</f>
        <v>0</v>
      </c>
      <c r="D354" s="351" t="s">
        <v>606</v>
      </c>
      <c r="E354" s="596" t="str">
        <f>IF(C354=0,"NA",e_donor_dmix_size)</f>
        <v>NA</v>
      </c>
      <c r="F354" s="595" t="str">
        <f>IF(C354=0,"","hp")</f>
        <v/>
      </c>
      <c r="G354" s="596" t="str">
        <f>IF(C354=0,"NA",VLOOKUP(e_donor_dmix_size,port_mix_cost_cl,2))</f>
        <v>NA</v>
      </c>
      <c r="H354" s="595" t="str">
        <f>IF(C354=0,"","hp")</f>
        <v/>
      </c>
      <c r="I354" s="597" t="str">
        <f>IF(C354=0,"NA",VLOOKUP(e_donor_dmix_size,port_mix_cost_cl,3))</f>
        <v>NA</v>
      </c>
      <c r="J354" s="598" t="str">
        <f>IF(C354=0,"--",IF(I354="contact vendor","--",C354*I354))</f>
        <v>--</v>
      </c>
      <c r="K354" s="596" t="str">
        <f>IF(C354=0,"NA",VLOOKUP(e_donor_dmix_size,port_mix_cost_cl,IF(ss_cat="large",4,5)))</f>
        <v>NA</v>
      </c>
      <c r="L354" s="599"/>
      <c r="M354" s="35" t="str">
        <f>$B$348&amp;" - "&amp;$B$353&amp;" - "&amp;B354</f>
        <v>Mixers - Mixers for Electron Donor Day Tanks - Portable</v>
      </c>
      <c r="N354" s="694">
        <v>3</v>
      </c>
      <c r="O354" s="694">
        <v>3</v>
      </c>
      <c r="P354" s="694">
        <v>3</v>
      </c>
      <c r="Q354" s="694">
        <v>3</v>
      </c>
      <c r="R354" s="694">
        <v>3</v>
      </c>
      <c r="S354" s="694">
        <v>3</v>
      </c>
      <c r="T354" s="694">
        <v>3</v>
      </c>
      <c r="U354" s="694">
        <v>3</v>
      </c>
      <c r="V354" s="694">
        <v>3</v>
      </c>
      <c r="W354" s="694">
        <f t="shared" si="54"/>
        <v>0</v>
      </c>
      <c r="X354">
        <f t="shared" si="55"/>
        <v>0</v>
      </c>
      <c r="Y354"/>
    </row>
    <row r="355" spans="1:25" x14ac:dyDescent="0.2">
      <c r="A355" s="320" t="s">
        <v>958</v>
      </c>
      <c r="B355" s="30" t="s">
        <v>1524</v>
      </c>
      <c r="C355" s="595">
        <f>e_donor_dmixers</f>
        <v>0</v>
      </c>
      <c r="D355" s="351" t="s">
        <v>606</v>
      </c>
      <c r="E355" s="596" t="str">
        <f>IF(C355=0,"NA",e_donor_dmix_size)</f>
        <v>NA</v>
      </c>
      <c r="F355" s="595" t="str">
        <f>IF(C355=0,"","hp")</f>
        <v/>
      </c>
      <c r="G355" s="596" t="str">
        <f>IF(C355=0,"NA",IF(curve=1,e_donor_dmix_size,VLOOKUP(e_donor_dmix_size,mount_mix_cost_cl,2)))</f>
        <v>NA</v>
      </c>
      <c r="H355" s="595" t="str">
        <f>IF(C355=0,"","hp")</f>
        <v/>
      </c>
      <c r="I355" s="597" t="str">
        <f>IF(C355=0,"NA",IF(curve=1,dmount_mix_eq_e_donor,VLOOKUP(e_donor_dmix_size,mount_mix_cost_cl,3)))</f>
        <v>NA</v>
      </c>
      <c r="J355" s="598" t="str">
        <f>IF(C355=0,"--",IF(I355="contact vendor","--",C355*I355))</f>
        <v>--</v>
      </c>
      <c r="K355" s="596" t="str">
        <f>IF(C355=0,"NA",VLOOKUP(e_donor_dmix_size,mount_mix_cost_cl,IF(ss_cat="large",4,5)))</f>
        <v>NA</v>
      </c>
      <c r="L355" s="599"/>
      <c r="M355" s="35" t="str">
        <f>$B$348&amp;" - "&amp;$B$353&amp;" - "&amp;B355</f>
        <v>Mixers - Mixers for Electron Donor Day Tanks - Mounted</v>
      </c>
      <c r="N355" s="694">
        <v>1</v>
      </c>
      <c r="O355" s="694">
        <v>1</v>
      </c>
      <c r="P355" s="694">
        <v>1</v>
      </c>
      <c r="Q355" s="694">
        <v>1</v>
      </c>
      <c r="R355" s="694">
        <v>1</v>
      </c>
      <c r="S355" s="694">
        <v>1</v>
      </c>
      <c r="T355" s="694">
        <v>1</v>
      </c>
      <c r="U355" s="694">
        <v>1</v>
      </c>
      <c r="V355" s="694">
        <v>1</v>
      </c>
      <c r="W355" s="694">
        <f t="shared" si="54"/>
        <v>0</v>
      </c>
      <c r="X355">
        <f t="shared" si="55"/>
        <v>0</v>
      </c>
      <c r="Y355"/>
    </row>
    <row r="356" spans="1:25" x14ac:dyDescent="0.2">
      <c r="A356" s="320" t="s">
        <v>958</v>
      </c>
      <c r="B356" s="30" t="s">
        <v>2535</v>
      </c>
      <c r="C356" s="595">
        <f>e_donor_dmixers</f>
        <v>0</v>
      </c>
      <c r="D356" s="351" t="s">
        <v>606</v>
      </c>
      <c r="E356" s="596" t="str">
        <f>IF(C356=0,"NA",e_donor_dmix_size)</f>
        <v>NA</v>
      </c>
      <c r="F356" s="595" t="str">
        <f>IF(C356=0,"","hp")</f>
        <v/>
      </c>
      <c r="G356" s="596" t="str">
        <f>IF(C356=0,"NA",IF(curve=1,e_donor_dmix_size,VLOOKUP(e_donor_dmix_size,imp_mix_cost_cl,2)))</f>
        <v>NA</v>
      </c>
      <c r="H356" s="595" t="str">
        <f>IF(C356=0,"","hp")</f>
        <v/>
      </c>
      <c r="I356" s="597" t="str">
        <f>IF(C356=0,"NA",IF(curve=1,dimp_mix_eq_e_donor,VLOOKUP(e_donor_dmix_size,imp_mix_cost_cl,3)))</f>
        <v>NA</v>
      </c>
      <c r="J356" s="598" t="str">
        <f>IF(C356=0,"--",IF(I356="contact vendor","--",C356*I356))</f>
        <v>--</v>
      </c>
      <c r="K356" s="596" t="str">
        <f>IF(C356=0,"NA",VLOOKUP(e_donor_dmix_size,imp_mix_cost_cl,IF(ss_cat="large",4,5)))</f>
        <v>NA</v>
      </c>
      <c r="L356" s="599"/>
      <c r="M356" s="35" t="str">
        <f>$B$348&amp;" - "&amp;$B$353&amp;" - "&amp;B356</f>
        <v>Mixers - Mixers for Electron Donor Day Tanks - Impeller</v>
      </c>
      <c r="N356" s="694">
        <v>2</v>
      </c>
      <c r="O356" s="694">
        <v>2</v>
      </c>
      <c r="P356" s="694">
        <v>2</v>
      </c>
      <c r="Q356" s="694">
        <v>2</v>
      </c>
      <c r="R356" s="694">
        <v>2</v>
      </c>
      <c r="S356" s="694">
        <v>2</v>
      </c>
      <c r="T356" s="694">
        <v>2</v>
      </c>
      <c r="U356" s="694">
        <v>2</v>
      </c>
      <c r="V356" s="694">
        <v>2</v>
      </c>
      <c r="W356" s="694">
        <f t="shared" si="54"/>
        <v>0</v>
      </c>
      <c r="X356">
        <f t="shared" si="55"/>
        <v>0</v>
      </c>
      <c r="Y356"/>
    </row>
    <row r="357" spans="1:25" x14ac:dyDescent="0.2">
      <c r="A357" s="473">
        <v>7.3</v>
      </c>
      <c r="B357" s="44" t="s">
        <v>3112</v>
      </c>
      <c r="C357" s="179"/>
      <c r="D357" s="180"/>
      <c r="E357" s="179"/>
      <c r="F357" s="179"/>
      <c r="G357" s="179"/>
      <c r="H357" s="179"/>
      <c r="I357" s="181"/>
      <c r="J357" s="179"/>
      <c r="K357" s="179"/>
      <c r="L357" s="183"/>
      <c r="M357"/>
      <c r="N357" s="694"/>
      <c r="O357" s="694"/>
      <c r="P357" s="694"/>
      <c r="Q357" s="694"/>
      <c r="R357" s="694"/>
      <c r="S357" s="694"/>
      <c r="T357" s="694"/>
      <c r="U357" s="694"/>
      <c r="V357" s="694"/>
      <c r="W357" s="694">
        <f t="shared" si="54"/>
        <v>0</v>
      </c>
      <c r="X357">
        <f t="shared" si="55"/>
        <v>0</v>
      </c>
      <c r="Y357"/>
    </row>
    <row r="358" spans="1:25" x14ac:dyDescent="0.2">
      <c r="A358" s="320" t="s">
        <v>990</v>
      </c>
      <c r="B358" s="30" t="s">
        <v>1523</v>
      </c>
      <c r="C358" s="595">
        <f>NH4Cl_cmixers</f>
        <v>0</v>
      </c>
      <c r="D358" s="351" t="s">
        <v>606</v>
      </c>
      <c r="E358" s="596" t="str">
        <f>IF(C358=0,"NA",NH4Cl_cmix_size)</f>
        <v>NA</v>
      </c>
      <c r="F358" s="595" t="str">
        <f>IF(C358=0,"","hp")</f>
        <v/>
      </c>
      <c r="G358" s="596" t="str">
        <f>IF(C358=0,"NA",VLOOKUP(NH4Cl_cmix_size,port_mix_cost_cl,2))</f>
        <v>NA</v>
      </c>
      <c r="H358" s="595" t="str">
        <f>IF(C358=0,"","hp")</f>
        <v/>
      </c>
      <c r="I358" s="597" t="str">
        <f>IF(C358=0,"NA",VLOOKUP(NH4Cl_cmix_size,port_mix_cost_cl,3))</f>
        <v>NA</v>
      </c>
      <c r="J358" s="598" t="str">
        <f>IF(C358=0,"--",IF(I358="contact vendor","--",C358*I358))</f>
        <v>--</v>
      </c>
      <c r="K358" s="596" t="str">
        <f>IF(C358=0,"NA",VLOOKUP(NH4Cl_cmix_size,port_mix_cost_cl,IF(ss_cat="large",4,5)))</f>
        <v>NA</v>
      </c>
      <c r="L358" s="599"/>
      <c r="M358" s="35" t="str">
        <f>$B$348&amp;" - "&amp;$B$357&amp;" - "&amp;B358</f>
        <v>Mixers - Mixers for Ammonium Chloride Storage Tanks - Portable</v>
      </c>
      <c r="N358" s="694">
        <v>3</v>
      </c>
      <c r="O358" s="694">
        <v>3</v>
      </c>
      <c r="P358" s="694">
        <v>3</v>
      </c>
      <c r="Q358" s="694">
        <v>3</v>
      </c>
      <c r="R358" s="694">
        <v>3</v>
      </c>
      <c r="S358" s="694">
        <v>3</v>
      </c>
      <c r="T358" s="694">
        <v>3</v>
      </c>
      <c r="U358" s="694">
        <v>3</v>
      </c>
      <c r="V358" s="694">
        <v>3</v>
      </c>
      <c r="W358" s="694">
        <f t="shared" si="54"/>
        <v>0</v>
      </c>
      <c r="X358">
        <f t="shared" si="55"/>
        <v>0</v>
      </c>
      <c r="Y358"/>
    </row>
    <row r="359" spans="1:25" x14ac:dyDescent="0.2">
      <c r="A359" s="320" t="s">
        <v>990</v>
      </c>
      <c r="B359" s="30" t="s">
        <v>1524</v>
      </c>
      <c r="C359" s="595">
        <f>NH4Cl_cmixers</f>
        <v>0</v>
      </c>
      <c r="D359" s="351" t="s">
        <v>606</v>
      </c>
      <c r="E359" s="596" t="str">
        <f>IF(C359=0,"NA",NH4Cl_cmix_size)</f>
        <v>NA</v>
      </c>
      <c r="F359" s="595" t="str">
        <f>IF(C359=0,"","hp")</f>
        <v/>
      </c>
      <c r="G359" s="596" t="str">
        <f>IF(C359=0,"NA",IF(curve=1,NH4Cl_cmix_size,VLOOKUP(NH4Cl_cmix_size,mount_mix_cost_cl,2)))</f>
        <v>NA</v>
      </c>
      <c r="H359" s="595" t="str">
        <f>IF(C359=0,"","hp")</f>
        <v/>
      </c>
      <c r="I359" s="597" t="str">
        <f>IF(C359=0,"NA",IF(curve=1,cmount_mix_eq_NH4Cl,VLOOKUP(NH4Cl_cmix_size,mount_mix_cost_cl,3)))</f>
        <v>NA</v>
      </c>
      <c r="J359" s="598" t="str">
        <f>IF(C359=0,"--",IF(I359="contact vendor","--",C359*I359))</f>
        <v>--</v>
      </c>
      <c r="K359" s="596" t="str">
        <f>IF(C359=0,"NA",VLOOKUP(NH4Cl_cmix_size,mount_mix_cost_cl,IF(ss_cat="large",4,5)))</f>
        <v>NA</v>
      </c>
      <c r="L359" s="599"/>
      <c r="M359" s="35" t="str">
        <f>$B$348&amp;" - "&amp;$B$357&amp;" - "&amp;B359</f>
        <v>Mixers - Mixers for Ammonium Chloride Storage Tanks - Mounted</v>
      </c>
      <c r="N359" s="694">
        <v>1</v>
      </c>
      <c r="O359" s="694">
        <v>1</v>
      </c>
      <c r="P359" s="694">
        <v>1</v>
      </c>
      <c r="Q359" s="694">
        <v>1</v>
      </c>
      <c r="R359" s="694">
        <v>1</v>
      </c>
      <c r="S359" s="694">
        <v>1</v>
      </c>
      <c r="T359" s="694">
        <v>1</v>
      </c>
      <c r="U359" s="694">
        <v>1</v>
      </c>
      <c r="V359" s="694">
        <v>1</v>
      </c>
      <c r="W359" s="694">
        <f t="shared" si="54"/>
        <v>0</v>
      </c>
      <c r="X359">
        <f t="shared" si="55"/>
        <v>0</v>
      </c>
      <c r="Y359"/>
    </row>
    <row r="360" spans="1:25" x14ac:dyDescent="0.2">
      <c r="A360" s="320" t="s">
        <v>990</v>
      </c>
      <c r="B360" s="30" t="s">
        <v>2535</v>
      </c>
      <c r="C360" s="595">
        <f>NH4Cl_cmixers</f>
        <v>0</v>
      </c>
      <c r="D360" s="351" t="s">
        <v>606</v>
      </c>
      <c r="E360" s="596" t="str">
        <f>IF(C360=0,"NA",NH4Cl_cmix_size)</f>
        <v>NA</v>
      </c>
      <c r="F360" s="595" t="str">
        <f>IF(C360=0,"","hp")</f>
        <v/>
      </c>
      <c r="G360" s="596" t="str">
        <f>IF(C360=0,"NA",IF(curve=1,NH4Cl_cmix_size,VLOOKUP(NH4Cl_cmix_size,imp_mix_cost_cl,2)))</f>
        <v>NA</v>
      </c>
      <c r="H360" s="595" t="str">
        <f>IF(C360=0,"","hp")</f>
        <v/>
      </c>
      <c r="I360" s="597" t="str">
        <f>IF(C360=0,"NA",IF(curve=1,cimp_mix_eq_NH4Cl,VLOOKUP(NH4Cl_cmix_size,imp_mix_cost_cl,3)))</f>
        <v>NA</v>
      </c>
      <c r="J360" s="598" t="str">
        <f>IF(C360=0,"--",IF(I360="contact vendor","--",C360*I360))</f>
        <v>--</v>
      </c>
      <c r="K360" s="596" t="str">
        <f>IF(C360=0,"NA",VLOOKUP(NH4Cl_cmix_size,imp_mix_cost_cl,IF(ss_cat="large",4,5)))</f>
        <v>NA</v>
      </c>
      <c r="L360" s="599"/>
      <c r="M360" s="35" t="str">
        <f>$B$348&amp;" - "&amp;$B$357&amp;" - "&amp;B360</f>
        <v>Mixers - Mixers for Ammonium Chloride Storage Tanks - Impeller</v>
      </c>
      <c r="N360" s="694">
        <v>2</v>
      </c>
      <c r="O360" s="694">
        <v>2</v>
      </c>
      <c r="P360" s="694">
        <v>2</v>
      </c>
      <c r="Q360" s="694">
        <v>2</v>
      </c>
      <c r="R360" s="694">
        <v>2</v>
      </c>
      <c r="S360" s="694">
        <v>2</v>
      </c>
      <c r="T360" s="694">
        <v>2</v>
      </c>
      <c r="U360" s="694">
        <v>2</v>
      </c>
      <c r="V360" s="694">
        <v>2</v>
      </c>
      <c r="W360" s="694">
        <f t="shared" si="54"/>
        <v>0</v>
      </c>
      <c r="X360">
        <f t="shared" si="55"/>
        <v>0</v>
      </c>
      <c r="Y360"/>
    </row>
    <row r="361" spans="1:25" x14ac:dyDescent="0.2">
      <c r="A361" s="473">
        <v>7.4</v>
      </c>
      <c r="B361" s="44" t="s">
        <v>985</v>
      </c>
      <c r="C361" s="179"/>
      <c r="D361" s="180"/>
      <c r="E361" s="179"/>
      <c r="F361" s="179"/>
      <c r="G361" s="179"/>
      <c r="H361" s="179"/>
      <c r="I361" s="181"/>
      <c r="J361" s="179"/>
      <c r="K361" s="179"/>
      <c r="L361" s="183"/>
      <c r="M361"/>
      <c r="N361" s="694"/>
      <c r="O361" s="694"/>
      <c r="P361" s="694"/>
      <c r="Q361" s="694"/>
      <c r="R361" s="694"/>
      <c r="S361" s="694"/>
      <c r="T361" s="694"/>
      <c r="U361" s="694"/>
      <c r="V361" s="694"/>
      <c r="W361" s="694">
        <f t="shared" si="54"/>
        <v>0</v>
      </c>
      <c r="X361">
        <f t="shared" si="55"/>
        <v>0</v>
      </c>
      <c r="Y361"/>
    </row>
    <row r="362" spans="1:25" x14ac:dyDescent="0.2">
      <c r="A362" s="320" t="s">
        <v>991</v>
      </c>
      <c r="B362" s="30" t="s">
        <v>1523</v>
      </c>
      <c r="C362" s="595">
        <f>NH4Cl_dmixers</f>
        <v>0</v>
      </c>
      <c r="D362" s="351" t="s">
        <v>606</v>
      </c>
      <c r="E362" s="596" t="str">
        <f>IF(C362=0,"NA",NH4Cl_dmix_size)</f>
        <v>NA</v>
      </c>
      <c r="F362" s="595" t="str">
        <f>IF(C362=0,"","hp")</f>
        <v/>
      </c>
      <c r="G362" s="596" t="str">
        <f>IF(C362=0,"NA",VLOOKUP(NH4Cl_dmix_size,port_mix_cost_cl,2))</f>
        <v>NA</v>
      </c>
      <c r="H362" s="595" t="str">
        <f>IF(C362=0,"","hp")</f>
        <v/>
      </c>
      <c r="I362" s="597" t="str">
        <f>IF(C362=0,"NA",VLOOKUP(NH4Cl_dmix_size,port_mix_cost_cl,3))</f>
        <v>NA</v>
      </c>
      <c r="J362" s="598" t="str">
        <f>IF(C362=0,"--",IF(I362="contact vendor","--",C362*I362))</f>
        <v>--</v>
      </c>
      <c r="K362" s="596" t="str">
        <f>IF(C362=0,"NA",VLOOKUP(NH4Cl_dmix_size,port_mix_cost_cl,IF(ss_cat="large",4,5)))</f>
        <v>NA</v>
      </c>
      <c r="L362" s="599"/>
      <c r="M362" s="35" t="str">
        <f>$B$348&amp;" - "&amp;$B$361&amp;" - "&amp;B362</f>
        <v>Mixers - Mixers for Ammonium Chloride Day Tanks - Portable</v>
      </c>
      <c r="N362" s="694">
        <v>3</v>
      </c>
      <c r="O362" s="694">
        <v>3</v>
      </c>
      <c r="P362" s="694">
        <v>3</v>
      </c>
      <c r="Q362" s="694">
        <v>3</v>
      </c>
      <c r="R362" s="694">
        <v>3</v>
      </c>
      <c r="S362" s="694">
        <v>3</v>
      </c>
      <c r="T362" s="694">
        <v>3</v>
      </c>
      <c r="U362" s="694">
        <v>3</v>
      </c>
      <c r="V362" s="694">
        <v>3</v>
      </c>
      <c r="W362" s="694">
        <f t="shared" si="54"/>
        <v>0</v>
      </c>
      <c r="X362">
        <f t="shared" si="55"/>
        <v>0</v>
      </c>
      <c r="Y362"/>
    </row>
    <row r="363" spans="1:25" x14ac:dyDescent="0.2">
      <c r="A363" s="320" t="s">
        <v>991</v>
      </c>
      <c r="B363" s="30" t="s">
        <v>1524</v>
      </c>
      <c r="C363" s="595">
        <f>NH4Cl_dmixers</f>
        <v>0</v>
      </c>
      <c r="D363" s="351" t="s">
        <v>606</v>
      </c>
      <c r="E363" s="596" t="str">
        <f>IF(C363=0,"NA",NH4Cl_dmix_size)</f>
        <v>NA</v>
      </c>
      <c r="F363" s="595" t="str">
        <f>IF(C363=0,"","hp")</f>
        <v/>
      </c>
      <c r="G363" s="596" t="str">
        <f>IF(C363=0,"NA",IF(curve=1,NH4Cl_dmix_size,VLOOKUP(NH4Cl_dmix_size,mount_mix_cost_cl,2)))</f>
        <v>NA</v>
      </c>
      <c r="H363" s="595" t="str">
        <f>IF(C363=0,"","hp")</f>
        <v/>
      </c>
      <c r="I363" s="597" t="str">
        <f>IF(C363=0,"NA",IF(curve=1,dmount_mix_eq_NH4Cl,VLOOKUP(NH4Cl_dmix_size,mount_mix_cost_cl,3)))</f>
        <v>NA</v>
      </c>
      <c r="J363" s="598" t="str">
        <f>IF(C363=0,"--",IF(I363="contact vendor","--",C363*I363))</f>
        <v>--</v>
      </c>
      <c r="K363" s="596" t="str">
        <f>IF(C363=0,"NA",VLOOKUP(NH4Cl_dmix_size,mount_mix_cost_cl,IF(ss_cat="large",4,5)))</f>
        <v>NA</v>
      </c>
      <c r="L363" s="599"/>
      <c r="M363" s="35" t="str">
        <f>$B$348&amp;" - "&amp;$B$361&amp;" - "&amp;B363</f>
        <v>Mixers - Mixers for Ammonium Chloride Day Tanks - Mounted</v>
      </c>
      <c r="N363" s="694">
        <v>1</v>
      </c>
      <c r="O363" s="694">
        <v>1</v>
      </c>
      <c r="P363" s="694">
        <v>1</v>
      </c>
      <c r="Q363" s="694">
        <v>1</v>
      </c>
      <c r="R363" s="694">
        <v>1</v>
      </c>
      <c r="S363" s="694">
        <v>1</v>
      </c>
      <c r="T363" s="694">
        <v>1</v>
      </c>
      <c r="U363" s="694">
        <v>1</v>
      </c>
      <c r="V363" s="694">
        <v>1</v>
      </c>
      <c r="W363" s="694">
        <f t="shared" si="54"/>
        <v>0</v>
      </c>
      <c r="X363">
        <f t="shared" si="55"/>
        <v>0</v>
      </c>
      <c r="Y363"/>
    </row>
    <row r="364" spans="1:25" x14ac:dyDescent="0.2">
      <c r="A364" s="320" t="s">
        <v>991</v>
      </c>
      <c r="B364" s="30" t="s">
        <v>2535</v>
      </c>
      <c r="C364" s="595">
        <f>NH4Cl_dmixers</f>
        <v>0</v>
      </c>
      <c r="D364" s="351" t="s">
        <v>606</v>
      </c>
      <c r="E364" s="596" t="str">
        <f>IF(C364=0,"NA",NH4Cl_dmix_size)</f>
        <v>NA</v>
      </c>
      <c r="F364" s="595" t="str">
        <f>IF(C364=0,"","hp")</f>
        <v/>
      </c>
      <c r="G364" s="596" t="str">
        <f>IF(C364=0,"NA",IF(curve=1,NH4Cl_dmix_size,VLOOKUP(NH4Cl_dmix_size,imp_mix_cost_cl,2)))</f>
        <v>NA</v>
      </c>
      <c r="H364" s="595" t="str">
        <f>IF(C364=0,"","hp")</f>
        <v/>
      </c>
      <c r="I364" s="597" t="str">
        <f>IF(C364=0,"NA",IF(curve=1,dimp_mix_eq_NH4Cl,VLOOKUP(NH4Cl_dmix_size,imp_mix_cost_cl,3)))</f>
        <v>NA</v>
      </c>
      <c r="J364" s="598" t="str">
        <f>IF(C364=0,"--",IF(I364="contact vendor","--",C364*I364))</f>
        <v>--</v>
      </c>
      <c r="K364" s="596" t="str">
        <f>IF(C364=0,"NA",VLOOKUP(NH4Cl_dmix_size,imp_mix_cost_cl,IF(ss_cat="large",4,5)))</f>
        <v>NA</v>
      </c>
      <c r="L364" s="599"/>
      <c r="M364" s="35" t="str">
        <f>$B$348&amp;" - "&amp;$B$361&amp;" - "&amp;B364</f>
        <v>Mixers - Mixers for Ammonium Chloride Day Tanks - Impeller</v>
      </c>
      <c r="N364" s="694">
        <v>2</v>
      </c>
      <c r="O364" s="694">
        <v>2</v>
      </c>
      <c r="P364" s="694">
        <v>2</v>
      </c>
      <c r="Q364" s="694">
        <v>2</v>
      </c>
      <c r="R364" s="694">
        <v>2</v>
      </c>
      <c r="S364" s="694">
        <v>2</v>
      </c>
      <c r="T364" s="694">
        <v>2</v>
      </c>
      <c r="U364" s="694">
        <v>2</v>
      </c>
      <c r="V364" s="694">
        <v>2</v>
      </c>
      <c r="W364" s="694">
        <f t="shared" si="54"/>
        <v>0</v>
      </c>
      <c r="X364">
        <f t="shared" si="55"/>
        <v>0</v>
      </c>
      <c r="Y364"/>
    </row>
    <row r="365" spans="1:25" x14ac:dyDescent="0.2">
      <c r="A365" s="473">
        <v>7.5</v>
      </c>
      <c r="B365" s="44" t="s">
        <v>986</v>
      </c>
      <c r="C365" s="179"/>
      <c r="D365" s="180"/>
      <c r="E365" s="179"/>
      <c r="F365" s="179"/>
      <c r="G365" s="179"/>
      <c r="H365" s="179"/>
      <c r="I365" s="181"/>
      <c r="J365" s="179"/>
      <c r="K365" s="179"/>
      <c r="L365" s="183"/>
      <c r="M365"/>
      <c r="N365" s="694"/>
      <c r="O365" s="694"/>
      <c r="P365" s="694"/>
      <c r="Q365" s="694"/>
      <c r="R365" s="694"/>
      <c r="S365" s="694"/>
      <c r="T365" s="694"/>
      <c r="U365" s="694"/>
      <c r="V365" s="694"/>
      <c r="W365" s="694">
        <f t="shared" si="54"/>
        <v>0</v>
      </c>
      <c r="X365">
        <f t="shared" si="55"/>
        <v>0</v>
      </c>
      <c r="Y365"/>
    </row>
    <row r="366" spans="1:25" x14ac:dyDescent="0.2">
      <c r="A366" s="320" t="s">
        <v>992</v>
      </c>
      <c r="B366" s="30" t="s">
        <v>1523</v>
      </c>
      <c r="C366" s="595">
        <f>H3PO4_cmixers</f>
        <v>0</v>
      </c>
      <c r="D366" s="351" t="s">
        <v>606</v>
      </c>
      <c r="E366" s="596" t="str">
        <f>IF(C366=0,"NA",H3PO4_cmix_size)</f>
        <v>NA</v>
      </c>
      <c r="F366" s="595" t="str">
        <f>IF(C366=0,"","hp")</f>
        <v/>
      </c>
      <c r="G366" s="596" t="str">
        <f>IF(C366=0,"NA",VLOOKUP(H3PO4_cmix_size,port_mix_cost_cl,2))</f>
        <v>NA</v>
      </c>
      <c r="H366" s="595" t="str">
        <f>IF(C366=0,"","hp")</f>
        <v/>
      </c>
      <c r="I366" s="597" t="str">
        <f>IF(C366=0,"NA",VLOOKUP(H3PO4_cmix_size,port_mix_cost_cl,3))</f>
        <v>NA</v>
      </c>
      <c r="J366" s="598" t="str">
        <f>IF(C366=0,"--",IF(I366="contact vendor","--",C366*I366))</f>
        <v>--</v>
      </c>
      <c r="K366" s="596" t="str">
        <f>IF(C366=0,"NA",VLOOKUP(H3PO4_cmix_size,port_mix_cost_cl,IF(ss_cat="large",4,5)))</f>
        <v>NA</v>
      </c>
      <c r="L366" s="599"/>
      <c r="M366" s="35" t="str">
        <f>$B$348&amp;" - "&amp;$B$365&amp;" - "&amp;B366</f>
        <v>Mixers - Mixers for Phosphoric Acid Storage Tanks - Portable</v>
      </c>
      <c r="N366" s="694">
        <v>3</v>
      </c>
      <c r="O366" s="694">
        <v>3</v>
      </c>
      <c r="P366" s="694">
        <v>3</v>
      </c>
      <c r="Q366" s="694">
        <v>3</v>
      </c>
      <c r="R366" s="694">
        <v>3</v>
      </c>
      <c r="S366" s="694">
        <v>3</v>
      </c>
      <c r="T366" s="694">
        <v>3</v>
      </c>
      <c r="U366" s="694">
        <v>3</v>
      </c>
      <c r="V366" s="694">
        <v>3</v>
      </c>
      <c r="W366" s="694">
        <f t="shared" si="54"/>
        <v>0</v>
      </c>
      <c r="X366">
        <f t="shared" si="55"/>
        <v>0</v>
      </c>
      <c r="Y366"/>
    </row>
    <row r="367" spans="1:25" x14ac:dyDescent="0.2">
      <c r="A367" s="320" t="s">
        <v>992</v>
      </c>
      <c r="B367" s="30" t="s">
        <v>1524</v>
      </c>
      <c r="C367" s="595">
        <f>H3PO4_cmixers</f>
        <v>0</v>
      </c>
      <c r="D367" s="351" t="s">
        <v>606</v>
      </c>
      <c r="E367" s="596" t="str">
        <f>IF(C367=0,"NA",H3PO4_cmix_size)</f>
        <v>NA</v>
      </c>
      <c r="F367" s="595" t="str">
        <f>IF(C367=0,"","hp")</f>
        <v/>
      </c>
      <c r="G367" s="596" t="str">
        <f>IF(C367=0,"NA",IF(curve=1,H3PO4_cmix_size,VLOOKUP(H3PO4_cmix_size,mount_mix_cost_cl,2)))</f>
        <v>NA</v>
      </c>
      <c r="H367" s="595" t="str">
        <f>IF(C367=0,"","hp")</f>
        <v/>
      </c>
      <c r="I367" s="597" t="str">
        <f>IF(C367=0,"NA",IF(curve=1,cmount_mix_eq_H3PO4,VLOOKUP(H3PO4_cmix_size,mount_mix_cost_cl,3)))</f>
        <v>NA</v>
      </c>
      <c r="J367" s="598" t="str">
        <f>IF(C367=0,"--",IF(I367="contact vendor","--",C367*I367))</f>
        <v>--</v>
      </c>
      <c r="K367" s="596" t="str">
        <f>IF(C367=0,"NA",VLOOKUP(H3PO4_cmix_size,mount_mix_cost_cl,IF(ss_cat="large",4,5)))</f>
        <v>NA</v>
      </c>
      <c r="L367" s="599"/>
      <c r="M367" s="35" t="str">
        <f>$B$348&amp;" - "&amp;$B$365&amp;" - "&amp;B367</f>
        <v>Mixers - Mixers for Phosphoric Acid Storage Tanks - Mounted</v>
      </c>
      <c r="N367" s="694">
        <v>1</v>
      </c>
      <c r="O367" s="694">
        <v>1</v>
      </c>
      <c r="P367" s="694">
        <v>1</v>
      </c>
      <c r="Q367" s="694">
        <v>1</v>
      </c>
      <c r="R367" s="694">
        <v>1</v>
      </c>
      <c r="S367" s="694">
        <v>1</v>
      </c>
      <c r="T367" s="694">
        <v>1</v>
      </c>
      <c r="U367" s="694">
        <v>1</v>
      </c>
      <c r="V367" s="694">
        <v>1</v>
      </c>
      <c r="W367" s="694">
        <f t="shared" si="54"/>
        <v>0</v>
      </c>
      <c r="X367">
        <f t="shared" si="55"/>
        <v>0</v>
      </c>
      <c r="Y367"/>
    </row>
    <row r="368" spans="1:25" x14ac:dyDescent="0.2">
      <c r="A368" s="320" t="s">
        <v>992</v>
      </c>
      <c r="B368" s="30" t="s">
        <v>2535</v>
      </c>
      <c r="C368" s="595">
        <f>H3PO4_cmixers</f>
        <v>0</v>
      </c>
      <c r="D368" s="351" t="s">
        <v>606</v>
      </c>
      <c r="E368" s="596" t="str">
        <f>IF(C368=0,"NA",H3PO4_cmix_size)</f>
        <v>NA</v>
      </c>
      <c r="F368" s="595" t="str">
        <f>IF(C368=0,"","hp")</f>
        <v/>
      </c>
      <c r="G368" s="596" t="str">
        <f>IF(C368=0,"NA",IF(curve=1,H3PO4_cmix_size,VLOOKUP(H3PO4_cmix_size,imp_mix_cost_cl,2)))</f>
        <v>NA</v>
      </c>
      <c r="H368" s="595" t="str">
        <f>IF(C368=0,"","hp")</f>
        <v/>
      </c>
      <c r="I368" s="597" t="str">
        <f>IF(C368=0,"NA",IF(curve=1,cimp_mix_eq_H3PO4,VLOOKUP(H3PO4_cmix_size,imp_mix_cost_cl,3)))</f>
        <v>NA</v>
      </c>
      <c r="J368" s="598" t="str">
        <f>IF(C368=0,"--",IF(I368="contact vendor","--",C368*I368))</f>
        <v>--</v>
      </c>
      <c r="K368" s="596" t="str">
        <f>IF(C368=0,"NA",VLOOKUP(H3PO4_cmix_size,imp_mix_cost_cl,IF(ss_cat="large",4,5)))</f>
        <v>NA</v>
      </c>
      <c r="L368" s="599"/>
      <c r="M368" s="35" t="str">
        <f>$B$348&amp;" - "&amp;$B$365&amp;" - "&amp;B368</f>
        <v>Mixers - Mixers for Phosphoric Acid Storage Tanks - Impeller</v>
      </c>
      <c r="N368" s="694">
        <v>2</v>
      </c>
      <c r="O368" s="694">
        <v>2</v>
      </c>
      <c r="P368" s="694">
        <v>2</v>
      </c>
      <c r="Q368" s="694">
        <v>2</v>
      </c>
      <c r="R368" s="694">
        <v>2</v>
      </c>
      <c r="S368" s="694">
        <v>2</v>
      </c>
      <c r="T368" s="694">
        <v>2</v>
      </c>
      <c r="U368" s="694">
        <v>2</v>
      </c>
      <c r="V368" s="694">
        <v>2</v>
      </c>
      <c r="W368" s="694">
        <f t="shared" si="54"/>
        <v>0</v>
      </c>
      <c r="X368">
        <f t="shared" si="55"/>
        <v>0</v>
      </c>
      <c r="Y368"/>
    </row>
    <row r="369" spans="1:25" x14ac:dyDescent="0.2">
      <c r="A369" s="473">
        <v>7.6</v>
      </c>
      <c r="B369" s="44" t="s">
        <v>987</v>
      </c>
      <c r="C369" s="179"/>
      <c r="D369" s="180"/>
      <c r="E369" s="179"/>
      <c r="F369" s="179"/>
      <c r="G369" s="179"/>
      <c r="H369" s="179"/>
      <c r="I369" s="181"/>
      <c r="J369" s="179"/>
      <c r="K369" s="179"/>
      <c r="L369" s="183"/>
      <c r="M369"/>
      <c r="N369" s="694"/>
      <c r="O369" s="694"/>
      <c r="P369" s="694"/>
      <c r="Q369" s="694"/>
      <c r="R369" s="694"/>
      <c r="S369" s="694"/>
      <c r="T369" s="694"/>
      <c r="U369" s="694"/>
      <c r="V369" s="694"/>
      <c r="W369" s="694">
        <f t="shared" si="54"/>
        <v>0</v>
      </c>
      <c r="X369">
        <f t="shared" si="55"/>
        <v>0</v>
      </c>
      <c r="Y369"/>
    </row>
    <row r="370" spans="1:25" x14ac:dyDescent="0.2">
      <c r="A370" s="320" t="s">
        <v>993</v>
      </c>
      <c r="B370" s="30" t="s">
        <v>1523</v>
      </c>
      <c r="C370" s="595">
        <f>H3PO4_dmixers</f>
        <v>0</v>
      </c>
      <c r="D370" s="351" t="s">
        <v>606</v>
      </c>
      <c r="E370" s="596" t="str">
        <f>IF(C370=0,"NA",H3PO4_dmix_size)</f>
        <v>NA</v>
      </c>
      <c r="F370" s="595" t="str">
        <f>IF(C370=0,"","hp")</f>
        <v/>
      </c>
      <c r="G370" s="596" t="str">
        <f>IF(C370=0,"NA",VLOOKUP(H3PO4_dmix_size,port_mix_cost_cl,2))</f>
        <v>NA</v>
      </c>
      <c r="H370" s="595" t="str">
        <f>IF(C370=0,"","hp")</f>
        <v/>
      </c>
      <c r="I370" s="597" t="str">
        <f>IF(C370=0,"NA",VLOOKUP(H3PO4_dmix_size,port_mix_cost_cl,3))</f>
        <v>NA</v>
      </c>
      <c r="J370" s="598" t="str">
        <f>IF(C370=0,"--",IF(I370="contact vendor","--",C370*I370))</f>
        <v>--</v>
      </c>
      <c r="K370" s="596" t="str">
        <f>IF(C370=0,"NA",VLOOKUP(H3PO4_dmix_size,port_mix_cost_cl,IF(ss_cat="large",4,5)))</f>
        <v>NA</v>
      </c>
      <c r="L370" s="599"/>
      <c r="M370" s="35" t="str">
        <f>$B$348&amp;" - "&amp;$B$369&amp;" - "&amp;B370</f>
        <v>Mixers - Mixers for Phosphoric Acid Day Tanks - Portable</v>
      </c>
      <c r="N370" s="694">
        <v>3</v>
      </c>
      <c r="O370" s="694">
        <v>3</v>
      </c>
      <c r="P370" s="694">
        <v>3</v>
      </c>
      <c r="Q370" s="694">
        <v>3</v>
      </c>
      <c r="R370" s="694">
        <v>3</v>
      </c>
      <c r="S370" s="694">
        <v>3</v>
      </c>
      <c r="T370" s="694">
        <v>3</v>
      </c>
      <c r="U370" s="694">
        <v>3</v>
      </c>
      <c r="V370" s="694">
        <v>3</v>
      </c>
      <c r="W370" s="694">
        <f t="shared" si="54"/>
        <v>0</v>
      </c>
      <c r="X370">
        <f t="shared" si="55"/>
        <v>0</v>
      </c>
      <c r="Y370"/>
    </row>
    <row r="371" spans="1:25" x14ac:dyDescent="0.2">
      <c r="A371" s="320" t="s">
        <v>993</v>
      </c>
      <c r="B371" s="30" t="s">
        <v>1524</v>
      </c>
      <c r="C371" s="595">
        <f>H3PO4_dmixers</f>
        <v>0</v>
      </c>
      <c r="D371" s="351" t="s">
        <v>606</v>
      </c>
      <c r="E371" s="596" t="str">
        <f>IF(C371=0,"NA",H3PO4_dmix_size)</f>
        <v>NA</v>
      </c>
      <c r="F371" s="595" t="str">
        <f>IF(C371=0,"","hp")</f>
        <v/>
      </c>
      <c r="G371" s="596" t="str">
        <f>IF(C371=0,"NA",IF(curve=1,H3PO4_dmix_size,VLOOKUP(H3PO4_dmix_size,mount_mix_cost_cl,2)))</f>
        <v>NA</v>
      </c>
      <c r="H371" s="595" t="str">
        <f>IF(C371=0,"","hp")</f>
        <v/>
      </c>
      <c r="I371" s="597" t="str">
        <f>IF(C371=0,"NA",IF(curve=1,dmount_mix_eq_H3PO4,VLOOKUP(H3PO4_dmix_size,mount_mix_cost_cl,3)))</f>
        <v>NA</v>
      </c>
      <c r="J371" s="598" t="str">
        <f>IF(C371=0,"--",IF(I371="contact vendor","--",C371*I371))</f>
        <v>--</v>
      </c>
      <c r="K371" s="596" t="str">
        <f>IF(C371=0,"NA",VLOOKUP(H3PO4_dmix_size,mount_mix_cost_cl,IF(ss_cat="large",4,5)))</f>
        <v>NA</v>
      </c>
      <c r="L371" s="599"/>
      <c r="M371" s="35" t="str">
        <f>$B$348&amp;" - "&amp;$B$369&amp;" - "&amp;B371</f>
        <v>Mixers - Mixers for Phosphoric Acid Day Tanks - Mounted</v>
      </c>
      <c r="N371" s="694">
        <v>1</v>
      </c>
      <c r="O371" s="694">
        <v>1</v>
      </c>
      <c r="P371" s="694">
        <v>1</v>
      </c>
      <c r="Q371" s="694">
        <v>1</v>
      </c>
      <c r="R371" s="694">
        <v>1</v>
      </c>
      <c r="S371" s="694">
        <v>1</v>
      </c>
      <c r="T371" s="694">
        <v>1</v>
      </c>
      <c r="U371" s="694">
        <v>1</v>
      </c>
      <c r="V371" s="694">
        <v>1</v>
      </c>
      <c r="W371" s="694">
        <f t="shared" si="54"/>
        <v>0</v>
      </c>
      <c r="X371">
        <f t="shared" si="55"/>
        <v>0</v>
      </c>
      <c r="Y371"/>
    </row>
    <row r="372" spans="1:25" x14ac:dyDescent="0.2">
      <c r="A372" s="320" t="s">
        <v>993</v>
      </c>
      <c r="B372" s="30" t="s">
        <v>2535</v>
      </c>
      <c r="C372" s="595">
        <f>H3PO4_dmixers</f>
        <v>0</v>
      </c>
      <c r="D372" s="351" t="s">
        <v>606</v>
      </c>
      <c r="E372" s="596" t="str">
        <f>IF(C372=0,"NA",H3PO4_dmix_size)</f>
        <v>NA</v>
      </c>
      <c r="F372" s="595" t="str">
        <f>IF(C372=0,"","hp")</f>
        <v/>
      </c>
      <c r="G372" s="596" t="str">
        <f>IF(C372=0,"NA",IF(curve=1,H3PO4_dmix_size,VLOOKUP(H3PO4_dmix_size,imp_mix_cost_cl,2)))</f>
        <v>NA</v>
      </c>
      <c r="H372" s="595" t="str">
        <f>IF(C372=0,"","hp")</f>
        <v/>
      </c>
      <c r="I372" s="597" t="str">
        <f>IF(C372=0,"NA",IF(curve=1,dimp_mix_eq_H3PO4,VLOOKUP(H3PO4_dmix_size,imp_mix_cost_cl,3)))</f>
        <v>NA</v>
      </c>
      <c r="J372" s="598" t="str">
        <f>IF(C372=0,"--",IF(I372="contact vendor","--",C372*I372))</f>
        <v>--</v>
      </c>
      <c r="K372" s="596" t="str">
        <f>IF(C372=0,"NA",VLOOKUP(H3PO4_dmix_size,imp_mix_cost_cl,IF(ss_cat="large",4,5)))</f>
        <v>NA</v>
      </c>
      <c r="L372" s="599"/>
      <c r="M372" s="35" t="str">
        <f>$B$348&amp;" - "&amp;$B$369&amp;" - "&amp;B372</f>
        <v>Mixers - Mixers for Phosphoric Acid Day Tanks - Impeller</v>
      </c>
      <c r="N372" s="694">
        <v>2</v>
      </c>
      <c r="O372" s="694">
        <v>2</v>
      </c>
      <c r="P372" s="694">
        <v>2</v>
      </c>
      <c r="Q372" s="694">
        <v>2</v>
      </c>
      <c r="R372" s="694">
        <v>2</v>
      </c>
      <c r="S372" s="694">
        <v>2</v>
      </c>
      <c r="T372" s="694">
        <v>2</v>
      </c>
      <c r="U372" s="694">
        <v>2</v>
      </c>
      <c r="V372" s="694">
        <v>2</v>
      </c>
      <c r="W372" s="694">
        <f t="shared" si="54"/>
        <v>0</v>
      </c>
      <c r="X372">
        <f t="shared" si="55"/>
        <v>0</v>
      </c>
      <c r="Y372"/>
    </row>
    <row r="373" spans="1:25" x14ac:dyDescent="0.2">
      <c r="A373" s="473">
        <v>7.7</v>
      </c>
      <c r="B373" s="820" t="s">
        <v>3370</v>
      </c>
      <c r="C373" s="556"/>
      <c r="D373" s="180"/>
      <c r="E373" s="285"/>
      <c r="F373" s="565"/>
      <c r="G373" s="565"/>
      <c r="H373" s="512"/>
      <c r="I373" s="181"/>
      <c r="J373" s="285"/>
      <c r="K373" s="285"/>
      <c r="L373" s="183"/>
      <c r="M373" s="35"/>
      <c r="N373" s="694"/>
      <c r="O373" s="694"/>
      <c r="P373" s="694"/>
      <c r="Q373" s="694"/>
      <c r="R373" s="694"/>
      <c r="S373" s="694"/>
      <c r="T373" s="694"/>
      <c r="U373" s="694"/>
      <c r="V373" s="694"/>
      <c r="W373" s="694">
        <f t="shared" si="54"/>
        <v>0</v>
      </c>
      <c r="X373">
        <f t="shared" si="55"/>
        <v>0</v>
      </c>
      <c r="Y373"/>
    </row>
    <row r="374" spans="1:25" s="773" customFormat="1" x14ac:dyDescent="0.2">
      <c r="A374" s="320" t="s">
        <v>994</v>
      </c>
      <c r="B374" s="1" t="s">
        <v>1523</v>
      </c>
      <c r="C374" s="555">
        <f>hmixers</f>
        <v>1</v>
      </c>
      <c r="D374" s="355" t="s">
        <v>606</v>
      </c>
      <c r="E374" s="549">
        <f>IF(C374=0,"NA",hmix_size)</f>
        <v>1.2117500000000001</v>
      </c>
      <c r="F374" s="1" t="str">
        <f>IF(C374=0,"","hp")</f>
        <v>hp</v>
      </c>
      <c r="G374" s="549" t="str">
        <f>IF(C374=0,"NA",VLOOKUP(hmix_size,port_mix_cost_cl,2))</f>
        <v>contact vendor</v>
      </c>
      <c r="H374" s="510" t="str">
        <f>IF(C374=0,"","hp")</f>
        <v>hp</v>
      </c>
      <c r="I374" s="686" t="str">
        <f>IF(C374=0,"NA",VLOOKUP(hmix_size,port_mix_cost_cl,3))</f>
        <v>contact vendor</v>
      </c>
      <c r="J374" s="356" t="str">
        <f>IF(C374=0,"--",IF(I374="contact vendor","--",C374*I374))</f>
        <v>--</v>
      </c>
      <c r="K374" s="195">
        <f>IF(C374=0,"NA",VLOOKUP(hmix_size,port_mix_cost_cl,IF(ss_cat="large",4,5)))</f>
        <v>20</v>
      </c>
      <c r="L374" s="354">
        <v>0</v>
      </c>
      <c r="M374" s="35" t="str">
        <f>$B$348&amp;" - "&amp;$B$373&amp;" - "&amp;B374</f>
        <v>Mixers - Residuals Mixers - Portable</v>
      </c>
      <c r="N374" s="694">
        <v>3</v>
      </c>
      <c r="O374" s="694">
        <v>3</v>
      </c>
      <c r="P374" s="694">
        <v>3</v>
      </c>
      <c r="Q374" s="694">
        <v>3</v>
      </c>
      <c r="R374" s="694">
        <v>3</v>
      </c>
      <c r="S374" s="694">
        <v>3</v>
      </c>
      <c r="T374" s="694">
        <v>3</v>
      </c>
      <c r="U374" s="694">
        <v>3</v>
      </c>
      <c r="V374" s="694">
        <v>3</v>
      </c>
      <c r="W374" s="694">
        <f t="shared" si="54"/>
        <v>0</v>
      </c>
      <c r="X374">
        <f t="shared" si="55"/>
        <v>0</v>
      </c>
      <c r="Y374" s="1"/>
    </row>
    <row r="375" spans="1:25" s="773" customFormat="1" x14ac:dyDescent="0.2">
      <c r="A375" s="320" t="s">
        <v>994</v>
      </c>
      <c r="B375" s="1" t="s">
        <v>1524</v>
      </c>
      <c r="C375" s="555">
        <f>hmixers</f>
        <v>1</v>
      </c>
      <c r="D375" s="355" t="s">
        <v>606</v>
      </c>
      <c r="E375" s="549">
        <f>IF(C375=0,"NA",hmix_size)</f>
        <v>1.2117500000000001</v>
      </c>
      <c r="F375" s="1" t="str">
        <f>IF(C375=0,"","hp")</f>
        <v>hp</v>
      </c>
      <c r="G375" s="549">
        <f>IF(C375=0,"NA",IF(curve=1,hmix_size,VLOOKUP(hmix_size,mount_mix_cost_cl,2)))</f>
        <v>1.2117500000000001</v>
      </c>
      <c r="H375" s="510" t="str">
        <f>IF(C375=0,"","hp")</f>
        <v>hp</v>
      </c>
      <c r="I375" s="686">
        <f>IF(C375=0,"NA",IF(curve=1,hmount_mix_eq,VLOOKUP(hmix_size,mount_mix_cost_cl,3)))</f>
        <v>3313.880831716886</v>
      </c>
      <c r="J375" s="356">
        <f>IF(C375=0,"--",IF(I375="contact vendor","--",C375*I375))</f>
        <v>3313.880831716886</v>
      </c>
      <c r="K375" s="195">
        <f>IF(C375=0,"NA",VLOOKUP(hmix_size,mount_mix_cost_cl,IF(ss_cat="large",4,5)))</f>
        <v>22</v>
      </c>
      <c r="L375" s="354">
        <v>1</v>
      </c>
      <c r="M375" s="35" t="str">
        <f>$B$348&amp;" - "&amp;$B$373&amp;" - "&amp;B375</f>
        <v>Mixers - Residuals Mixers - Mounted</v>
      </c>
      <c r="N375" s="694">
        <v>1</v>
      </c>
      <c r="O375" s="694">
        <v>1</v>
      </c>
      <c r="P375" s="694">
        <v>1</v>
      </c>
      <c r="Q375" s="694">
        <v>1</v>
      </c>
      <c r="R375" s="694">
        <v>1</v>
      </c>
      <c r="S375" s="694">
        <v>1</v>
      </c>
      <c r="T375" s="694">
        <v>1</v>
      </c>
      <c r="U375" s="694">
        <v>1</v>
      </c>
      <c r="V375" s="694">
        <v>1</v>
      </c>
      <c r="W375" s="694">
        <f t="shared" si="54"/>
        <v>1</v>
      </c>
      <c r="X375">
        <f t="shared" si="55"/>
        <v>150.6309468962221</v>
      </c>
      <c r="Y375" s="1"/>
    </row>
    <row r="376" spans="1:25" s="870" customFormat="1" x14ac:dyDescent="0.2">
      <c r="A376" s="320" t="s">
        <v>994</v>
      </c>
      <c r="B376" s="1" t="s">
        <v>2535</v>
      </c>
      <c r="C376" s="555">
        <f>hmixers</f>
        <v>1</v>
      </c>
      <c r="D376" s="355" t="s">
        <v>606</v>
      </c>
      <c r="E376" s="549">
        <f>IF(C376=0,"NA",hmix_size)</f>
        <v>1.2117500000000001</v>
      </c>
      <c r="F376" s="1" t="str">
        <f>IF(C376=0,"","hp")</f>
        <v>hp</v>
      </c>
      <c r="G376" s="549">
        <f>IF(C376=0,"NA",IF(curve=1,hmix_size,VLOOKUP(hmix_size,imp_mix_cost_cl,2)))</f>
        <v>1.2117500000000001</v>
      </c>
      <c r="H376" s="510" t="str">
        <f>IF(C376=0,"","hp")</f>
        <v>hp</v>
      </c>
      <c r="I376" s="686">
        <f>IF(C376=0,"NA",IF(curve=1,himp_mix_eq,VLOOKUP(hmix_size,imp_mix_cost_cl,3)))</f>
        <v>5286.0191854232662</v>
      </c>
      <c r="J376" s="356">
        <f>IF(C376=0,"--",IF(I376="contact vendor","--",C376*I376))</f>
        <v>5286.0191854232662</v>
      </c>
      <c r="K376" s="195">
        <f>IF(C376=0,"NA",VLOOKUP(E376,imp_mix_cost_cl,IF(ss_cat="large",4,5)))</f>
        <v>20</v>
      </c>
      <c r="L376" s="354">
        <v>0</v>
      </c>
      <c r="M376" s="35" t="str">
        <f>$B$348&amp;" - "&amp;$B$373&amp;" - "&amp;B376</f>
        <v>Mixers - Residuals Mixers - Impeller</v>
      </c>
      <c r="N376" s="694">
        <v>2</v>
      </c>
      <c r="O376" s="694">
        <v>2</v>
      </c>
      <c r="P376" s="694">
        <v>2</v>
      </c>
      <c r="Q376" s="694">
        <v>2</v>
      </c>
      <c r="R376" s="694">
        <v>2</v>
      </c>
      <c r="S376" s="694">
        <v>2</v>
      </c>
      <c r="T376" s="694">
        <v>2</v>
      </c>
      <c r="U376" s="694">
        <v>2</v>
      </c>
      <c r="V376" s="694">
        <v>2</v>
      </c>
      <c r="W376" s="694">
        <f t="shared" si="54"/>
        <v>0</v>
      </c>
      <c r="X376">
        <f t="shared" si="55"/>
        <v>0</v>
      </c>
      <c r="Y376" s="30"/>
    </row>
    <row r="377" spans="1:25" x14ac:dyDescent="0.2">
      <c r="A377" s="473">
        <v>7.8</v>
      </c>
      <c r="B377" s="44" t="s">
        <v>988</v>
      </c>
      <c r="C377" s="179"/>
      <c r="D377" s="180"/>
      <c r="E377" s="179"/>
      <c r="F377" s="179"/>
      <c r="G377" s="179"/>
      <c r="H377" s="179"/>
      <c r="I377" s="181"/>
      <c r="J377" s="179"/>
      <c r="K377" s="179"/>
      <c r="L377" s="183"/>
      <c r="M377"/>
      <c r="N377" s="694"/>
      <c r="O377" s="694"/>
      <c r="P377" s="694"/>
      <c r="Q377" s="694"/>
      <c r="R377" s="694"/>
      <c r="S377" s="694"/>
      <c r="T377" s="694"/>
      <c r="U377" s="694"/>
      <c r="V377" s="694"/>
      <c r="W377" s="694">
        <f t="shared" si="54"/>
        <v>0</v>
      </c>
      <c r="X377">
        <f t="shared" si="55"/>
        <v>0</v>
      </c>
      <c r="Y377"/>
    </row>
    <row r="378" spans="1:25" x14ac:dyDescent="0.2">
      <c r="A378" s="320" t="s">
        <v>995</v>
      </c>
      <c r="B378" s="30" t="s">
        <v>1523</v>
      </c>
      <c r="C378" s="595">
        <f>H2O2_cmixers</f>
        <v>0</v>
      </c>
      <c r="D378" s="351" t="s">
        <v>606</v>
      </c>
      <c r="E378" s="596" t="str">
        <f>IF(C378=0,"NA",H2O2_cmix_size)</f>
        <v>NA</v>
      </c>
      <c r="F378" s="595" t="str">
        <f>IF(C378=0,"","hp")</f>
        <v/>
      </c>
      <c r="G378" s="596" t="str">
        <f>IF(C378=0,"NA",VLOOKUP(H2O2_cmix_size,port_mix_cost_cl,2))</f>
        <v>NA</v>
      </c>
      <c r="H378" s="595" t="str">
        <f>IF(C378=0,"","hp")</f>
        <v/>
      </c>
      <c r="I378" s="597" t="str">
        <f>IF(C378=0,"NA",VLOOKUP(H2O2_cmix_size,port_mix_cost_cl,3))</f>
        <v>NA</v>
      </c>
      <c r="J378" s="598" t="str">
        <f>IF(C378=0,"--",IF(I378="contact vendor","--",C378*I378))</f>
        <v>--</v>
      </c>
      <c r="K378" s="596" t="str">
        <f>IF(C378=0,"NA",VLOOKUP(H2O2_cmix_size,port_mix_cost_cl,IF(ss_cat="large",4,5)))</f>
        <v>NA</v>
      </c>
      <c r="L378" s="599"/>
      <c r="M378" s="35" t="str">
        <f>$B$348&amp;" - "&amp;$B$377&amp;" - "&amp;B378</f>
        <v>Mixers - Mixers for Hydrogen Peroxide Storage Tanks - Portable</v>
      </c>
      <c r="N378" s="694">
        <v>3</v>
      </c>
      <c r="O378" s="694">
        <v>3</v>
      </c>
      <c r="P378" s="694">
        <v>3</v>
      </c>
      <c r="Q378" s="694">
        <v>3</v>
      </c>
      <c r="R378" s="694">
        <v>3</v>
      </c>
      <c r="S378" s="694">
        <v>3</v>
      </c>
      <c r="T378" s="694">
        <v>3</v>
      </c>
      <c r="U378" s="694">
        <v>3</v>
      </c>
      <c r="V378" s="694">
        <v>3</v>
      </c>
      <c r="W378" s="694">
        <f t="shared" si="54"/>
        <v>0</v>
      </c>
      <c r="X378">
        <f t="shared" si="55"/>
        <v>0</v>
      </c>
      <c r="Y378"/>
    </row>
    <row r="379" spans="1:25" x14ac:dyDescent="0.2">
      <c r="A379" s="320" t="s">
        <v>995</v>
      </c>
      <c r="B379" s="30" t="s">
        <v>1524</v>
      </c>
      <c r="C379" s="595">
        <f>H2O2_cmixers</f>
        <v>0</v>
      </c>
      <c r="D379" s="351" t="s">
        <v>606</v>
      </c>
      <c r="E379" s="596" t="str">
        <f>IF(C379=0,"NA",H2O2_cmix_size)</f>
        <v>NA</v>
      </c>
      <c r="F379" s="595" t="str">
        <f>IF(C379=0,"","hp")</f>
        <v/>
      </c>
      <c r="G379" s="596" t="str">
        <f>IF(C379=0,"NA",IF(curve=1,H2O2_cmix_size,VLOOKUP(H2O2_cmix_size,mount_mix_cost_cl,2)))</f>
        <v>NA</v>
      </c>
      <c r="H379" s="595" t="str">
        <f>IF(C379=0,"","hp")</f>
        <v/>
      </c>
      <c r="I379" s="597" t="str">
        <f>IF(C379=0,"NA",IF(curve=1,cmount_mix_eq_H2O2,VLOOKUP(H2O2_cmix_size,mount_mix_cost_cl,3)))</f>
        <v>NA</v>
      </c>
      <c r="J379" s="598" t="str">
        <f>IF(C379=0,"--",IF(I379="contact vendor","--",C379*I379))</f>
        <v>--</v>
      </c>
      <c r="K379" s="596" t="str">
        <f>IF(C379=0,"NA",VLOOKUP(H2O2_cmix_size,mount_mix_cost_cl,IF(ss_cat="large",4,5)))</f>
        <v>NA</v>
      </c>
      <c r="L379" s="599"/>
      <c r="M379" s="35" t="str">
        <f>$B$348&amp;" - "&amp;$B$377&amp;" - "&amp;B379</f>
        <v>Mixers - Mixers for Hydrogen Peroxide Storage Tanks - Mounted</v>
      </c>
      <c r="N379" s="694">
        <v>1</v>
      </c>
      <c r="O379" s="694">
        <v>1</v>
      </c>
      <c r="P379" s="694">
        <v>1</v>
      </c>
      <c r="Q379" s="694">
        <v>1</v>
      </c>
      <c r="R379" s="694">
        <v>1</v>
      </c>
      <c r="S379" s="694">
        <v>1</v>
      </c>
      <c r="T379" s="694">
        <v>1</v>
      </c>
      <c r="U379" s="694">
        <v>1</v>
      </c>
      <c r="V379" s="694">
        <v>1</v>
      </c>
      <c r="W379" s="694">
        <f t="shared" si="54"/>
        <v>0</v>
      </c>
      <c r="X379">
        <f t="shared" si="55"/>
        <v>0</v>
      </c>
      <c r="Y379"/>
    </row>
    <row r="380" spans="1:25" x14ac:dyDescent="0.2">
      <c r="A380" s="320" t="s">
        <v>995</v>
      </c>
      <c r="B380" s="30" t="s">
        <v>2535</v>
      </c>
      <c r="C380" s="595">
        <f>H2O2_cmixers</f>
        <v>0</v>
      </c>
      <c r="D380" s="351" t="s">
        <v>606</v>
      </c>
      <c r="E380" s="596" t="str">
        <f>IF(C380=0,"NA",H2O2_cmix_size)</f>
        <v>NA</v>
      </c>
      <c r="F380" s="595" t="str">
        <f>IF(C380=0,"","hp")</f>
        <v/>
      </c>
      <c r="G380" s="596" t="str">
        <f>IF(C380=0,"NA",IF(curve=1,H2O2_cmix_size,VLOOKUP(H2O2_cmix_size,imp_mix_cost_cl,2)))</f>
        <v>NA</v>
      </c>
      <c r="H380" s="595" t="str">
        <f>IF(C380=0,"","hp")</f>
        <v/>
      </c>
      <c r="I380" s="597" t="str">
        <f>IF(C380=0,"NA",IF(curve=1,cimp_mix_eq_H2O2,VLOOKUP(H2O2_cmix_size,imp_mix_cost_cl,3)))</f>
        <v>NA</v>
      </c>
      <c r="J380" s="598" t="str">
        <f>IF(C380=0,"--",IF(I380="contact vendor","--",C380*I380))</f>
        <v>--</v>
      </c>
      <c r="K380" s="596" t="str">
        <f>IF(C380=0,"NA",VLOOKUP(H2O2_cmix_size,imp_mix_cost_cl,IF(ss_cat="large",4,5)))</f>
        <v>NA</v>
      </c>
      <c r="L380" s="599"/>
      <c r="M380" s="35" t="str">
        <f>$B$348&amp;" - "&amp;$B$377&amp;" - "&amp;B380</f>
        <v>Mixers - Mixers for Hydrogen Peroxide Storage Tanks - Impeller</v>
      </c>
      <c r="N380" s="694">
        <v>2</v>
      </c>
      <c r="O380" s="694">
        <v>2</v>
      </c>
      <c r="P380" s="694">
        <v>2</v>
      </c>
      <c r="Q380" s="694">
        <v>2</v>
      </c>
      <c r="R380" s="694">
        <v>2</v>
      </c>
      <c r="S380" s="694">
        <v>2</v>
      </c>
      <c r="T380" s="694">
        <v>2</v>
      </c>
      <c r="U380" s="694">
        <v>2</v>
      </c>
      <c r="V380" s="694">
        <v>2</v>
      </c>
      <c r="W380" s="694">
        <f t="shared" si="54"/>
        <v>0</v>
      </c>
      <c r="X380">
        <f t="shared" si="55"/>
        <v>0</v>
      </c>
      <c r="Y380"/>
    </row>
    <row r="381" spans="1:25" x14ac:dyDescent="0.2">
      <c r="A381" s="473">
        <v>7.9</v>
      </c>
      <c r="B381" s="44" t="s">
        <v>989</v>
      </c>
      <c r="C381" s="179"/>
      <c r="D381" s="180"/>
      <c r="E381" s="179"/>
      <c r="F381" s="179"/>
      <c r="G381" s="179"/>
      <c r="H381" s="179"/>
      <c r="I381" s="181"/>
      <c r="J381" s="179"/>
      <c r="K381" s="179"/>
      <c r="L381" s="183"/>
      <c r="M381"/>
      <c r="N381" s="694"/>
      <c r="O381" s="694"/>
      <c r="P381" s="694"/>
      <c r="Q381" s="694"/>
      <c r="R381" s="694"/>
      <c r="S381" s="694"/>
      <c r="T381" s="694"/>
      <c r="U381" s="694"/>
      <c r="V381" s="694"/>
      <c r="W381" s="694">
        <f t="shared" si="54"/>
        <v>0</v>
      </c>
      <c r="X381">
        <f t="shared" si="55"/>
        <v>0</v>
      </c>
      <c r="Y381"/>
    </row>
    <row r="382" spans="1:25" x14ac:dyDescent="0.2">
      <c r="A382" s="320" t="s">
        <v>996</v>
      </c>
      <c r="B382" s="30" t="s">
        <v>1523</v>
      </c>
      <c r="C382" s="595">
        <f>H2O2_dmixers</f>
        <v>0</v>
      </c>
      <c r="D382" s="351" t="s">
        <v>606</v>
      </c>
      <c r="E382" s="596" t="str">
        <f>IF(C382=0,"NA",H2O2_dmix_size)</f>
        <v>NA</v>
      </c>
      <c r="F382" s="595" t="str">
        <f>IF(C382=0,"","hp")</f>
        <v/>
      </c>
      <c r="G382" s="596" t="str">
        <f>IF(C382=0,"NA",VLOOKUP(H2O2_dmix_size,port_mix_cost_cl,2))</f>
        <v>NA</v>
      </c>
      <c r="H382" s="595" t="str">
        <f>IF(C382=0,"","hp")</f>
        <v/>
      </c>
      <c r="I382" s="597" t="str">
        <f>IF(C382=0,"NA",VLOOKUP(H2O2_dmix_size,port_mix_cost_cl,3))</f>
        <v>NA</v>
      </c>
      <c r="J382" s="598" t="str">
        <f>IF(C382=0,"--",IF(I382="contact vendor","--",C382*I382))</f>
        <v>--</v>
      </c>
      <c r="K382" s="596" t="str">
        <f>IF(C382=0,"NA",VLOOKUP(H2O2_dmix_size,port_mix_cost_cl,IF(ss_cat="large",4,5)))</f>
        <v>NA</v>
      </c>
      <c r="L382" s="599"/>
      <c r="M382" s="35" t="str">
        <f>$B$348&amp;" - "&amp;$B$381&amp;" - "&amp;B382</f>
        <v>Mixers - Mixers for Hydrogen Peroxide Day Tanks - Portable</v>
      </c>
      <c r="N382" s="694">
        <v>3</v>
      </c>
      <c r="O382" s="694">
        <v>3</v>
      </c>
      <c r="P382" s="694">
        <v>3</v>
      </c>
      <c r="Q382" s="694">
        <v>3</v>
      </c>
      <c r="R382" s="694">
        <v>3</v>
      </c>
      <c r="S382" s="694">
        <v>3</v>
      </c>
      <c r="T382" s="694">
        <v>3</v>
      </c>
      <c r="U382" s="694">
        <v>3</v>
      </c>
      <c r="V382" s="694">
        <v>3</v>
      </c>
      <c r="W382" s="694">
        <f t="shared" si="54"/>
        <v>0</v>
      </c>
      <c r="X382">
        <f t="shared" si="55"/>
        <v>0</v>
      </c>
      <c r="Y382"/>
    </row>
    <row r="383" spans="1:25" x14ac:dyDescent="0.2">
      <c r="A383" s="320" t="s">
        <v>996</v>
      </c>
      <c r="B383" s="30" t="s">
        <v>1524</v>
      </c>
      <c r="C383" s="595">
        <f>H2O2_dmixers</f>
        <v>0</v>
      </c>
      <c r="D383" s="351" t="s">
        <v>606</v>
      </c>
      <c r="E383" s="596" t="str">
        <f>IF(C383=0,"NA",H2O2_dmix_size)</f>
        <v>NA</v>
      </c>
      <c r="F383" s="595" t="str">
        <f>IF(C383=0,"","hp")</f>
        <v/>
      </c>
      <c r="G383" s="596" t="str">
        <f>IF(C383=0,"NA",IF(curve=1,H2O2_dmix_size,VLOOKUP(H2O2_dmix_size,mount_mix_cost_cl,2)))</f>
        <v>NA</v>
      </c>
      <c r="H383" s="595" t="str">
        <f>IF(C383=0,"","hp")</f>
        <v/>
      </c>
      <c r="I383" s="597" t="str">
        <f>IF(C383=0,"NA",IF(curve=1,dmount_mix_eq_H2O2,VLOOKUP(H2O2_dmix_size,mount_mix_cost_cl,3)))</f>
        <v>NA</v>
      </c>
      <c r="J383" s="598" t="str">
        <f>IF(C383=0,"--",IF(I383="contact vendor","--",C383*I383))</f>
        <v>--</v>
      </c>
      <c r="K383" s="596" t="str">
        <f>IF(C383=0,"NA",VLOOKUP(H2O2_dmix_size,mount_mix_cost_cl,IF(ss_cat="large",4,5)))</f>
        <v>NA</v>
      </c>
      <c r="L383" s="599"/>
      <c r="M383" s="35" t="str">
        <f>$B$348&amp;" - "&amp;$B$381&amp;" - "&amp;B383</f>
        <v>Mixers - Mixers for Hydrogen Peroxide Day Tanks - Mounted</v>
      </c>
      <c r="N383" s="694">
        <v>1</v>
      </c>
      <c r="O383" s="694">
        <v>1</v>
      </c>
      <c r="P383" s="694">
        <v>1</v>
      </c>
      <c r="Q383" s="694">
        <v>1</v>
      </c>
      <c r="R383" s="694">
        <v>1</v>
      </c>
      <c r="S383" s="694">
        <v>1</v>
      </c>
      <c r="T383" s="694">
        <v>1</v>
      </c>
      <c r="U383" s="694">
        <v>1</v>
      </c>
      <c r="V383" s="694">
        <v>1</v>
      </c>
      <c r="W383" s="694">
        <f t="shared" si="54"/>
        <v>0</v>
      </c>
      <c r="X383">
        <f t="shared" si="55"/>
        <v>0</v>
      </c>
      <c r="Y383"/>
    </row>
    <row r="384" spans="1:25" x14ac:dyDescent="0.2">
      <c r="A384" s="320" t="s">
        <v>996</v>
      </c>
      <c r="B384" s="30" t="s">
        <v>2535</v>
      </c>
      <c r="C384" s="595">
        <f>H2O2_dmixers</f>
        <v>0</v>
      </c>
      <c r="D384" s="351" t="s">
        <v>606</v>
      </c>
      <c r="E384" s="596" t="str">
        <f>IF(C384=0,"NA",H2O2_dmix_size)</f>
        <v>NA</v>
      </c>
      <c r="F384" s="595" t="str">
        <f>IF(C384=0,"","hp")</f>
        <v/>
      </c>
      <c r="G384" s="596" t="str">
        <f>IF(C384=0,"NA",IF(curve=1,H2O2_dmix_size,VLOOKUP(H2O2_dmix_size,imp_mix_cost_cl,2)))</f>
        <v>NA</v>
      </c>
      <c r="H384" s="595" t="str">
        <f>IF(C384=0,"","hp")</f>
        <v/>
      </c>
      <c r="I384" s="597" t="str">
        <f>IF(C384=0,"NA",IF(curve=1,dimp_mix_eq_H2O2,VLOOKUP(H2O2_dmix_size,imp_mix_cost_cl,3)))</f>
        <v>NA</v>
      </c>
      <c r="J384" s="598" t="str">
        <f>IF(C384=0,"--",IF(I384="contact vendor","--",C384*I384))</f>
        <v>--</v>
      </c>
      <c r="K384" s="596" t="str">
        <f>IF(C384=0,"NA",VLOOKUP(H2O2_dmix_size,imp_mix_cost_cl,IF(ss_cat="large",4,5)))</f>
        <v>NA</v>
      </c>
      <c r="L384" s="599"/>
      <c r="M384" s="35" t="str">
        <f>$B$348&amp;" - "&amp;$B$381&amp;" - "&amp;B384</f>
        <v>Mixers - Mixers for Hydrogen Peroxide Day Tanks - Impeller</v>
      </c>
      <c r="N384" s="694">
        <v>2</v>
      </c>
      <c r="O384" s="694">
        <v>2</v>
      </c>
      <c r="P384" s="694">
        <v>2</v>
      </c>
      <c r="Q384" s="694">
        <v>2</v>
      </c>
      <c r="R384" s="694">
        <v>2</v>
      </c>
      <c r="S384" s="694">
        <v>2</v>
      </c>
      <c r="T384" s="694">
        <v>2</v>
      </c>
      <c r="U384" s="694">
        <v>2</v>
      </c>
      <c r="V384" s="694">
        <v>2</v>
      </c>
      <c r="W384" s="694">
        <f t="shared" si="54"/>
        <v>0</v>
      </c>
      <c r="X384">
        <f t="shared" si="55"/>
        <v>0</v>
      </c>
      <c r="Y384"/>
    </row>
    <row r="385" spans="1:25" x14ac:dyDescent="0.2">
      <c r="A385" s="822" t="s">
        <v>4021</v>
      </c>
      <c r="B385" s="44" t="s">
        <v>154</v>
      </c>
      <c r="C385" s="179"/>
      <c r="D385" s="180"/>
      <c r="E385" s="179"/>
      <c r="F385" s="179"/>
      <c r="G385" s="179"/>
      <c r="H385" s="179"/>
      <c r="I385" s="181"/>
      <c r="J385" s="179"/>
      <c r="K385" s="179"/>
      <c r="L385" s="183"/>
      <c r="M385" s="35"/>
      <c r="N385" s="694"/>
      <c r="O385" s="694"/>
      <c r="P385" s="694"/>
      <c r="Q385" s="694"/>
      <c r="R385" s="694"/>
      <c r="S385" s="694"/>
      <c r="T385" s="694"/>
      <c r="U385" s="694"/>
      <c r="V385" s="694"/>
      <c r="W385" s="694"/>
      <c r="X385"/>
      <c r="Y385"/>
    </row>
    <row r="386" spans="1:25" s="773" customFormat="1" x14ac:dyDescent="0.2">
      <c r="A386" s="320" t="s">
        <v>4022</v>
      </c>
      <c r="B386" s="30" t="s">
        <v>3955</v>
      </c>
      <c r="C386" s="555">
        <f>H2O2_mixers</f>
        <v>0</v>
      </c>
      <c r="D386" s="355" t="s">
        <v>606</v>
      </c>
      <c r="E386" s="549" t="str">
        <f>IF(C386=0,"NA",mixer_size)</f>
        <v>NA</v>
      </c>
      <c r="F386" s="1" t="str">
        <f>IF(C386=0,"","in.diam")</f>
        <v/>
      </c>
      <c r="G386" s="549" t="str">
        <f>IF(C386=0,"NA",IF(curve=1,mixer_size,VLOOKUP(mixer_size,pl_in_mix_cost_cl,2)))</f>
        <v>NA</v>
      </c>
      <c r="H386" s="1" t="str">
        <f>IF(C386=0,"","in.diam")</f>
        <v/>
      </c>
      <c r="I386" s="686" t="str">
        <f>IF(C386=0,"NA",IF(curve=1,pl_in_mix_eq,VLOOKUP(mixer_size,pl_in_mix_cost_cl,3)))</f>
        <v>NA</v>
      </c>
      <c r="J386" s="356" t="str">
        <f>IF(C386=0,"--",IF(I386="contact vendor","--",C386*I386))</f>
        <v>--</v>
      </c>
      <c r="K386" s="195" t="str">
        <f>IF(C386=0,"NA",VLOOKUP(mixer_size,pl_in_mix_cost_cl,IF(ss_cat="large",4,5)))</f>
        <v>NA</v>
      </c>
      <c r="L386" s="354"/>
      <c r="M386" s="35" t="str">
        <f>$B$348&amp;"  - "&amp;$B$385&amp;"  - "&amp;B386</f>
        <v>Mixers  - Static Mixer for Hydrogen Peroxide  - Plastic</v>
      </c>
      <c r="N386" s="694">
        <v>1</v>
      </c>
      <c r="O386" s="694">
        <v>2</v>
      </c>
      <c r="P386" s="694">
        <v>2</v>
      </c>
      <c r="Q386" s="694">
        <v>1</v>
      </c>
      <c r="R386" s="694">
        <v>2</v>
      </c>
      <c r="S386" s="694">
        <v>2</v>
      </c>
      <c r="T386" s="694">
        <v>1</v>
      </c>
      <c r="U386" s="694">
        <v>2</v>
      </c>
      <c r="V386" s="694">
        <v>2</v>
      </c>
      <c r="W386" s="694">
        <f t="shared" si="54"/>
        <v>0</v>
      </c>
      <c r="X386">
        <f t="shared" si="55"/>
        <v>0</v>
      </c>
      <c r="Y386" s="1"/>
    </row>
    <row r="387" spans="1:25" s="773" customFormat="1" x14ac:dyDescent="0.2">
      <c r="A387" s="320" t="s">
        <v>4022</v>
      </c>
      <c r="B387" s="30" t="s">
        <v>1421</v>
      </c>
      <c r="C387" s="555">
        <f>H2O2_mixers</f>
        <v>0</v>
      </c>
      <c r="D387" s="355" t="s">
        <v>606</v>
      </c>
      <c r="E387" s="549" t="str">
        <f>IF(C387=0,"NA",mixer_size)</f>
        <v>NA</v>
      </c>
      <c r="F387" s="1" t="str">
        <f>IF(C387=0,"","in.diam")</f>
        <v/>
      </c>
      <c r="G387" s="549" t="str">
        <f>IF(C387=0,"NA",IF(curve=1,mixer_size,VLOOKUP(mixer_size,in_mix_cost_cl,2)))</f>
        <v>NA</v>
      </c>
      <c r="H387" s="1" t="str">
        <f>IF(C387=0,"","in.diam")</f>
        <v/>
      </c>
      <c r="I387" s="686" t="str">
        <f>IF(C387=0,"NA",IF(curve=1,in_mix_eq,VLOOKUP(mixer_size,in_mix_cost_cl,3)))</f>
        <v>NA</v>
      </c>
      <c r="J387" s="356" t="str">
        <f>IF(C387=0,"--",IF(I387="contact vendor","--",C387*I387))</f>
        <v>--</v>
      </c>
      <c r="K387" s="195" t="str">
        <f>IF(C387=0,"NA",VLOOKUP(mixer_size,in_mix_cost_cl,IF(ss_cat="large",4,5)))</f>
        <v>NA</v>
      </c>
      <c r="L387" s="354"/>
      <c r="M387" s="35" t="str">
        <f>$B$348&amp;"  - "&amp;$B$385&amp;"  - "&amp;B387</f>
        <v>Mixers  - Static Mixer for Hydrogen Peroxide  - Stainless Steel</v>
      </c>
      <c r="N387" s="694">
        <v>2</v>
      </c>
      <c r="O387" s="694">
        <v>1</v>
      </c>
      <c r="P387" s="694">
        <v>1</v>
      </c>
      <c r="Q387" s="694">
        <v>2</v>
      </c>
      <c r="R387" s="694">
        <v>1</v>
      </c>
      <c r="S387" s="694">
        <v>1</v>
      </c>
      <c r="T387" s="694">
        <v>2</v>
      </c>
      <c r="U387" s="694">
        <v>1</v>
      </c>
      <c r="V387" s="694">
        <v>1</v>
      </c>
      <c r="W387" s="694">
        <f>IF(ISERROR(K387*L387),0,IF(K387&lt;1,0,L387))</f>
        <v>0</v>
      </c>
      <c r="X387">
        <f>IF(W387,J387/K387,0)</f>
        <v>0</v>
      </c>
      <c r="Y387" s="1"/>
    </row>
    <row r="388" spans="1:25" s="773" customFormat="1" x14ac:dyDescent="0.2">
      <c r="A388" s="473">
        <v>7.11</v>
      </c>
      <c r="B388" s="820" t="s">
        <v>4375</v>
      </c>
      <c r="C388" s="179"/>
      <c r="D388" s="180"/>
      <c r="E388" s="179"/>
      <c r="F388" s="179"/>
      <c r="G388" s="179"/>
      <c r="H388" s="179"/>
      <c r="I388" s="181"/>
      <c r="J388" s="179"/>
      <c r="K388" s="179"/>
      <c r="L388" s="183"/>
      <c r="M388"/>
      <c r="N388" s="694"/>
      <c r="O388" s="694"/>
      <c r="P388" s="694"/>
      <c r="Q388" s="694"/>
      <c r="R388" s="694"/>
      <c r="S388" s="694"/>
      <c r="T388" s="694"/>
      <c r="U388" s="694"/>
      <c r="V388" s="694"/>
      <c r="W388" s="694">
        <f t="shared" ref="W388:W391" si="58">IF(ISERROR(K388*L388),0,IF(K388&lt;1,0,L388))</f>
        <v>0</v>
      </c>
      <c r="X388">
        <f t="shared" ref="X388:X391" si="59">IF(W388,J388/K388,0)</f>
        <v>0</v>
      </c>
      <c r="Y388" s="1"/>
    </row>
    <row r="389" spans="1:25" s="773" customFormat="1" x14ac:dyDescent="0.2">
      <c r="A389" s="320" t="s">
        <v>2944</v>
      </c>
      <c r="B389" s="30" t="s">
        <v>1523</v>
      </c>
      <c r="C389" s="595">
        <f>coag_cmixers</f>
        <v>0</v>
      </c>
      <c r="D389" s="351" t="s">
        <v>606</v>
      </c>
      <c r="E389" s="657" t="str">
        <f>IF(C389=0,"NA",coag_cmix_size)</f>
        <v>NA</v>
      </c>
      <c r="F389" s="595" t="str">
        <f>IF(C389=0,"","hp")</f>
        <v/>
      </c>
      <c r="G389" s="596" t="str">
        <f>IF(C389=0,"NA",VLOOKUP(coag_cmix_size,port_mix_cost_cl,2))</f>
        <v>NA</v>
      </c>
      <c r="H389" s="595" t="str">
        <f>IF(C389=0,"","hp")</f>
        <v/>
      </c>
      <c r="I389" s="597" t="str">
        <f>IF(C389=0,"NA",VLOOKUP(coag_cmix_size,port_mix_cost_cl,3))</f>
        <v>NA</v>
      </c>
      <c r="J389" s="598" t="str">
        <f>IF(C389=0,"--",IF(I389="contact vendor","--",C389*I389))</f>
        <v>--</v>
      </c>
      <c r="K389" s="596" t="str">
        <f>IF(C389=0,"NA",VLOOKUP(coag_cmix_size,port_mix_cost_cl,IF(ss_cat="large",4,5)))</f>
        <v>NA</v>
      </c>
      <c r="L389" s="599"/>
      <c r="M389" s="35" t="str">
        <f>$B$348&amp;" - "&amp;$B$388&amp;" - "&amp;B389</f>
        <v>Mixers - Mixers for Ferric Chloride Storage Tanks - Portable</v>
      </c>
      <c r="N389" s="694">
        <v>3</v>
      </c>
      <c r="O389" s="694">
        <v>3</v>
      </c>
      <c r="P389" s="694">
        <v>3</v>
      </c>
      <c r="Q389" s="694">
        <v>3</v>
      </c>
      <c r="R389" s="694">
        <v>3</v>
      </c>
      <c r="S389" s="694">
        <v>3</v>
      </c>
      <c r="T389" s="694">
        <v>3</v>
      </c>
      <c r="U389" s="694">
        <v>3</v>
      </c>
      <c r="V389" s="694">
        <v>3</v>
      </c>
      <c r="W389" s="694">
        <f t="shared" si="58"/>
        <v>0</v>
      </c>
      <c r="X389">
        <f t="shared" si="59"/>
        <v>0</v>
      </c>
      <c r="Y389" s="1"/>
    </row>
    <row r="390" spans="1:25" s="773" customFormat="1" x14ac:dyDescent="0.2">
      <c r="A390" s="320" t="s">
        <v>2944</v>
      </c>
      <c r="B390" s="30" t="s">
        <v>1524</v>
      </c>
      <c r="C390" s="595">
        <f>coag_cmixers</f>
        <v>0</v>
      </c>
      <c r="D390" s="351" t="s">
        <v>606</v>
      </c>
      <c r="E390" s="657" t="str">
        <f>IF(C390=0,"NA",coag_cmix_size)</f>
        <v>NA</v>
      </c>
      <c r="F390" s="595" t="str">
        <f>IF(C390=0,"","hp")</f>
        <v/>
      </c>
      <c r="G390" s="596" t="str">
        <f>IF(C390=0,"NA",IF(curve=1,coag_cmix_size,VLOOKUP(coag_cmix_size,mount_mix_cost_cl,2)))</f>
        <v>NA</v>
      </c>
      <c r="H390" s="595" t="str">
        <f>IF(C390=0,"","hp")</f>
        <v/>
      </c>
      <c r="I390" s="597" t="str">
        <f>IF(C390=0,"NA",IF(curve=1,cmount_mix_eq_coag,VLOOKUP(coag_cmix_size,mount_mix_cost_cl,3)))</f>
        <v>NA</v>
      </c>
      <c r="J390" s="598" t="str">
        <f>IF(C390=0,"--",IF(I390="contact vendor","--",C390*I390))</f>
        <v>--</v>
      </c>
      <c r="K390" s="596" t="str">
        <f>IF(C390=0,"NA",VLOOKUP(coag_cmix_size,mount_mix_cost_cl,IF(ss_cat="large",4,5)))</f>
        <v>NA</v>
      </c>
      <c r="L390" s="599"/>
      <c r="M390" s="35" t="str">
        <f t="shared" ref="M390:M391" si="60">$B$348&amp;" - "&amp;$B$388&amp;" - "&amp;B390</f>
        <v>Mixers - Mixers for Ferric Chloride Storage Tanks - Mounted</v>
      </c>
      <c r="N390" s="694">
        <v>1</v>
      </c>
      <c r="O390" s="694">
        <v>1</v>
      </c>
      <c r="P390" s="694">
        <v>1</v>
      </c>
      <c r="Q390" s="694">
        <v>1</v>
      </c>
      <c r="R390" s="694">
        <v>1</v>
      </c>
      <c r="S390" s="694">
        <v>1</v>
      </c>
      <c r="T390" s="694">
        <v>1</v>
      </c>
      <c r="U390" s="694">
        <v>1</v>
      </c>
      <c r="V390" s="694">
        <v>1</v>
      </c>
      <c r="W390" s="694">
        <f t="shared" si="58"/>
        <v>0</v>
      </c>
      <c r="X390">
        <f t="shared" si="59"/>
        <v>0</v>
      </c>
      <c r="Y390" s="1"/>
    </row>
    <row r="391" spans="1:25" s="773" customFormat="1" x14ac:dyDescent="0.2">
      <c r="A391" s="320" t="s">
        <v>2944</v>
      </c>
      <c r="B391" s="30" t="s">
        <v>2535</v>
      </c>
      <c r="C391" s="595">
        <f>coag_cmixers</f>
        <v>0</v>
      </c>
      <c r="D391" s="351" t="s">
        <v>606</v>
      </c>
      <c r="E391" s="657" t="str">
        <f>IF(C391=0,"NA",coag_cmix_size)</f>
        <v>NA</v>
      </c>
      <c r="F391" s="595" t="str">
        <f>IF(C391=0,"","hp")</f>
        <v/>
      </c>
      <c r="G391" s="596" t="str">
        <f>IF(C391=0,"NA",IF(curve=1,coag_cmix_size,VLOOKUP(coag_cmix_size,imp_mix_cost_cl,2)))</f>
        <v>NA</v>
      </c>
      <c r="H391" s="595" t="str">
        <f>IF(C391=0,"","hp")</f>
        <v/>
      </c>
      <c r="I391" s="597" t="str">
        <f>IF(C391=0,"NA",IF(curve=1,cimp_mix_eq_coag,VLOOKUP(coag_cmix_size,imp_mix_cost_cl,3)))</f>
        <v>NA</v>
      </c>
      <c r="J391" s="598" t="str">
        <f>IF(C391=0,"--",IF(I391="contact vendor","--",C391*I391))</f>
        <v>--</v>
      </c>
      <c r="K391" s="596" t="str">
        <f>IF(C391=0,"NA",VLOOKUP(coag_cmix_size,imp_mix_cost_cl,IF(ss_cat="large",4,5)))</f>
        <v>NA</v>
      </c>
      <c r="L391" s="599"/>
      <c r="M391" s="35" t="str">
        <f t="shared" si="60"/>
        <v>Mixers - Mixers for Ferric Chloride Storage Tanks - Impeller</v>
      </c>
      <c r="N391" s="694">
        <v>2</v>
      </c>
      <c r="O391" s="694">
        <v>2</v>
      </c>
      <c r="P391" s="694">
        <v>2</v>
      </c>
      <c r="Q391" s="694">
        <v>2</v>
      </c>
      <c r="R391" s="694">
        <v>2</v>
      </c>
      <c r="S391" s="694">
        <v>2</v>
      </c>
      <c r="T391" s="694">
        <v>2</v>
      </c>
      <c r="U391" s="694">
        <v>2</v>
      </c>
      <c r="V391" s="694">
        <v>2</v>
      </c>
      <c r="W391" s="694">
        <f t="shared" si="58"/>
        <v>0</v>
      </c>
      <c r="X391">
        <f t="shared" si="59"/>
        <v>0</v>
      </c>
      <c r="Y391" s="1"/>
    </row>
    <row r="392" spans="1:25" s="773" customFormat="1" x14ac:dyDescent="0.2">
      <c r="A392" s="473">
        <v>7.12</v>
      </c>
      <c r="B392" s="820" t="s">
        <v>4376</v>
      </c>
      <c r="C392" s="179"/>
      <c r="D392" s="180"/>
      <c r="E392" s="179"/>
      <c r="F392" s="179"/>
      <c r="G392" s="179"/>
      <c r="H392" s="179"/>
      <c r="I392" s="181"/>
      <c r="J392" s="179"/>
      <c r="K392" s="179"/>
      <c r="L392" s="183"/>
      <c r="M392"/>
      <c r="N392" s="694"/>
      <c r="O392" s="694"/>
      <c r="P392" s="694"/>
      <c r="Q392" s="694"/>
      <c r="R392" s="694"/>
      <c r="S392" s="694"/>
      <c r="T392" s="694"/>
      <c r="U392" s="694"/>
      <c r="V392" s="694"/>
      <c r="W392" s="694">
        <f t="shared" ref="W392:W395" si="61">IF(ISERROR(K392*L392),0,IF(K392&lt;1,0,L392))</f>
        <v>0</v>
      </c>
      <c r="X392">
        <f t="shared" ref="X392:X395" si="62">IF(W392,J392/K392,0)</f>
        <v>0</v>
      </c>
      <c r="Y392" s="1"/>
    </row>
    <row r="393" spans="1:25" s="773" customFormat="1" x14ac:dyDescent="0.2">
      <c r="A393" s="320" t="s">
        <v>376</v>
      </c>
      <c r="B393" s="30" t="s">
        <v>1523</v>
      </c>
      <c r="C393" s="595">
        <f>coag_dmixers</f>
        <v>0</v>
      </c>
      <c r="D393" s="351" t="s">
        <v>606</v>
      </c>
      <c r="E393" s="657" t="str">
        <f>IF(C393=0,"NA",coag_dmix_size)</f>
        <v>NA</v>
      </c>
      <c r="F393" s="595" t="str">
        <f>IF(C393=0,"","hp")</f>
        <v/>
      </c>
      <c r="G393" s="596" t="str">
        <f>IF(C393=0,"NA",VLOOKUP(coag_dmix_size,port_mix_cost_cl,2))</f>
        <v>NA</v>
      </c>
      <c r="H393" s="595" t="str">
        <f>IF(C393=0,"","hp")</f>
        <v/>
      </c>
      <c r="I393" s="597" t="str">
        <f>IF(C393=0,"NA",VLOOKUP(coag_dmix_size,port_mix_cost_cl,3))</f>
        <v>NA</v>
      </c>
      <c r="J393" s="598" t="str">
        <f>IF(C393=0,"--",IF(I393="contact vendor","--",C393*I393))</f>
        <v>--</v>
      </c>
      <c r="K393" s="596" t="str">
        <f>IF(C393=0,"NA",VLOOKUP(coag_dmix_size,port_mix_cost_cl,IF(ss_cat="large",4,5)))</f>
        <v>NA</v>
      </c>
      <c r="L393" s="599"/>
      <c r="M393" s="35" t="str">
        <f>$B$348&amp;" - "&amp;$B$392&amp;" - "&amp;B393</f>
        <v>Mixers - Mixers for Ferric Chloride Day Tanks - Portable</v>
      </c>
      <c r="N393" s="694">
        <v>3</v>
      </c>
      <c r="O393" s="694">
        <v>3</v>
      </c>
      <c r="P393" s="694">
        <v>3</v>
      </c>
      <c r="Q393" s="694">
        <v>3</v>
      </c>
      <c r="R393" s="694">
        <v>3</v>
      </c>
      <c r="S393" s="694">
        <v>3</v>
      </c>
      <c r="T393" s="694">
        <v>3</v>
      </c>
      <c r="U393" s="694">
        <v>3</v>
      </c>
      <c r="V393" s="694">
        <v>3</v>
      </c>
      <c r="W393" s="694">
        <f t="shared" si="61"/>
        <v>0</v>
      </c>
      <c r="X393">
        <f t="shared" si="62"/>
        <v>0</v>
      </c>
      <c r="Y393" s="1"/>
    </row>
    <row r="394" spans="1:25" s="773" customFormat="1" x14ac:dyDescent="0.2">
      <c r="A394" s="320" t="s">
        <v>376</v>
      </c>
      <c r="B394" s="30" t="s">
        <v>1524</v>
      </c>
      <c r="C394" s="595">
        <f>coag_dmixers</f>
        <v>0</v>
      </c>
      <c r="D394" s="351" t="s">
        <v>606</v>
      </c>
      <c r="E394" s="657" t="str">
        <f>IF(C394=0,"NA",coag_dmix_size)</f>
        <v>NA</v>
      </c>
      <c r="F394" s="595" t="str">
        <f>IF(C394=0,"","hp")</f>
        <v/>
      </c>
      <c r="G394" s="596" t="str">
        <f>IF(C394=0,"NA",IF(curve=1,coag_dmix_size,VLOOKUP(coag_dmix_size,mount_mix_cost_cl,2)))</f>
        <v>NA</v>
      </c>
      <c r="H394" s="595" t="str">
        <f>IF(C394=0,"","hp")</f>
        <v/>
      </c>
      <c r="I394" s="597" t="str">
        <f>IF(C394=0,"NA",IF(curve=1,dmount_mix_eq_coag,VLOOKUP(coag_dmix_size,mount_mix_cost_cl,3)))</f>
        <v>NA</v>
      </c>
      <c r="J394" s="598" t="str">
        <f>IF(C394=0,"--",IF(I394="contact vendor","--",C394*I394))</f>
        <v>--</v>
      </c>
      <c r="K394" s="596" t="str">
        <f>IF(C394=0,"NA",VLOOKUP(coag_dmix_size,mount_mix_cost_cl,IF(ss_cat="large",4,5)))</f>
        <v>NA</v>
      </c>
      <c r="L394" s="599"/>
      <c r="M394" s="35" t="str">
        <f t="shared" ref="M394:M395" si="63">$B$348&amp;" - "&amp;$B$392&amp;" - "&amp;B394</f>
        <v>Mixers - Mixers for Ferric Chloride Day Tanks - Mounted</v>
      </c>
      <c r="N394" s="694">
        <v>1</v>
      </c>
      <c r="O394" s="694">
        <v>1</v>
      </c>
      <c r="P394" s="694">
        <v>1</v>
      </c>
      <c r="Q394" s="694">
        <v>1</v>
      </c>
      <c r="R394" s="694">
        <v>1</v>
      </c>
      <c r="S394" s="694">
        <v>1</v>
      </c>
      <c r="T394" s="694">
        <v>1</v>
      </c>
      <c r="U394" s="694">
        <v>1</v>
      </c>
      <c r="V394" s="694">
        <v>1</v>
      </c>
      <c r="W394" s="694">
        <f t="shared" si="61"/>
        <v>0</v>
      </c>
      <c r="X394">
        <f t="shared" si="62"/>
        <v>0</v>
      </c>
      <c r="Y394" s="1"/>
    </row>
    <row r="395" spans="1:25" s="773" customFormat="1" x14ac:dyDescent="0.2">
      <c r="A395" s="320" t="s">
        <v>376</v>
      </c>
      <c r="B395" s="30" t="s">
        <v>2535</v>
      </c>
      <c r="C395" s="595">
        <f>coag_dmixers</f>
        <v>0</v>
      </c>
      <c r="D395" s="351" t="s">
        <v>606</v>
      </c>
      <c r="E395" s="657" t="str">
        <f>IF(C395=0,"NA",coag_dmix_size)</f>
        <v>NA</v>
      </c>
      <c r="F395" s="595" t="str">
        <f>IF(C395=0,"","hp")</f>
        <v/>
      </c>
      <c r="G395" s="596" t="str">
        <f>IF(C395=0,"NA",IF(curve=1,coag_dmix_size,VLOOKUP(coag_dmix_size,imp_mix_cost_cl,2)))</f>
        <v>NA</v>
      </c>
      <c r="H395" s="595" t="str">
        <f>IF(C395=0,"","hp")</f>
        <v/>
      </c>
      <c r="I395" s="597" t="str">
        <f>IF(C395=0,"NA",IF(curve=1,dimp_mix_eq_coag,VLOOKUP(coag_dmix_size,imp_mix_cost_cl,3)))</f>
        <v>NA</v>
      </c>
      <c r="J395" s="598" t="str">
        <f>IF(C395=0,"--",IF(I395="contact vendor","--",C395*I395))</f>
        <v>--</v>
      </c>
      <c r="K395" s="596" t="str">
        <f>IF(C395=0,"NA",VLOOKUP(coag_dmix_size,imp_mix_cost_cl,IF(ss_cat="large",4,5)))</f>
        <v>NA</v>
      </c>
      <c r="L395" s="599"/>
      <c r="M395" s="35" t="str">
        <f t="shared" si="63"/>
        <v>Mixers - Mixers for Ferric Chloride Day Tanks - Impeller</v>
      </c>
      <c r="N395" s="694">
        <v>2</v>
      </c>
      <c r="O395" s="694">
        <v>2</v>
      </c>
      <c r="P395" s="694">
        <v>2</v>
      </c>
      <c r="Q395" s="694">
        <v>2</v>
      </c>
      <c r="R395" s="694">
        <v>2</v>
      </c>
      <c r="S395" s="694">
        <v>2</v>
      </c>
      <c r="T395" s="694">
        <v>2</v>
      </c>
      <c r="U395" s="694">
        <v>2</v>
      </c>
      <c r="V395" s="694">
        <v>2</v>
      </c>
      <c r="W395" s="694">
        <f t="shared" si="61"/>
        <v>0</v>
      </c>
      <c r="X395">
        <f t="shared" si="62"/>
        <v>0</v>
      </c>
      <c r="Y395" s="1"/>
    </row>
    <row r="396" spans="1:25" x14ac:dyDescent="0.2">
      <c r="A396" s="473">
        <v>7.13</v>
      </c>
      <c r="B396" s="44" t="s">
        <v>2945</v>
      </c>
      <c r="C396" s="179"/>
      <c r="D396" s="180"/>
      <c r="E396" s="179"/>
      <c r="F396" s="179"/>
      <c r="G396" s="179"/>
      <c r="H396" s="179"/>
      <c r="I396" s="181"/>
      <c r="J396" s="179"/>
      <c r="K396" s="179"/>
      <c r="L396" s="183"/>
      <c r="M396"/>
      <c r="N396" s="694"/>
      <c r="O396" s="694"/>
      <c r="P396" s="694"/>
      <c r="Q396" s="694"/>
      <c r="R396" s="694"/>
      <c r="S396" s="694"/>
      <c r="T396" s="694"/>
      <c r="U396" s="694"/>
      <c r="V396" s="694"/>
      <c r="W396" s="694">
        <f t="shared" si="54"/>
        <v>0</v>
      </c>
      <c r="X396">
        <f t="shared" si="55"/>
        <v>0</v>
      </c>
      <c r="Y396"/>
    </row>
    <row r="397" spans="1:25" x14ac:dyDescent="0.2">
      <c r="A397" s="320" t="s">
        <v>4377</v>
      </c>
      <c r="B397" s="30" t="s">
        <v>1523</v>
      </c>
      <c r="C397" s="595">
        <f>polymer_cmixers</f>
        <v>0</v>
      </c>
      <c r="D397" s="351" t="s">
        <v>606</v>
      </c>
      <c r="E397" s="657" t="str">
        <f>IF(C397=0,"NA",polymer_cmix_size)</f>
        <v>NA</v>
      </c>
      <c r="F397" s="595" t="str">
        <f>IF(C397=0,"","hp")</f>
        <v/>
      </c>
      <c r="G397" s="596" t="str">
        <f>IF(C397=0,"NA",VLOOKUP(polymer_cmix_size,port_mix_cost_cl,2))</f>
        <v>NA</v>
      </c>
      <c r="H397" s="595" t="str">
        <f>IF(C397=0,"","hp")</f>
        <v/>
      </c>
      <c r="I397" s="597" t="str">
        <f>IF(C397=0,"NA",VLOOKUP(polymer_cmix_size,port_mix_cost_cl,3))</f>
        <v>NA</v>
      </c>
      <c r="J397" s="598" t="str">
        <f>IF(C397=0,"--",IF(I397="contact vendor","--",C397*I397))</f>
        <v>--</v>
      </c>
      <c r="K397" s="596" t="str">
        <f>IF(C397=0,"NA",VLOOKUP(polymer_cmix_size,port_mix_cost_cl,IF(ss_cat="large",4,5)))</f>
        <v>NA</v>
      </c>
      <c r="L397" s="599"/>
      <c r="M397" s="35" t="str">
        <f>$B$348&amp;" - "&amp;$B$396&amp;" - "&amp;B397</f>
        <v>Mixers - Mixers for Polymer Storage Tanks - Portable</v>
      </c>
      <c r="N397" s="694">
        <v>3</v>
      </c>
      <c r="O397" s="694">
        <v>3</v>
      </c>
      <c r="P397" s="694">
        <v>3</v>
      </c>
      <c r="Q397" s="694">
        <v>3</v>
      </c>
      <c r="R397" s="694">
        <v>3</v>
      </c>
      <c r="S397" s="694">
        <v>3</v>
      </c>
      <c r="T397" s="694">
        <v>3</v>
      </c>
      <c r="U397" s="694">
        <v>3</v>
      </c>
      <c r="V397" s="694">
        <v>3</v>
      </c>
      <c r="W397" s="694">
        <f t="shared" si="54"/>
        <v>0</v>
      </c>
      <c r="X397">
        <f t="shared" si="55"/>
        <v>0</v>
      </c>
      <c r="Y397"/>
    </row>
    <row r="398" spans="1:25" x14ac:dyDescent="0.2">
      <c r="A398" s="320" t="s">
        <v>4377</v>
      </c>
      <c r="B398" s="30" t="s">
        <v>1524</v>
      </c>
      <c r="C398" s="595">
        <f>polymer_cmixers</f>
        <v>0</v>
      </c>
      <c r="D398" s="351" t="s">
        <v>606</v>
      </c>
      <c r="E398" s="657" t="str">
        <f>IF(C398=0,"NA",polymer_cmix_size)</f>
        <v>NA</v>
      </c>
      <c r="F398" s="595" t="str">
        <f>IF(C398=0,"","hp")</f>
        <v/>
      </c>
      <c r="G398" s="596" t="str">
        <f>IF(C398=0,"NA",IF(curve=1,polymer_cmix_size,VLOOKUP(polymer_cmix_size,mount_mix_cost_cl,2)))</f>
        <v>NA</v>
      </c>
      <c r="H398" s="595" t="str">
        <f>IF(C398=0,"","hp")</f>
        <v/>
      </c>
      <c r="I398" s="597" t="str">
        <f>IF(C398=0,"NA",IF(curve=1,cmount_mix_eq_polymer,VLOOKUP(polymer_cmix_size,mount_mix_cost_cl,3)))</f>
        <v>NA</v>
      </c>
      <c r="J398" s="598" t="str">
        <f>IF(C398=0,"--",IF(I398="contact vendor","--",C398*I398))</f>
        <v>--</v>
      </c>
      <c r="K398" s="596" t="str">
        <f>IF(C398=0,"NA",VLOOKUP(polymer_cmix_size,mount_mix_cost_cl,IF(ss_cat="large",4,5)))</f>
        <v>NA</v>
      </c>
      <c r="L398" s="599"/>
      <c r="M398" s="35" t="str">
        <f>$B$348&amp;" - "&amp;$B$396&amp;" - "&amp;B398</f>
        <v>Mixers - Mixers for Polymer Storage Tanks - Mounted</v>
      </c>
      <c r="N398" s="694">
        <v>1</v>
      </c>
      <c r="O398" s="694">
        <v>1</v>
      </c>
      <c r="P398" s="694">
        <v>1</v>
      </c>
      <c r="Q398" s="694">
        <v>1</v>
      </c>
      <c r="R398" s="694">
        <v>1</v>
      </c>
      <c r="S398" s="694">
        <v>1</v>
      </c>
      <c r="T398" s="694">
        <v>1</v>
      </c>
      <c r="U398" s="694">
        <v>1</v>
      </c>
      <c r="V398" s="694">
        <v>1</v>
      </c>
      <c r="W398" s="694">
        <f t="shared" si="54"/>
        <v>0</v>
      </c>
      <c r="X398">
        <f t="shared" si="55"/>
        <v>0</v>
      </c>
      <c r="Y398"/>
    </row>
    <row r="399" spans="1:25" x14ac:dyDescent="0.2">
      <c r="A399" s="320" t="s">
        <v>4377</v>
      </c>
      <c r="B399" s="30" t="s">
        <v>2535</v>
      </c>
      <c r="C399" s="595">
        <f>polymer_cmixers</f>
        <v>0</v>
      </c>
      <c r="D399" s="351" t="s">
        <v>606</v>
      </c>
      <c r="E399" s="657" t="str">
        <f>IF(C399=0,"NA",polymer_cmix_size)</f>
        <v>NA</v>
      </c>
      <c r="F399" s="595" t="str">
        <f>IF(C399=0,"","hp")</f>
        <v/>
      </c>
      <c r="G399" s="596" t="str">
        <f>IF(C399=0,"NA",IF(curve=1,polymer_cmix_size,VLOOKUP(polymer_cmix_size,imp_mix_cost_cl,2)))</f>
        <v>NA</v>
      </c>
      <c r="H399" s="595" t="str">
        <f>IF(C399=0,"","hp")</f>
        <v/>
      </c>
      <c r="I399" s="597" t="str">
        <f>IF(C399=0,"NA",IF(curve=1,cimp_mix_eq_polymer,VLOOKUP(polymer_cmix_size,imp_mix_cost_cl,3)))</f>
        <v>NA</v>
      </c>
      <c r="J399" s="598" t="str">
        <f>IF(C399=0,"--",IF(I399="contact vendor","--",C399*I399))</f>
        <v>--</v>
      </c>
      <c r="K399" s="596" t="str">
        <f>IF(C399=0,"NA",VLOOKUP(polymer_cmix_size,imp_mix_cost_cl,IF(ss_cat="large",4,5)))</f>
        <v>NA</v>
      </c>
      <c r="L399" s="599"/>
      <c r="M399" s="35" t="str">
        <f>$B$348&amp;" - "&amp;$B$396&amp;" - "&amp;B399</f>
        <v>Mixers - Mixers for Polymer Storage Tanks - Impeller</v>
      </c>
      <c r="N399" s="694">
        <v>2</v>
      </c>
      <c r="O399" s="694">
        <v>2</v>
      </c>
      <c r="P399" s="694">
        <v>2</v>
      </c>
      <c r="Q399" s="694">
        <v>2</v>
      </c>
      <c r="R399" s="694">
        <v>2</v>
      </c>
      <c r="S399" s="694">
        <v>2</v>
      </c>
      <c r="T399" s="694">
        <v>2</v>
      </c>
      <c r="U399" s="694">
        <v>2</v>
      </c>
      <c r="V399" s="694">
        <v>2</v>
      </c>
      <c r="W399" s="694">
        <f t="shared" si="54"/>
        <v>0</v>
      </c>
      <c r="X399">
        <f t="shared" si="55"/>
        <v>0</v>
      </c>
      <c r="Y399"/>
    </row>
    <row r="400" spans="1:25" x14ac:dyDescent="0.2">
      <c r="A400" s="473">
        <v>7.14</v>
      </c>
      <c r="B400" s="44" t="s">
        <v>377</v>
      </c>
      <c r="C400" s="556"/>
      <c r="D400" s="180"/>
      <c r="E400" s="285"/>
      <c r="F400" s="565"/>
      <c r="G400" s="565"/>
      <c r="H400" s="512"/>
      <c r="I400" s="181"/>
      <c r="J400" s="285"/>
      <c r="K400" s="285"/>
      <c r="L400" s="183"/>
      <c r="M400" s="35"/>
      <c r="N400" s="694"/>
      <c r="O400" s="694"/>
      <c r="P400" s="694"/>
      <c r="Q400" s="694"/>
      <c r="R400" s="694"/>
      <c r="S400" s="694"/>
      <c r="T400" s="694"/>
      <c r="U400" s="694"/>
      <c r="V400" s="694"/>
      <c r="W400" s="694">
        <f t="shared" si="54"/>
        <v>0</v>
      </c>
      <c r="X400">
        <f t="shared" si="55"/>
        <v>0</v>
      </c>
      <c r="Y400"/>
    </row>
    <row r="401" spans="1:25" s="773" customFormat="1" x14ac:dyDescent="0.2">
      <c r="A401" s="320" t="s">
        <v>4378</v>
      </c>
      <c r="B401" s="1" t="s">
        <v>1523</v>
      </c>
      <c r="C401" s="555">
        <f>mixers</f>
        <v>1</v>
      </c>
      <c r="D401" s="355" t="s">
        <v>606</v>
      </c>
      <c r="E401" s="549">
        <f>IF(C401=0,"NA",mix_size)</f>
        <v>0.33333333333333331</v>
      </c>
      <c r="F401" s="1" t="str">
        <f>IF(C401=0,"","hp")</f>
        <v>hp</v>
      </c>
      <c r="G401" s="549">
        <f>IF(C401=0,"NA",VLOOKUP(mix_size,port_mix_cost_cl,2))</f>
        <v>1</v>
      </c>
      <c r="H401" s="510" t="str">
        <f>IF(C401=0,"","hp")</f>
        <v>hp</v>
      </c>
      <c r="I401" s="686">
        <f>IF(C401=0,"NA",VLOOKUP(mix_size,port_mix_cost_cl,3))</f>
        <v>2673.5819322709162</v>
      </c>
      <c r="J401" s="356">
        <f>IF(C401=0,"--",IF(I401="contact vendor","--",C401*I401))</f>
        <v>2673.5819322709162</v>
      </c>
      <c r="K401" s="195">
        <f>IF(C401=0,"NA",VLOOKUP(mix_size,port_mix_cost_cl,IF(ss_cat="large",4,5)))</f>
        <v>20</v>
      </c>
      <c r="L401" s="354">
        <v>0</v>
      </c>
      <c r="M401" s="35" t="str">
        <f>$B$348&amp;" - "&amp;$B$400&amp;" - "&amp;B401</f>
        <v>Mixers - Coagulant Mix Tank Mixers - Portable</v>
      </c>
      <c r="N401" s="694">
        <v>3</v>
      </c>
      <c r="O401" s="694">
        <v>3</v>
      </c>
      <c r="P401" s="694">
        <v>3</v>
      </c>
      <c r="Q401" s="694">
        <v>3</v>
      </c>
      <c r="R401" s="694">
        <v>3</v>
      </c>
      <c r="S401" s="694">
        <v>3</v>
      </c>
      <c r="T401" s="694">
        <v>3</v>
      </c>
      <c r="U401" s="694">
        <v>3</v>
      </c>
      <c r="V401" s="694">
        <v>3</v>
      </c>
      <c r="W401" s="694">
        <f t="shared" si="54"/>
        <v>0</v>
      </c>
      <c r="X401">
        <f t="shared" si="55"/>
        <v>0</v>
      </c>
      <c r="Y401" s="1"/>
    </row>
    <row r="402" spans="1:25" s="773" customFormat="1" x14ac:dyDescent="0.2">
      <c r="A402" s="320" t="s">
        <v>4378</v>
      </c>
      <c r="B402" s="1" t="s">
        <v>1524</v>
      </c>
      <c r="C402" s="555">
        <f>mixers</f>
        <v>1</v>
      </c>
      <c r="D402" s="355" t="s">
        <v>606</v>
      </c>
      <c r="E402" s="549">
        <f>IF(C402=0,"NA",mix_size)</f>
        <v>0.33333333333333331</v>
      </c>
      <c r="F402" s="1" t="str">
        <f>IF(C402=0,"","hp")</f>
        <v>hp</v>
      </c>
      <c r="G402" s="549">
        <f>IF(C402=0,"NA",IF(curve=1,mix_size,VLOOKUP(mix_size,mount_mix_cost_cl,2)))</f>
        <v>0.33333333333333331</v>
      </c>
      <c r="H402" s="510" t="str">
        <f>IF(C402=0,"","hp")</f>
        <v>hp</v>
      </c>
      <c r="I402" s="686">
        <f>IF(C402=0,"NA",IF(curve=1,coag_mount_mix_eq,VLOOKUP(mix_size,mount_mix_cost_cl,3)))</f>
        <v>2737.4916359821514</v>
      </c>
      <c r="J402" s="356">
        <f>IF(C402=0,"--",IF(I402="contact vendor","--",C402*I402))</f>
        <v>2737.4916359821514</v>
      </c>
      <c r="K402" s="195">
        <f>IF(C402=0,"NA",VLOOKUP(mix_size,mount_mix_cost_cl,IF(ss_cat="large",4,5)))</f>
        <v>22</v>
      </c>
      <c r="L402" s="354">
        <v>1</v>
      </c>
      <c r="M402" s="35" t="str">
        <f>$B$348&amp;" - "&amp;$B$400&amp;" - "&amp;B402</f>
        <v>Mixers - Coagulant Mix Tank Mixers - Mounted</v>
      </c>
      <c r="N402" s="694">
        <v>1</v>
      </c>
      <c r="O402" s="694">
        <v>1</v>
      </c>
      <c r="P402" s="694">
        <v>1</v>
      </c>
      <c r="Q402" s="694">
        <v>1</v>
      </c>
      <c r="R402" s="694">
        <v>1</v>
      </c>
      <c r="S402" s="694">
        <v>1</v>
      </c>
      <c r="T402" s="694">
        <v>1</v>
      </c>
      <c r="U402" s="694">
        <v>1</v>
      </c>
      <c r="V402" s="694">
        <v>1</v>
      </c>
      <c r="W402" s="694">
        <f t="shared" si="54"/>
        <v>1</v>
      </c>
      <c r="X402">
        <f t="shared" si="55"/>
        <v>124.4314379991887</v>
      </c>
      <c r="Y402" s="1"/>
    </row>
    <row r="403" spans="1:25" s="870" customFormat="1" x14ac:dyDescent="0.2">
      <c r="A403" s="320" t="s">
        <v>4378</v>
      </c>
      <c r="B403" s="1" t="s">
        <v>2535</v>
      </c>
      <c r="C403" s="555">
        <f>mixers</f>
        <v>1</v>
      </c>
      <c r="D403" s="355" t="s">
        <v>606</v>
      </c>
      <c r="E403" s="549">
        <f>IF(C403=0,"NA",mix_size)</f>
        <v>0.33333333333333331</v>
      </c>
      <c r="F403" s="1" t="str">
        <f>IF(C403=0,"","hp")</f>
        <v>hp</v>
      </c>
      <c r="G403" s="549">
        <f>IF(C403=0,"NA",IF(curve=1,mix_size,VLOOKUP(mix_size,imp_mix_cost_cl,2)))</f>
        <v>0.33333333333333331</v>
      </c>
      <c r="H403" s="510" t="str">
        <f>IF(C403=0,"","hp")</f>
        <v>hp</v>
      </c>
      <c r="I403" s="686">
        <f>IF(C403=0,"NA",IF(curve=1,coag_imp_mix_eq,VLOOKUP(mix_size,imp_mix_cost_cl,3)))</f>
        <v>4361.0244979376666</v>
      </c>
      <c r="J403" s="356">
        <f>IF(C403=0,"--",IF(I403="contact vendor","--",C403*I403))</f>
        <v>4361.0244979376666</v>
      </c>
      <c r="K403" s="195">
        <f>IF(C403=0,"NA",VLOOKUP(mix_size,imp_mix_cost_cl,IF(ss_cat="large",4,5)))</f>
        <v>20</v>
      </c>
      <c r="L403" s="354">
        <v>0</v>
      </c>
      <c r="M403" s="35" t="str">
        <f>$B$348&amp;" - "&amp;$B$400&amp;" - "&amp;B403</f>
        <v>Mixers - Coagulant Mix Tank Mixers - Impeller</v>
      </c>
      <c r="N403" s="694">
        <v>2</v>
      </c>
      <c r="O403" s="694">
        <v>2</v>
      </c>
      <c r="P403" s="694">
        <v>2</v>
      </c>
      <c r="Q403" s="694">
        <v>2</v>
      </c>
      <c r="R403" s="694">
        <v>2</v>
      </c>
      <c r="S403" s="694">
        <v>2</v>
      </c>
      <c r="T403" s="694">
        <v>2</v>
      </c>
      <c r="U403" s="694">
        <v>2</v>
      </c>
      <c r="V403" s="694">
        <v>2</v>
      </c>
      <c r="W403" s="694">
        <f t="shared" si="54"/>
        <v>0</v>
      </c>
      <c r="X403">
        <f t="shared" si="55"/>
        <v>0</v>
      </c>
      <c r="Y403" s="30"/>
    </row>
    <row r="404" spans="1:25" x14ac:dyDescent="0.2">
      <c r="A404" s="360">
        <v>8</v>
      </c>
      <c r="B404" s="43" t="s">
        <v>846</v>
      </c>
      <c r="C404" s="553"/>
      <c r="D404" s="271"/>
      <c r="E404" s="369"/>
      <c r="F404" s="513"/>
      <c r="G404" s="563"/>
      <c r="H404" s="513"/>
      <c r="I404" s="877"/>
      <c r="J404" s="369"/>
      <c r="K404" s="369"/>
      <c r="L404" s="276"/>
      <c r="M404" s="5"/>
      <c r="N404" s="695"/>
      <c r="O404" s="695"/>
      <c r="P404" s="695"/>
      <c r="Q404" s="695"/>
      <c r="R404" s="695"/>
      <c r="S404" s="695"/>
      <c r="T404" s="695"/>
      <c r="U404" s="695"/>
      <c r="V404" s="695"/>
      <c r="W404" s="694">
        <f t="shared" si="54"/>
        <v>0</v>
      </c>
      <c r="X404">
        <f t="shared" si="55"/>
        <v>0</v>
      </c>
      <c r="Y404"/>
    </row>
    <row r="405" spans="1:25" s="870" customFormat="1" x14ac:dyDescent="0.2">
      <c r="A405" s="472">
        <v>8.1</v>
      </c>
      <c r="B405" s="550" t="str">
        <f>CHOOSE(res_transfer_method,"Slurry Pump System for Holding Tanks","Eductors for Holding Tanks","Manual holding tank solids transfer, no equipment needed")</f>
        <v>Eductors for Holding Tanks</v>
      </c>
      <c r="C405" s="555">
        <f>IF(res_holding="none",0,CHOOSE(res_transfer_method,res_slurry_pumps,res_eductors,0))</f>
        <v>1</v>
      </c>
      <c r="D405" s="355" t="s">
        <v>606</v>
      </c>
      <c r="E405" s="549">
        <f>IF(C405=0,"NA",CHOOSE(res_transfer_method,res_transfer_rate,res_eductor_size,"NA"))</f>
        <v>1.5</v>
      </c>
      <c r="F405" s="1" t="str">
        <f>IF(C405=0,"",CHOOSE(res_transfer_method,"lbs/hr","in. diam",""))</f>
        <v>in. diam</v>
      </c>
      <c r="G405" s="549">
        <f>IF(C405=0,"NA",CHOOSE(res_transfer_method,IF(curve=1,res_transfer_rate,VLOOKUP(res_transfer_rate,gac_slurry_cost_cl,2)),IF(curve=1,res_eductor_size,VLOOKUP(res_eductor_size,seductor_cost_cl,2)),"NA"))</f>
        <v>1.5</v>
      </c>
      <c r="H405" s="510" t="str">
        <f>IF(C405=0,"",CHOOSE(res_transfer_method,"lbs/hr","in. diam",""))</f>
        <v>in. diam</v>
      </c>
      <c r="I405" s="686">
        <f>IF(C405=0,"NA",CHOOSE(res_transfer_method,IF(curve=1,res_slurry_eq,VLOOKUP(res_transfer_rate,gac_slurry_cost_cl,3)),IF(curve=1,res_seductor_eq,VLOOKUP(res_eductor_size,seductor_cost_cl,3)),"NA"))</f>
        <v>1483.4664433435</v>
      </c>
      <c r="J405" s="356">
        <f>IF(C405=0,0,CHOOSE(res_transfer_method,IF(I405="contact vendor","--",C405*I405),IF(I405="contact vendor","--",C405*I405),0))</f>
        <v>1483.4664433435</v>
      </c>
      <c r="K405" s="195">
        <f>IF(C405=0,"NA",VLOOKUP(E405,CHOOSE(res_transfer_method,gac_slurry_cost_cl,seductor_cost_cl),IF(ss_cat="large",4,5)))</f>
        <v>40</v>
      </c>
      <c r="L405" s="354">
        <v>1</v>
      </c>
      <c r="M405" s="35" t="str">
        <f>$B$404&amp;" - "&amp;B405</f>
        <v>Solids Transfer - Eductors for Holding Tanks</v>
      </c>
      <c r="N405" s="694">
        <v>1</v>
      </c>
      <c r="O405" s="694">
        <v>1</v>
      </c>
      <c r="P405" s="694">
        <v>1</v>
      </c>
      <c r="Q405" s="694">
        <v>1</v>
      </c>
      <c r="R405" s="694">
        <v>1</v>
      </c>
      <c r="S405" s="694">
        <v>1</v>
      </c>
      <c r="T405" s="694">
        <v>1</v>
      </c>
      <c r="U405" s="694">
        <v>1</v>
      </c>
      <c r="V405" s="694">
        <v>1</v>
      </c>
      <c r="W405" s="694">
        <f t="shared" ref="W405:W461" si="64">IF(ISERROR(K405*L405),0,IF(K405&lt;1,0,L405))</f>
        <v>1</v>
      </c>
      <c r="X405">
        <f t="shared" ref="X405:X461" si="65">IF(W405,J405/K405,0)</f>
        <v>37.086661083587501</v>
      </c>
      <c r="Y405" s="30"/>
    </row>
    <row r="406" spans="1:25" x14ac:dyDescent="0.2">
      <c r="A406" s="360">
        <v>9</v>
      </c>
      <c r="B406" s="18" t="s">
        <v>3651</v>
      </c>
      <c r="C406" s="553"/>
      <c r="D406" s="271"/>
      <c r="E406" s="369"/>
      <c r="F406" s="513"/>
      <c r="G406" s="563"/>
      <c r="H406" s="513"/>
      <c r="I406" s="877"/>
      <c r="J406" s="369"/>
      <c r="K406" s="369"/>
      <c r="L406" s="276"/>
      <c r="M406" s="5"/>
      <c r="N406" s="694"/>
      <c r="O406" s="694"/>
      <c r="P406" s="694"/>
      <c r="Q406" s="694"/>
      <c r="R406" s="694"/>
      <c r="S406" s="694"/>
      <c r="T406" s="694"/>
      <c r="U406" s="694"/>
      <c r="V406" s="694"/>
      <c r="W406" s="694">
        <f t="shared" si="64"/>
        <v>0</v>
      </c>
      <c r="X406">
        <f t="shared" si="65"/>
        <v>0</v>
      </c>
      <c r="Y406"/>
    </row>
    <row r="407" spans="1:25" s="773" customFormat="1" x14ac:dyDescent="0.2">
      <c r="A407" s="473">
        <v>9.1</v>
      </c>
      <c r="B407" s="13" t="s">
        <v>4413</v>
      </c>
      <c r="C407" s="556"/>
      <c r="D407" s="180"/>
      <c r="E407" s="285"/>
      <c r="F407" s="512"/>
      <c r="G407" s="565"/>
      <c r="H407" s="512"/>
      <c r="I407" s="181"/>
      <c r="J407" s="285"/>
      <c r="K407" s="283"/>
      <c r="L407" s="343"/>
      <c r="M407" s="26"/>
      <c r="N407" s="694"/>
      <c r="O407" s="694"/>
      <c r="P407" s="694"/>
      <c r="Q407" s="694"/>
      <c r="R407" s="694"/>
      <c r="S407" s="694"/>
      <c r="T407" s="694"/>
      <c r="U407" s="694"/>
      <c r="V407" s="694"/>
      <c r="W407" s="694">
        <f t="shared" si="64"/>
        <v>0</v>
      </c>
      <c r="X407">
        <f t="shared" si="65"/>
        <v>0</v>
      </c>
      <c r="Y407" s="1"/>
    </row>
    <row r="408" spans="1:25" s="773" customFormat="1" x14ac:dyDescent="0.2">
      <c r="A408" s="320" t="s">
        <v>2268</v>
      </c>
      <c r="B408" s="1" t="s">
        <v>2661</v>
      </c>
      <c r="C408" s="560">
        <f>tot_fm_in</f>
        <v>1</v>
      </c>
      <c r="D408" s="351" t="s">
        <v>606</v>
      </c>
      <c r="E408" s="352">
        <f>in_meter_size</f>
        <v>3</v>
      </c>
      <c r="F408" s="510" t="s">
        <v>1430</v>
      </c>
      <c r="G408" s="567">
        <f>IF(curve=1,in_meter_size,VLOOKUP(in_meter_size,op_fm_cost_cl,2))</f>
        <v>3</v>
      </c>
      <c r="H408" s="510" t="s">
        <v>1430</v>
      </c>
      <c r="I408" s="357">
        <f>IF(curve=1,op_fm_eq_in,VLOOKUP(in_meter_size,op_fm_cost_cl,3))</f>
        <v>2203.6046942759999</v>
      </c>
      <c r="J408" s="353">
        <f>IF(I408="contact vendor","--",C408*I408)</f>
        <v>2203.6046942759999</v>
      </c>
      <c r="K408" s="352">
        <f>VLOOKUP(in_meter_size,op_fm_cost_cl,IF(ss_cat="large",4,5))</f>
        <v>14</v>
      </c>
      <c r="L408" s="354">
        <v>0</v>
      </c>
      <c r="M408" s="35" t="str">
        <f>$B$406&amp;" - "&amp;$B$407&amp;" - "&amp;B408</f>
        <v>Instrumentation - Flow Meters - Influent and treated water - Orifice Plate</v>
      </c>
      <c r="N408" s="694">
        <v>3</v>
      </c>
      <c r="O408" s="694">
        <v>4</v>
      </c>
      <c r="P408" s="694">
        <v>4</v>
      </c>
      <c r="Q408" s="694">
        <v>3</v>
      </c>
      <c r="R408" s="694">
        <v>4</v>
      </c>
      <c r="S408" s="694">
        <v>4</v>
      </c>
      <c r="T408" s="694">
        <v>3</v>
      </c>
      <c r="U408" s="694">
        <v>3</v>
      </c>
      <c r="V408" s="694">
        <v>4</v>
      </c>
      <c r="W408" s="694">
        <f t="shared" si="64"/>
        <v>0</v>
      </c>
      <c r="X408">
        <f t="shared" si="65"/>
        <v>0</v>
      </c>
      <c r="Y408" s="1"/>
    </row>
    <row r="409" spans="1:25" s="773" customFormat="1" x14ac:dyDescent="0.2">
      <c r="A409" s="320" t="s">
        <v>2268</v>
      </c>
      <c r="B409" s="1" t="s">
        <v>2662</v>
      </c>
      <c r="C409" s="560">
        <f>tot_fm_in</f>
        <v>1</v>
      </c>
      <c r="D409" s="351" t="s">
        <v>606</v>
      </c>
      <c r="E409" s="352">
        <f>in_meter_size</f>
        <v>3</v>
      </c>
      <c r="F409" s="510" t="s">
        <v>1430</v>
      </c>
      <c r="G409" s="567">
        <f>IF(curve=1,in_meter_size,VLOOKUP(in_meter_size,prop_fm_cost_cl,2))</f>
        <v>3</v>
      </c>
      <c r="H409" s="510" t="s">
        <v>1430</v>
      </c>
      <c r="I409" s="357">
        <f>IF(curve=1,prop_fm_eq_in,VLOOKUP(in_meter_size,prop_fm_cost_cl,3))</f>
        <v>3122.730677218</v>
      </c>
      <c r="J409" s="353">
        <f>IF(I409="contact vendor","--",C409*I409)</f>
        <v>3122.730677218</v>
      </c>
      <c r="K409" s="352">
        <f>VLOOKUP(in_meter_size,prop_fm_cost_cl,IF(ss_cat="large",4,5))</f>
        <v>14</v>
      </c>
      <c r="L409" s="354">
        <v>1</v>
      </c>
      <c r="M409" s="35" t="str">
        <f>$B$406&amp;" - "&amp;$B$407&amp;" - "&amp;B409</f>
        <v>Instrumentation - Flow Meters - Influent and treated water - Propeller</v>
      </c>
      <c r="N409" s="694">
        <v>1</v>
      </c>
      <c r="O409" s="694">
        <v>2</v>
      </c>
      <c r="P409" s="694">
        <v>3</v>
      </c>
      <c r="Q409" s="694">
        <v>1</v>
      </c>
      <c r="R409" s="694">
        <v>2</v>
      </c>
      <c r="S409" s="694">
        <v>3</v>
      </c>
      <c r="T409" s="694">
        <v>4</v>
      </c>
      <c r="U409" s="694">
        <v>4</v>
      </c>
      <c r="V409" s="694">
        <v>2</v>
      </c>
      <c r="W409" s="694">
        <f t="shared" si="64"/>
        <v>1</v>
      </c>
      <c r="X409">
        <f t="shared" si="65"/>
        <v>223.05219122985713</v>
      </c>
      <c r="Y409" s="1"/>
    </row>
    <row r="410" spans="1:25" s="773" customFormat="1" x14ac:dyDescent="0.2">
      <c r="A410" s="320" t="s">
        <v>2268</v>
      </c>
      <c r="B410" s="1" t="s">
        <v>2665</v>
      </c>
      <c r="C410" s="560">
        <f>tot_fm_in</f>
        <v>1</v>
      </c>
      <c r="D410" s="351" t="s">
        <v>606</v>
      </c>
      <c r="E410" s="352">
        <f>in_meter_size</f>
        <v>3</v>
      </c>
      <c r="F410" s="510" t="s">
        <v>1430</v>
      </c>
      <c r="G410" s="567">
        <f>IF(curve=1,in_meter_size,VLOOKUP(in_meter_size,ven_fm_cost_cl,2))</f>
        <v>3</v>
      </c>
      <c r="H410" s="510" t="s">
        <v>1430</v>
      </c>
      <c r="I410" s="357">
        <f>IF(curve=1,ven_fm_eq_in,VLOOKUP(in_meter_size,ven_fm_cost_cl,3))</f>
        <v>2480.700382304</v>
      </c>
      <c r="J410" s="353">
        <f>IF(I410="contact vendor","--",C410*I410)</f>
        <v>2480.700382304</v>
      </c>
      <c r="K410" s="352">
        <f>VLOOKUP(in_meter_size,ven_fm_cost_cl,IF(ss_cat="large",4,5))</f>
        <v>14</v>
      </c>
      <c r="L410" s="354">
        <v>0</v>
      </c>
      <c r="M410" s="35" t="str">
        <f>$B$406&amp;" - "&amp;$B$407&amp;" - "&amp;B410</f>
        <v>Instrumentation - Flow Meters - Influent and treated water - Venturi</v>
      </c>
      <c r="N410" s="694">
        <v>2</v>
      </c>
      <c r="O410" s="694">
        <v>1</v>
      </c>
      <c r="P410" s="694">
        <v>2</v>
      </c>
      <c r="Q410" s="694">
        <v>2</v>
      </c>
      <c r="R410" s="694">
        <v>1</v>
      </c>
      <c r="S410" s="694">
        <v>2</v>
      </c>
      <c r="T410" s="694">
        <v>1</v>
      </c>
      <c r="U410" s="694">
        <v>2</v>
      </c>
      <c r="V410" s="694">
        <v>3</v>
      </c>
      <c r="W410" s="694">
        <f t="shared" si="64"/>
        <v>0</v>
      </c>
      <c r="X410">
        <f t="shared" si="65"/>
        <v>0</v>
      </c>
      <c r="Y410" s="1"/>
    </row>
    <row r="411" spans="1:25" s="773" customFormat="1" x14ac:dyDescent="0.2">
      <c r="A411" s="320" t="s">
        <v>2268</v>
      </c>
      <c r="B411" s="1" t="s">
        <v>2668</v>
      </c>
      <c r="C411" s="560">
        <f>tot_fm_in</f>
        <v>1</v>
      </c>
      <c r="D411" s="351" t="s">
        <v>606</v>
      </c>
      <c r="E411" s="352">
        <f>in_meter_size</f>
        <v>3</v>
      </c>
      <c r="F411" s="510" t="s">
        <v>1430</v>
      </c>
      <c r="G411" s="567">
        <f>IF(curve=1,in_meter_size,VLOOKUP(in_meter_size,mag_fm_cost_cl,2))</f>
        <v>3</v>
      </c>
      <c r="H411" s="510" t="s">
        <v>1430</v>
      </c>
      <c r="I411" s="357">
        <f>IF(curve=1,mag_fm_eq_in,VLOOKUP(in_meter_size,mag_fm_cost_cl,3))</f>
        <v>4604.1410479860006</v>
      </c>
      <c r="J411" s="353">
        <f>IF(I411="contact vendor","--",C411*I411)</f>
        <v>4604.1410479860006</v>
      </c>
      <c r="K411" s="352">
        <f>VLOOKUP(in_meter_size,mag_fm_cost_cl,IF(ss_cat="large",4,5))</f>
        <v>14</v>
      </c>
      <c r="L411" s="354">
        <v>0</v>
      </c>
      <c r="M411" s="35" t="str">
        <f>$B$406&amp;" - "&amp;$B$407&amp;" - "&amp;B411</f>
        <v>Instrumentation - Flow Meters - Influent and treated water - Magnetic</v>
      </c>
      <c r="N411" s="694">
        <v>4</v>
      </c>
      <c r="O411" s="694">
        <v>3</v>
      </c>
      <c r="P411" s="694">
        <v>1</v>
      </c>
      <c r="Q411" s="694">
        <v>4</v>
      </c>
      <c r="R411" s="694">
        <v>3</v>
      </c>
      <c r="S411" s="694">
        <v>1</v>
      </c>
      <c r="T411" s="694">
        <v>2</v>
      </c>
      <c r="U411" s="694">
        <v>1</v>
      </c>
      <c r="V411" s="694">
        <v>1</v>
      </c>
      <c r="W411" s="694">
        <f t="shared" si="64"/>
        <v>0</v>
      </c>
      <c r="X411">
        <f t="shared" si="65"/>
        <v>0</v>
      </c>
      <c r="Y411" s="1"/>
    </row>
    <row r="412" spans="1:25" s="773" customFormat="1" x14ac:dyDescent="0.2">
      <c r="A412" s="430">
        <v>9.1999999999999993</v>
      </c>
      <c r="B412" s="13" t="s">
        <v>2671</v>
      </c>
      <c r="C412" s="556"/>
      <c r="D412" s="180"/>
      <c r="E412" s="285"/>
      <c r="F412" s="512"/>
      <c r="G412" s="565"/>
      <c r="H412" s="512"/>
      <c r="I412" s="181"/>
      <c r="J412" s="285"/>
      <c r="K412" s="283"/>
      <c r="L412" s="343"/>
      <c r="M412" s="26"/>
      <c r="N412" s="694"/>
      <c r="O412" s="694"/>
      <c r="P412" s="694"/>
      <c r="Q412" s="694"/>
      <c r="R412" s="694"/>
      <c r="S412" s="694"/>
      <c r="T412" s="694"/>
      <c r="U412" s="694"/>
      <c r="V412" s="694"/>
      <c r="W412" s="694">
        <f t="shared" si="64"/>
        <v>0</v>
      </c>
      <c r="X412">
        <f t="shared" si="65"/>
        <v>0</v>
      </c>
      <c r="Y412" s="1"/>
    </row>
    <row r="413" spans="1:25" s="773" customFormat="1" x14ac:dyDescent="0.2">
      <c r="A413" s="320" t="s">
        <v>2486</v>
      </c>
      <c r="B413" s="1" t="s">
        <v>2661</v>
      </c>
      <c r="C413" s="560">
        <f>tot_fm_proc</f>
        <v>0</v>
      </c>
      <c r="D413" s="351" t="s">
        <v>606</v>
      </c>
      <c r="E413" s="352">
        <f>proc_meter_size</f>
        <v>2</v>
      </c>
      <c r="F413" s="510" t="s">
        <v>1430</v>
      </c>
      <c r="G413" s="567">
        <f>IF(curve=1,proc_meter_size,VLOOKUP(proc_meter_size,op_fm_cost_cl,2))</f>
        <v>2</v>
      </c>
      <c r="H413" s="510" t="s">
        <v>1430</v>
      </c>
      <c r="I413" s="357">
        <f>IF(curve=1,op_fm_eq_proc,VLOOKUP(proc_meter_size,op_fm_cost_cl,3))</f>
        <v>1731.1669357430001</v>
      </c>
      <c r="J413" s="353">
        <f>IF(I413="contact vendor","--",C413*I413)</f>
        <v>0</v>
      </c>
      <c r="K413" s="352">
        <f>VLOOKUP(proc_meter_size,op_fm_cost_cl,IF(ss_cat="large",4,5))</f>
        <v>14</v>
      </c>
      <c r="L413" s="354"/>
      <c r="M413" s="35" t="str">
        <f>$B$406&amp;" - "&amp;$B$412&amp;" - "&amp;B413</f>
        <v>Instrumentation - Flow Meters - Process - Orifice Plate</v>
      </c>
      <c r="N413" s="694">
        <v>3</v>
      </c>
      <c r="O413" s="694">
        <v>4</v>
      </c>
      <c r="P413" s="694">
        <v>4</v>
      </c>
      <c r="Q413" s="694">
        <v>3</v>
      </c>
      <c r="R413" s="694">
        <v>4</v>
      </c>
      <c r="S413" s="694">
        <v>4</v>
      </c>
      <c r="T413" s="694">
        <v>3</v>
      </c>
      <c r="U413" s="694">
        <v>3</v>
      </c>
      <c r="V413" s="694">
        <v>4</v>
      </c>
      <c r="W413" s="694">
        <f t="shared" si="64"/>
        <v>0</v>
      </c>
      <c r="X413">
        <f t="shared" si="65"/>
        <v>0</v>
      </c>
      <c r="Y413" s="1"/>
    </row>
    <row r="414" spans="1:25" s="773" customFormat="1" x14ac:dyDescent="0.2">
      <c r="A414" s="320" t="s">
        <v>2486</v>
      </c>
      <c r="B414" s="1" t="s">
        <v>2662</v>
      </c>
      <c r="C414" s="560">
        <f>tot_fm_proc</f>
        <v>0</v>
      </c>
      <c r="D414" s="351" t="s">
        <v>606</v>
      </c>
      <c r="E414" s="352">
        <f>proc_meter_size</f>
        <v>2</v>
      </c>
      <c r="F414" s="510" t="s">
        <v>1430</v>
      </c>
      <c r="G414" s="567">
        <f>IF(curve=1,proc_meter_size,VLOOKUP(proc_meter_size,prop_fm_cost_cl,2))</f>
        <v>2</v>
      </c>
      <c r="H414" s="510" t="s">
        <v>1430</v>
      </c>
      <c r="I414" s="357">
        <f>IF(curve=1,prop_fm_eq_proc,VLOOKUP(proc_meter_size,prop_fm_cost_cl,3))</f>
        <v>2615.4903907489997</v>
      </c>
      <c r="J414" s="353">
        <f>IF(I414="contact vendor","--",C414*I414)</f>
        <v>0</v>
      </c>
      <c r="K414" s="352">
        <f>VLOOKUP(proc_meter_size,prop_fm_cost_cl,IF(ss_cat="large",4,5))</f>
        <v>14</v>
      </c>
      <c r="L414" s="354"/>
      <c r="M414" s="35" t="str">
        <f>$B$406&amp;" - "&amp;$B$412&amp;" - "&amp;B414</f>
        <v>Instrumentation - Flow Meters - Process - Propeller</v>
      </c>
      <c r="N414" s="694">
        <v>1</v>
      </c>
      <c r="O414" s="694">
        <v>2</v>
      </c>
      <c r="P414" s="694">
        <v>3</v>
      </c>
      <c r="Q414" s="694">
        <v>1</v>
      </c>
      <c r="R414" s="694">
        <v>2</v>
      </c>
      <c r="S414" s="694">
        <v>3</v>
      </c>
      <c r="T414" s="694">
        <v>4</v>
      </c>
      <c r="U414" s="694">
        <v>4</v>
      </c>
      <c r="V414" s="694">
        <v>2</v>
      </c>
      <c r="W414" s="694">
        <f t="shared" si="64"/>
        <v>0</v>
      </c>
      <c r="X414">
        <f t="shared" si="65"/>
        <v>0</v>
      </c>
      <c r="Y414" s="1"/>
    </row>
    <row r="415" spans="1:25" s="773" customFormat="1" x14ac:dyDescent="0.2">
      <c r="A415" s="320" t="s">
        <v>2486</v>
      </c>
      <c r="B415" s="1" t="s">
        <v>2665</v>
      </c>
      <c r="C415" s="560">
        <f>tot_fm_proc</f>
        <v>0</v>
      </c>
      <c r="D415" s="351" t="s">
        <v>606</v>
      </c>
      <c r="E415" s="352">
        <f>proc_meter_size</f>
        <v>2</v>
      </c>
      <c r="F415" s="510" t="s">
        <v>1430</v>
      </c>
      <c r="G415" s="567">
        <f>IF(curve=1,proc_meter_size,VLOOKUP(proc_meter_size,ven_fm_cost_cl,2))</f>
        <v>2</v>
      </c>
      <c r="H415" s="510" t="s">
        <v>1430</v>
      </c>
      <c r="I415" s="357">
        <f>IF(curve=1,ven_fm_eq_proc,VLOOKUP(proc_meter_size,ven_fm_cost_cl,3))</f>
        <v>2310.0880305820001</v>
      </c>
      <c r="J415" s="353">
        <f>IF(I415="contact vendor","--",C415*I415)</f>
        <v>0</v>
      </c>
      <c r="K415" s="352">
        <f>VLOOKUP(proc_meter_size,ven_fm_cost_cl,IF(ss_cat="large",4,5))</f>
        <v>14</v>
      </c>
      <c r="L415" s="354"/>
      <c r="M415" s="35" t="str">
        <f>$B$406&amp;" - "&amp;$B$412&amp;" - "&amp;B415</f>
        <v>Instrumentation - Flow Meters - Process - Venturi</v>
      </c>
      <c r="N415" s="694">
        <v>2</v>
      </c>
      <c r="O415" s="694">
        <v>1</v>
      </c>
      <c r="P415" s="694">
        <v>2</v>
      </c>
      <c r="Q415" s="694">
        <v>2</v>
      </c>
      <c r="R415" s="694">
        <v>1</v>
      </c>
      <c r="S415" s="694">
        <v>2</v>
      </c>
      <c r="T415" s="694">
        <v>1</v>
      </c>
      <c r="U415" s="694">
        <v>2</v>
      </c>
      <c r="V415" s="694">
        <v>3</v>
      </c>
      <c r="W415" s="694">
        <f t="shared" si="64"/>
        <v>0</v>
      </c>
      <c r="X415">
        <f t="shared" si="65"/>
        <v>0</v>
      </c>
      <c r="Y415" s="1"/>
    </row>
    <row r="416" spans="1:25" s="773" customFormat="1" x14ac:dyDescent="0.2">
      <c r="A416" s="320" t="s">
        <v>2486</v>
      </c>
      <c r="B416" s="1" t="s">
        <v>2668</v>
      </c>
      <c r="C416" s="560">
        <f>tot_fm_proc</f>
        <v>0</v>
      </c>
      <c r="D416" s="351" t="s">
        <v>606</v>
      </c>
      <c r="E416" s="352">
        <f>proc_meter_size</f>
        <v>2</v>
      </c>
      <c r="F416" s="510" t="s">
        <v>1430</v>
      </c>
      <c r="G416" s="567">
        <f>IF(curve=1,proc_meter_size,VLOOKUP(proc_meter_size,mag_fm_cost_cl,2))</f>
        <v>2</v>
      </c>
      <c r="H416" s="510" t="s">
        <v>1430</v>
      </c>
      <c r="I416" s="357">
        <f>IF(curve=1,mag_fm_eq_proc,VLOOKUP(proc_meter_size,mag_fm_cost_cl,3))</f>
        <v>4095.6492016890002</v>
      </c>
      <c r="J416" s="353">
        <f>IF(I416="contact vendor","--",C416*I416)</f>
        <v>0</v>
      </c>
      <c r="K416" s="352">
        <f>VLOOKUP(proc_meter_size,mag_fm_cost_cl,IF(ss_cat="large",4,5))</f>
        <v>14</v>
      </c>
      <c r="L416" s="354"/>
      <c r="M416" s="35" t="str">
        <f>$B$406&amp;" - "&amp;$B$412&amp;" - "&amp;B416</f>
        <v>Instrumentation - Flow Meters - Process - Magnetic</v>
      </c>
      <c r="N416" s="694">
        <v>4</v>
      </c>
      <c r="O416" s="694">
        <v>3</v>
      </c>
      <c r="P416" s="694">
        <v>1</v>
      </c>
      <c r="Q416" s="694">
        <v>4</v>
      </c>
      <c r="R416" s="694">
        <v>3</v>
      </c>
      <c r="S416" s="694">
        <v>1</v>
      </c>
      <c r="T416" s="694">
        <v>2</v>
      </c>
      <c r="U416" s="694">
        <v>1</v>
      </c>
      <c r="V416" s="694">
        <v>1</v>
      </c>
      <c r="W416" s="694">
        <f t="shared" si="64"/>
        <v>0</v>
      </c>
      <c r="X416">
        <f t="shared" si="65"/>
        <v>0</v>
      </c>
      <c r="Y416" s="1"/>
    </row>
    <row r="417" spans="1:25" s="773" customFormat="1" x14ac:dyDescent="0.2">
      <c r="A417" s="430">
        <v>9.3000000000000007</v>
      </c>
      <c r="B417" s="13" t="s">
        <v>2675</v>
      </c>
      <c r="C417" s="556"/>
      <c r="D417" s="180"/>
      <c r="E417" s="285"/>
      <c r="F417" s="512"/>
      <c r="G417" s="565"/>
      <c r="H417" s="512"/>
      <c r="I417" s="181"/>
      <c r="J417" s="285"/>
      <c r="K417" s="283"/>
      <c r="L417" s="343"/>
      <c r="M417" s="26"/>
      <c r="N417" s="694"/>
      <c r="O417" s="694"/>
      <c r="P417" s="694"/>
      <c r="Q417" s="694"/>
      <c r="R417" s="694"/>
      <c r="S417" s="694"/>
      <c r="T417" s="694"/>
      <c r="U417" s="694"/>
      <c r="V417" s="694"/>
      <c r="W417" s="694">
        <f t="shared" si="64"/>
        <v>0</v>
      </c>
      <c r="X417">
        <f t="shared" si="65"/>
        <v>0</v>
      </c>
      <c r="Y417" s="1"/>
    </row>
    <row r="418" spans="1:25" s="773" customFormat="1" x14ac:dyDescent="0.2">
      <c r="A418" s="320" t="s">
        <v>2269</v>
      </c>
      <c r="B418" s="1" t="s">
        <v>2661</v>
      </c>
      <c r="C418" s="560">
        <f>tot_fm_back</f>
        <v>1</v>
      </c>
      <c r="D418" s="351" t="s">
        <v>606</v>
      </c>
      <c r="E418" s="352">
        <f>back_meter_size</f>
        <v>4</v>
      </c>
      <c r="F418" s="510" t="s">
        <v>1430</v>
      </c>
      <c r="G418" s="567">
        <f>IF(curve=1,back_meter_size,VLOOKUP(back_meter_size,op_fm_cost_cl,2))</f>
        <v>4</v>
      </c>
      <c r="H418" s="510" t="s">
        <v>1430</v>
      </c>
      <c r="I418" s="357">
        <f>IF(curve=1,op_fm_eq_back,VLOOKUP(back_meter_size,op_fm_cost_cl,3))</f>
        <v>2640.9899335509999</v>
      </c>
      <c r="J418" s="353">
        <f>IF(I418="contact vendor","--",C418*I418)</f>
        <v>2640.9899335509999</v>
      </c>
      <c r="K418" s="352">
        <f>VLOOKUP(back_meter_size,op_fm_cost_cl,IF(ss_cat="large",4,5))</f>
        <v>14</v>
      </c>
      <c r="L418" s="354">
        <v>0</v>
      </c>
      <c r="M418" s="35" t="str">
        <f>$B$406&amp;" - "&amp;$B$417&amp;" - "&amp;B418</f>
        <v>Instrumentation - Flow Meters - Backwash - Orifice Plate</v>
      </c>
      <c r="N418" s="694">
        <v>3</v>
      </c>
      <c r="O418" s="694">
        <v>4</v>
      </c>
      <c r="P418" s="694">
        <v>4</v>
      </c>
      <c r="Q418" s="694">
        <v>3</v>
      </c>
      <c r="R418" s="694">
        <v>4</v>
      </c>
      <c r="S418" s="694">
        <v>4</v>
      </c>
      <c r="T418" s="694">
        <v>3</v>
      </c>
      <c r="U418" s="694">
        <v>3</v>
      </c>
      <c r="V418" s="694">
        <v>4</v>
      </c>
      <c r="W418" s="694">
        <f t="shared" si="64"/>
        <v>0</v>
      </c>
      <c r="X418">
        <f t="shared" si="65"/>
        <v>0</v>
      </c>
      <c r="Y418" s="1"/>
    </row>
    <row r="419" spans="1:25" s="773" customFormat="1" x14ac:dyDescent="0.2">
      <c r="A419" s="320" t="s">
        <v>2269</v>
      </c>
      <c r="B419" s="1" t="s">
        <v>2662</v>
      </c>
      <c r="C419" s="560">
        <f>tot_fm_back</f>
        <v>1</v>
      </c>
      <c r="D419" s="351" t="s">
        <v>606</v>
      </c>
      <c r="E419" s="352">
        <f>back_meter_size</f>
        <v>4</v>
      </c>
      <c r="F419" s="510" t="s">
        <v>1430</v>
      </c>
      <c r="G419" s="567">
        <f>IF(curve=1,back_meter_size,VLOOKUP(back_meter_size,prop_fm_cost_cl,2))</f>
        <v>4</v>
      </c>
      <c r="H419" s="510" t="s">
        <v>1430</v>
      </c>
      <c r="I419" s="357">
        <f>IF(curve=1,prop_fm_eq_back,VLOOKUP(back_meter_size,prop_fm_cost_cl,3))</f>
        <v>3600.3763511109996</v>
      </c>
      <c r="J419" s="353">
        <f>IF(I419="contact vendor","--",C419*I419)</f>
        <v>3600.3763511109996</v>
      </c>
      <c r="K419" s="352">
        <f>VLOOKUP(back_meter_size,prop_fm_cost_cl,IF(ss_cat="large",4,5))</f>
        <v>14</v>
      </c>
      <c r="L419" s="354">
        <v>1</v>
      </c>
      <c r="M419" s="35" t="str">
        <f>$B$406&amp;" - "&amp;$B$417&amp;" - "&amp;B419</f>
        <v>Instrumentation - Flow Meters - Backwash - Propeller</v>
      </c>
      <c r="N419" s="694">
        <v>1</v>
      </c>
      <c r="O419" s="694">
        <v>2</v>
      </c>
      <c r="P419" s="694">
        <v>3</v>
      </c>
      <c r="Q419" s="694">
        <v>1</v>
      </c>
      <c r="R419" s="694">
        <v>2</v>
      </c>
      <c r="S419" s="694">
        <v>3</v>
      </c>
      <c r="T419" s="694">
        <v>4</v>
      </c>
      <c r="U419" s="694">
        <v>4</v>
      </c>
      <c r="V419" s="694">
        <v>2</v>
      </c>
      <c r="W419" s="694">
        <f t="shared" si="64"/>
        <v>1</v>
      </c>
      <c r="X419">
        <f t="shared" si="65"/>
        <v>257.16973936507139</v>
      </c>
      <c r="Y419" s="1"/>
    </row>
    <row r="420" spans="1:25" s="773" customFormat="1" x14ac:dyDescent="0.2">
      <c r="A420" s="320" t="s">
        <v>2269</v>
      </c>
      <c r="B420" s="1" t="s">
        <v>2665</v>
      </c>
      <c r="C420" s="560">
        <f>tot_fm_back</f>
        <v>1</v>
      </c>
      <c r="D420" s="351" t="s">
        <v>606</v>
      </c>
      <c r="E420" s="352">
        <f>back_meter_size</f>
        <v>4</v>
      </c>
      <c r="F420" s="510" t="s">
        <v>1430</v>
      </c>
      <c r="G420" s="567">
        <f>IF(curve=1,back_meter_size,VLOOKUP(back_meter_size,ven_fm_cost_cl,2))</f>
        <v>4</v>
      </c>
      <c r="H420" s="510" t="s">
        <v>1430</v>
      </c>
      <c r="I420" s="357">
        <f>IF(curve=1,ven_fm_eq_back,VLOOKUP(back_meter_size,ven_fm_cost_cl,3))</f>
        <v>2664.4617081420001</v>
      </c>
      <c r="J420" s="353">
        <f>IF(I420="contact vendor","--",C420*I420)</f>
        <v>2664.4617081420001</v>
      </c>
      <c r="K420" s="352">
        <f>VLOOKUP(back_meter_size,ven_fm_cost_cl,IF(ss_cat="large",4,5))</f>
        <v>14</v>
      </c>
      <c r="L420" s="354">
        <v>0</v>
      </c>
      <c r="M420" s="35" t="str">
        <f>$B$406&amp;" - "&amp;$B$417&amp;" - "&amp;B420</f>
        <v>Instrumentation - Flow Meters - Backwash - Venturi</v>
      </c>
      <c r="N420" s="694">
        <v>2</v>
      </c>
      <c r="O420" s="694">
        <v>1</v>
      </c>
      <c r="P420" s="694">
        <v>2</v>
      </c>
      <c r="Q420" s="694">
        <v>2</v>
      </c>
      <c r="R420" s="694">
        <v>1</v>
      </c>
      <c r="S420" s="694">
        <v>2</v>
      </c>
      <c r="T420" s="694">
        <v>1</v>
      </c>
      <c r="U420" s="694">
        <v>2</v>
      </c>
      <c r="V420" s="694">
        <v>3</v>
      </c>
      <c r="W420" s="694">
        <f t="shared" si="64"/>
        <v>0</v>
      </c>
      <c r="X420">
        <f t="shared" si="65"/>
        <v>0</v>
      </c>
      <c r="Y420" s="1"/>
    </row>
    <row r="421" spans="1:25" s="773" customFormat="1" x14ac:dyDescent="0.2">
      <c r="A421" s="320" t="s">
        <v>2269</v>
      </c>
      <c r="B421" s="1" t="s">
        <v>2668</v>
      </c>
      <c r="C421" s="560">
        <f>tot_fm_back</f>
        <v>1</v>
      </c>
      <c r="D421" s="351" t="s">
        <v>606</v>
      </c>
      <c r="E421" s="352">
        <f>back_meter_size</f>
        <v>4</v>
      </c>
      <c r="F421" s="510" t="s">
        <v>1430</v>
      </c>
      <c r="G421" s="567">
        <f>IF(curve=1,back_meter_size,VLOOKUP(back_meter_size,mag_fm_cost_cl,2))</f>
        <v>4</v>
      </c>
      <c r="H421" s="510" t="s">
        <v>1430</v>
      </c>
      <c r="I421" s="357">
        <f>IF(curve=1,mag_fm_eq_back,VLOOKUP(back_meter_size,mag_fm_cost_cl,3))</f>
        <v>5121.6611304090002</v>
      </c>
      <c r="J421" s="353">
        <f>IF(I421="contact vendor","--",C421*I421)</f>
        <v>5121.6611304090002</v>
      </c>
      <c r="K421" s="352">
        <f>VLOOKUP(back_meter_size,mag_fm_cost_cl,IF(ss_cat="large",4,5))</f>
        <v>14</v>
      </c>
      <c r="L421" s="354">
        <v>0</v>
      </c>
      <c r="M421" s="35" t="str">
        <f>$B$406&amp;" - "&amp;$B$417&amp;" - "&amp;B421</f>
        <v>Instrumentation - Flow Meters - Backwash - Magnetic</v>
      </c>
      <c r="N421" s="694">
        <v>4</v>
      </c>
      <c r="O421" s="694">
        <v>3</v>
      </c>
      <c r="P421" s="694">
        <v>1</v>
      </c>
      <c r="Q421" s="694">
        <v>4</v>
      </c>
      <c r="R421" s="694">
        <v>3</v>
      </c>
      <c r="S421" s="694">
        <v>1</v>
      </c>
      <c r="T421" s="694">
        <v>2</v>
      </c>
      <c r="U421" s="694">
        <v>1</v>
      </c>
      <c r="V421" s="694">
        <v>1</v>
      </c>
      <c r="W421" s="694">
        <f t="shared" si="64"/>
        <v>0</v>
      </c>
      <c r="X421">
        <f t="shared" si="65"/>
        <v>0</v>
      </c>
      <c r="Y421" s="1"/>
    </row>
    <row r="422" spans="1:25" s="773" customFormat="1" x14ac:dyDescent="0.2">
      <c r="A422" s="430">
        <v>9.4</v>
      </c>
      <c r="B422" s="13" t="s">
        <v>2679</v>
      </c>
      <c r="C422" s="556"/>
      <c r="D422" s="180"/>
      <c r="E422" s="285"/>
      <c r="F422" s="512"/>
      <c r="G422" s="565"/>
      <c r="H422" s="512"/>
      <c r="I422" s="181"/>
      <c r="J422" s="285"/>
      <c r="K422" s="283"/>
      <c r="L422" s="343"/>
      <c r="M422" s="26"/>
      <c r="N422" s="694"/>
      <c r="O422" s="694"/>
      <c r="P422" s="694"/>
      <c r="Q422" s="694"/>
      <c r="R422" s="694"/>
      <c r="S422" s="694"/>
      <c r="T422" s="694"/>
      <c r="U422" s="694"/>
      <c r="V422" s="694"/>
      <c r="W422" s="694">
        <f t="shared" si="64"/>
        <v>0</v>
      </c>
      <c r="X422">
        <f t="shared" si="65"/>
        <v>0</v>
      </c>
      <c r="Y422" s="1"/>
    </row>
    <row r="423" spans="1:25" s="773" customFormat="1" x14ac:dyDescent="0.2">
      <c r="A423" s="320" t="s">
        <v>2270</v>
      </c>
      <c r="B423" s="1" t="s">
        <v>2661</v>
      </c>
      <c r="C423" s="560">
        <f>tot_fm_res</f>
        <v>1</v>
      </c>
      <c r="D423" s="351" t="s">
        <v>606</v>
      </c>
      <c r="E423" s="352">
        <f>res_meter_size</f>
        <v>1</v>
      </c>
      <c r="F423" s="510" t="s">
        <v>1430</v>
      </c>
      <c r="G423" s="567">
        <f>IF(curve=1,res_meter_size,VLOOKUP(res_meter_size,op_fm_cost_cl,2))</f>
        <v>1</v>
      </c>
      <c r="H423" s="510" t="s">
        <v>1430</v>
      </c>
      <c r="I423" s="357">
        <f>IF(curve=1,op_fm_eq_res,VLOOKUP(res_meter_size,op_fm_cost_cl,3))</f>
        <v>1221.9334851459998</v>
      </c>
      <c r="J423" s="353">
        <f>IF(I423="contact vendor","--",C423*I423)</f>
        <v>1221.9334851459998</v>
      </c>
      <c r="K423" s="352">
        <f>VLOOKUP(res_meter_size,op_fm_cost_cl,IF(ss_cat="large",4,5))</f>
        <v>14</v>
      </c>
      <c r="L423" s="354">
        <v>0</v>
      </c>
      <c r="M423" s="35" t="str">
        <f>$B$406&amp;" - "&amp;$B$422&amp;" - "&amp;B423</f>
        <v>Instrumentation - Flow Meters - Residuals - Orifice Plate</v>
      </c>
      <c r="N423" s="694">
        <v>3</v>
      </c>
      <c r="O423" s="694">
        <v>4</v>
      </c>
      <c r="P423" s="694">
        <v>4</v>
      </c>
      <c r="Q423" s="694">
        <v>3</v>
      </c>
      <c r="R423" s="694">
        <v>4</v>
      </c>
      <c r="S423" s="694">
        <v>4</v>
      </c>
      <c r="T423" s="694">
        <v>3</v>
      </c>
      <c r="U423" s="694">
        <v>3</v>
      </c>
      <c r="V423" s="694">
        <v>4</v>
      </c>
      <c r="W423" s="694">
        <f t="shared" si="64"/>
        <v>0</v>
      </c>
      <c r="X423">
        <f t="shared" si="65"/>
        <v>0</v>
      </c>
      <c r="Y423" s="1"/>
    </row>
    <row r="424" spans="1:25" s="773" customFormat="1" x14ac:dyDescent="0.2">
      <c r="A424" s="320" t="s">
        <v>2270</v>
      </c>
      <c r="B424" s="1" t="s">
        <v>2662</v>
      </c>
      <c r="C424" s="560">
        <f>tot_fm_res</f>
        <v>1</v>
      </c>
      <c r="D424" s="351" t="s">
        <v>606</v>
      </c>
      <c r="E424" s="352">
        <f>res_meter_size</f>
        <v>1</v>
      </c>
      <c r="F424" s="510" t="s">
        <v>1430</v>
      </c>
      <c r="G424" s="567">
        <f>IF(curve=1,res_meter_size,VLOOKUP(res_meter_size,prop_fm_cost_cl,2))</f>
        <v>1</v>
      </c>
      <c r="H424" s="510" t="s">
        <v>1430</v>
      </c>
      <c r="I424" s="357">
        <f>IF(curve=1,prop_fm_eq_res,VLOOKUP(res_meter_size,prop_fm_cost_cl,3))</f>
        <v>2075.7354454659999</v>
      </c>
      <c r="J424" s="353">
        <f>IF(I424="contact vendor","--",C424*I424)</f>
        <v>2075.7354454659999</v>
      </c>
      <c r="K424" s="352">
        <f>VLOOKUP(res_meter_size,prop_fm_cost_cl,IF(ss_cat="large",4,5))</f>
        <v>14</v>
      </c>
      <c r="L424" s="354">
        <v>1</v>
      </c>
      <c r="M424" s="35" t="str">
        <f>$B$406&amp;" - "&amp;$B$422&amp;" - "&amp;B424</f>
        <v>Instrumentation - Flow Meters - Residuals - Propeller</v>
      </c>
      <c r="N424" s="694">
        <v>1</v>
      </c>
      <c r="O424" s="694">
        <v>2</v>
      </c>
      <c r="P424" s="694">
        <v>3</v>
      </c>
      <c r="Q424" s="694">
        <v>1</v>
      </c>
      <c r="R424" s="694">
        <v>2</v>
      </c>
      <c r="S424" s="694">
        <v>3</v>
      </c>
      <c r="T424" s="694">
        <v>4</v>
      </c>
      <c r="U424" s="694">
        <v>4</v>
      </c>
      <c r="V424" s="694">
        <v>2</v>
      </c>
      <c r="W424" s="694">
        <f t="shared" si="64"/>
        <v>1</v>
      </c>
      <c r="X424">
        <f t="shared" si="65"/>
        <v>148.26681753328572</v>
      </c>
      <c r="Y424" s="1"/>
    </row>
    <row r="425" spans="1:25" s="773" customFormat="1" x14ac:dyDescent="0.2">
      <c r="A425" s="320" t="s">
        <v>2270</v>
      </c>
      <c r="B425" s="1" t="s">
        <v>2665</v>
      </c>
      <c r="C425" s="560">
        <f>tot_fm_res</f>
        <v>1</v>
      </c>
      <c r="D425" s="351" t="s">
        <v>606</v>
      </c>
      <c r="E425" s="352">
        <f>res_meter_size</f>
        <v>1</v>
      </c>
      <c r="F425" s="510" t="s">
        <v>1430</v>
      </c>
      <c r="G425" s="567">
        <f>IF(curve=1,res_meter_size,VLOOKUP(res_meter_size,ven_fm_cost_cl,2))</f>
        <v>1</v>
      </c>
      <c r="H425" s="510" t="s">
        <v>1430</v>
      </c>
      <c r="I425" s="357">
        <f>IF(curve=1,ven_fm_eq_res,VLOOKUP(res_meter_size,ven_fm_cost_cl,3))</f>
        <v>2153.162607798</v>
      </c>
      <c r="J425" s="353">
        <f>IF(I425="contact vendor","--",C425*I425)</f>
        <v>2153.162607798</v>
      </c>
      <c r="K425" s="352">
        <f>VLOOKUP(res_meter_size,ven_fm_cost_cl,IF(ss_cat="large",4,5))</f>
        <v>14</v>
      </c>
      <c r="L425" s="354">
        <v>0</v>
      </c>
      <c r="M425" s="35" t="str">
        <f>$B$406&amp;" - "&amp;$B$422&amp;" - "&amp;B425</f>
        <v>Instrumentation - Flow Meters - Residuals - Venturi</v>
      </c>
      <c r="N425" s="694">
        <v>2</v>
      </c>
      <c r="O425" s="694">
        <v>1</v>
      </c>
      <c r="P425" s="694">
        <v>2</v>
      </c>
      <c r="Q425" s="694">
        <v>2</v>
      </c>
      <c r="R425" s="694">
        <v>1</v>
      </c>
      <c r="S425" s="694">
        <v>2</v>
      </c>
      <c r="T425" s="694">
        <v>1</v>
      </c>
      <c r="U425" s="694">
        <v>2</v>
      </c>
      <c r="V425" s="694">
        <v>3</v>
      </c>
      <c r="W425" s="694">
        <f t="shared" si="64"/>
        <v>0</v>
      </c>
      <c r="X425">
        <f t="shared" si="65"/>
        <v>0</v>
      </c>
      <c r="Y425" s="1"/>
    </row>
    <row r="426" spans="1:25" s="773" customFormat="1" x14ac:dyDescent="0.2">
      <c r="A426" s="320" t="s">
        <v>2270</v>
      </c>
      <c r="B426" s="1" t="s">
        <v>2668</v>
      </c>
      <c r="C426" s="560">
        <f>tot_fm_res</f>
        <v>1</v>
      </c>
      <c r="D426" s="351" t="s">
        <v>606</v>
      </c>
      <c r="E426" s="352">
        <f>res_meter_size</f>
        <v>1</v>
      </c>
      <c r="F426" s="510" t="s">
        <v>1430</v>
      </c>
      <c r="G426" s="567">
        <f>IF(curve=1,res_meter_size,VLOOKUP(res_meter_size,mag_fm_cost_cl,2))</f>
        <v>1</v>
      </c>
      <c r="H426" s="510" t="s">
        <v>1430</v>
      </c>
      <c r="I426" s="357">
        <f>IF(curve=1,mag_fm_eq_res,VLOOKUP(res_meter_size,mag_fm_cost_cl,3))</f>
        <v>3595.6610908799998</v>
      </c>
      <c r="J426" s="353">
        <f>IF(I426="contact vendor","--",C426*I426)</f>
        <v>3595.6610908799998</v>
      </c>
      <c r="K426" s="352">
        <f>VLOOKUP(res_meter_size,mag_fm_cost_cl,IF(ss_cat="large",4,5))</f>
        <v>14</v>
      </c>
      <c r="L426" s="354">
        <v>0</v>
      </c>
      <c r="M426" s="35" t="str">
        <f>$B$406&amp;" - "&amp;$B$422&amp;" - "&amp;B426</f>
        <v>Instrumentation - Flow Meters - Residuals - Magnetic</v>
      </c>
      <c r="N426" s="694">
        <v>4</v>
      </c>
      <c r="O426" s="694">
        <v>3</v>
      </c>
      <c r="P426" s="694">
        <v>1</v>
      </c>
      <c r="Q426" s="694">
        <v>4</v>
      </c>
      <c r="R426" s="694">
        <v>3</v>
      </c>
      <c r="S426" s="694">
        <v>1</v>
      </c>
      <c r="T426" s="694">
        <v>2</v>
      </c>
      <c r="U426" s="694">
        <v>1</v>
      </c>
      <c r="V426" s="694">
        <v>1</v>
      </c>
      <c r="W426" s="694">
        <f t="shared" si="64"/>
        <v>0</v>
      </c>
      <c r="X426">
        <f t="shared" si="65"/>
        <v>0</v>
      </c>
      <c r="Y426" s="1"/>
    </row>
    <row r="427" spans="1:25" s="773" customFormat="1" x14ac:dyDescent="0.2">
      <c r="A427" s="472">
        <v>9.5</v>
      </c>
      <c r="B427" s="550" t="s">
        <v>2553</v>
      </c>
      <c r="C427" s="555">
        <f>tot_level_switch</f>
        <v>0</v>
      </c>
      <c r="D427" s="355" t="s">
        <v>606</v>
      </c>
      <c r="E427" s="549" t="s">
        <v>590</v>
      </c>
      <c r="F427" s="510"/>
      <c r="G427" s="549" t="s">
        <v>590</v>
      </c>
      <c r="H427" s="510"/>
      <c r="I427" s="686" t="str">
        <f>IF(C427=0,"NA",VLOOKUP(0,alarm_cost_cl,3))</f>
        <v>NA</v>
      </c>
      <c r="J427" s="356" t="str">
        <f>IF(OR(I427="contact vendor",I427="NA"),"--",C427*I427)</f>
        <v>--</v>
      </c>
      <c r="K427" s="195" t="str">
        <f>IF(C427=0,"NA",VLOOKUP(0,alarm_cost_cl,IF(ss_cat="large",4,5)))</f>
        <v>NA</v>
      </c>
      <c r="L427" s="354"/>
      <c r="M427" s="35" t="str">
        <f>$B$406&amp;" - "&amp;B427</f>
        <v>Instrumentation - Level Switch/Alarm (for vessels)</v>
      </c>
      <c r="N427" s="694">
        <v>1</v>
      </c>
      <c r="O427" s="694">
        <v>1</v>
      </c>
      <c r="P427" s="694">
        <v>1</v>
      </c>
      <c r="Q427" s="694">
        <v>1</v>
      </c>
      <c r="R427" s="694">
        <v>1</v>
      </c>
      <c r="S427" s="694">
        <v>1</v>
      </c>
      <c r="T427" s="694">
        <v>1</v>
      </c>
      <c r="U427" s="694">
        <v>1</v>
      </c>
      <c r="V427" s="694">
        <v>1</v>
      </c>
      <c r="W427" s="694">
        <f t="shared" si="64"/>
        <v>0</v>
      </c>
      <c r="X427">
        <f t="shared" si="65"/>
        <v>0</v>
      </c>
      <c r="Y427" s="1"/>
    </row>
    <row r="428" spans="1:25" s="773" customFormat="1" x14ac:dyDescent="0.2">
      <c r="A428" s="472">
        <v>9.6</v>
      </c>
      <c r="B428" s="550" t="s">
        <v>1460</v>
      </c>
      <c r="C428" s="555">
        <f>tot_back_alarm</f>
        <v>0</v>
      </c>
      <c r="D428" s="355" t="s">
        <v>606</v>
      </c>
      <c r="E428" s="549" t="s">
        <v>590</v>
      </c>
      <c r="F428" s="510"/>
      <c r="G428" s="549" t="s">
        <v>590</v>
      </c>
      <c r="H428" s="510"/>
      <c r="I428" s="686" t="str">
        <f>IF(C428=0,"NA",VLOOKUP(0,alarm_cost_cl,3))</f>
        <v>NA</v>
      </c>
      <c r="J428" s="356" t="str">
        <f>IF(OR(I428="contact vendor",I428="NA"),"--",C428*I428)</f>
        <v>--</v>
      </c>
      <c r="K428" s="195" t="str">
        <f>IF(C428=0,"NA",VLOOKUP(0,alarm_cost_cl,IF(ss_cat="large",4,5)))</f>
        <v>NA</v>
      </c>
      <c r="L428" s="354"/>
      <c r="M428" s="35" t="str">
        <f>$B$406&amp;" - "&amp;B428</f>
        <v>Instrumentation - High/Low Alarm (for backwash tanks)</v>
      </c>
      <c r="N428" s="694">
        <v>1</v>
      </c>
      <c r="O428" s="694">
        <v>1</v>
      </c>
      <c r="P428" s="694">
        <v>1</v>
      </c>
      <c r="Q428" s="694">
        <v>1</v>
      </c>
      <c r="R428" s="694">
        <v>1</v>
      </c>
      <c r="S428" s="694">
        <v>1</v>
      </c>
      <c r="T428" s="694">
        <v>1</v>
      </c>
      <c r="U428" s="694">
        <v>1</v>
      </c>
      <c r="V428" s="694">
        <v>1</v>
      </c>
      <c r="W428" s="694">
        <f t="shared" si="64"/>
        <v>0</v>
      </c>
      <c r="X428">
        <f t="shared" si="65"/>
        <v>0</v>
      </c>
      <c r="Y428" s="1"/>
    </row>
    <row r="429" spans="1:25" s="773" customFormat="1" x14ac:dyDescent="0.2">
      <c r="A429" s="472">
        <v>9.6999999999999993</v>
      </c>
      <c r="B429" s="550" t="s">
        <v>1461</v>
      </c>
      <c r="C429" s="555">
        <f>tot_res_alarm</f>
        <v>1</v>
      </c>
      <c r="D429" s="355" t="s">
        <v>606</v>
      </c>
      <c r="E429" s="549" t="s">
        <v>590</v>
      </c>
      <c r="F429" s="510"/>
      <c r="G429" s="549" t="s">
        <v>590</v>
      </c>
      <c r="H429" s="510"/>
      <c r="I429" s="686">
        <f>IF(C429=0,"NA",VLOOKUP(0,alarm_cost_cl,3))</f>
        <v>600.18707669670891</v>
      </c>
      <c r="J429" s="356">
        <f>IF(OR(I429="contact vendor",I429="NA"),"--",C429*I429)</f>
        <v>600.18707669670891</v>
      </c>
      <c r="K429" s="195">
        <f>IF(C429=0,"NA",VLOOKUP(0,alarm_cost_cl,IF(ss_cat="large",4,5)))</f>
        <v>14</v>
      </c>
      <c r="L429" s="354">
        <v>1</v>
      </c>
      <c r="M429" s="35" t="str">
        <f>$B$406&amp;" - "&amp;B429</f>
        <v>Instrumentation - High/Low Alarm (for holding tanks)</v>
      </c>
      <c r="N429" s="694">
        <v>1</v>
      </c>
      <c r="O429" s="694">
        <v>1</v>
      </c>
      <c r="P429" s="694">
        <v>1</v>
      </c>
      <c r="Q429" s="694">
        <v>1</v>
      </c>
      <c r="R429" s="694">
        <v>1</v>
      </c>
      <c r="S429" s="694">
        <v>1</v>
      </c>
      <c r="T429" s="694">
        <v>1</v>
      </c>
      <c r="U429" s="694">
        <v>1</v>
      </c>
      <c r="V429" s="694">
        <v>1</v>
      </c>
      <c r="W429" s="694">
        <f t="shared" si="64"/>
        <v>1</v>
      </c>
      <c r="X429">
        <f t="shared" si="65"/>
        <v>42.870505478336348</v>
      </c>
      <c r="Y429" s="1"/>
    </row>
    <row r="430" spans="1:25" s="870" customFormat="1" x14ac:dyDescent="0.2">
      <c r="A430" s="472">
        <v>9.8000000000000007</v>
      </c>
      <c r="B430" s="550" t="s">
        <v>3330</v>
      </c>
      <c r="C430" s="555">
        <f>tot_temp_meters</f>
        <v>6</v>
      </c>
      <c r="D430" s="355" t="s">
        <v>606</v>
      </c>
      <c r="E430" s="549" t="s">
        <v>590</v>
      </c>
      <c r="F430" s="510"/>
      <c r="G430" s="549" t="s">
        <v>590</v>
      </c>
      <c r="H430" s="510"/>
      <c r="I430" s="686">
        <f>VLOOKUP(0,temp_meter_cost_cl,3)</f>
        <v>794.75852923757691</v>
      </c>
      <c r="J430" s="356">
        <f>IF(I430="contact vendor","--",C430*I430)</f>
        <v>4768.5511754254612</v>
      </c>
      <c r="K430" s="195">
        <f>VLOOKUP(0,temp_meter_cost_cl,IF(ss_cat="large",4,5))</f>
        <v>14</v>
      </c>
      <c r="L430" s="354">
        <v>1</v>
      </c>
      <c r="M430" s="35" t="str">
        <f>$B$406&amp;" - "&amp;B430</f>
        <v>Instrumentation - Temperature meters</v>
      </c>
      <c r="N430" s="694">
        <v>1</v>
      </c>
      <c r="O430" s="694">
        <v>1</v>
      </c>
      <c r="P430" s="694">
        <v>1</v>
      </c>
      <c r="Q430" s="694">
        <v>1</v>
      </c>
      <c r="R430" s="694">
        <v>1</v>
      </c>
      <c r="S430" s="694">
        <v>1</v>
      </c>
      <c r="T430" s="694">
        <v>1</v>
      </c>
      <c r="U430" s="694">
        <v>1</v>
      </c>
      <c r="V430" s="694">
        <v>1</v>
      </c>
      <c r="W430" s="694">
        <f t="shared" si="64"/>
        <v>1</v>
      </c>
      <c r="X430">
        <f t="shared" si="65"/>
        <v>340.61079824467578</v>
      </c>
      <c r="Y430" s="30"/>
    </row>
    <row r="431" spans="1:25" s="870" customFormat="1" x14ac:dyDescent="0.2">
      <c r="A431" s="472">
        <v>9.9</v>
      </c>
      <c r="B431" s="550" t="s">
        <v>3619</v>
      </c>
      <c r="C431" s="555">
        <f>tot_head_sens</f>
        <v>3</v>
      </c>
      <c r="D431" s="355" t="s">
        <v>606</v>
      </c>
      <c r="E431" s="549" t="s">
        <v>590</v>
      </c>
      <c r="F431" s="510"/>
      <c r="G431" s="549" t="s">
        <v>590</v>
      </c>
      <c r="H431" s="510"/>
      <c r="I431" s="686">
        <f>VLOOKUP(0,headloss_cost_cl,3)</f>
        <v>2388.9364733422249</v>
      </c>
      <c r="J431" s="356">
        <f>IF(I431="contact vendor","--",C431*I431)</f>
        <v>7166.8094200266751</v>
      </c>
      <c r="K431" s="195">
        <f>VLOOKUP(0,headloss_cost_cl,IF(ss_cat="large",4,5))</f>
        <v>14</v>
      </c>
      <c r="L431" s="354">
        <v>1</v>
      </c>
      <c r="M431" s="35" t="str">
        <f>$B$406&amp;" - "&amp;B431</f>
        <v>Instrumentation - Head loss sensors</v>
      </c>
      <c r="N431" s="694">
        <v>1</v>
      </c>
      <c r="O431" s="694">
        <v>1</v>
      </c>
      <c r="P431" s="694">
        <v>1</v>
      </c>
      <c r="Q431" s="694">
        <v>1</v>
      </c>
      <c r="R431" s="694">
        <v>1</v>
      </c>
      <c r="S431" s="694">
        <v>1</v>
      </c>
      <c r="T431" s="694">
        <v>1</v>
      </c>
      <c r="U431" s="694">
        <v>1</v>
      </c>
      <c r="V431" s="694">
        <v>1</v>
      </c>
      <c r="W431" s="694">
        <f t="shared" si="64"/>
        <v>1</v>
      </c>
      <c r="X431">
        <f t="shared" si="65"/>
        <v>511.91495857333393</v>
      </c>
      <c r="Y431" s="30"/>
    </row>
    <row r="432" spans="1:25" x14ac:dyDescent="0.2">
      <c r="A432" s="537" t="s">
        <v>2271</v>
      </c>
      <c r="B432" s="44" t="s">
        <v>2177</v>
      </c>
      <c r="C432" s="556"/>
      <c r="D432" s="179"/>
      <c r="E432" s="285"/>
      <c r="F432" s="512"/>
      <c r="G432" s="565"/>
      <c r="H432" s="512"/>
      <c r="I432" s="181"/>
      <c r="J432" s="285"/>
      <c r="K432" s="285"/>
      <c r="L432" s="182"/>
      <c r="M432" s="5"/>
      <c r="N432" s="694"/>
      <c r="O432" s="694"/>
      <c r="P432" s="694"/>
      <c r="Q432" s="694"/>
      <c r="R432" s="694"/>
      <c r="S432" s="694"/>
      <c r="T432" s="694"/>
      <c r="U432" s="694"/>
      <c r="V432" s="694"/>
      <c r="W432" s="694">
        <f t="shared" si="64"/>
        <v>0</v>
      </c>
      <c r="X432">
        <f t="shared" si="65"/>
        <v>0</v>
      </c>
      <c r="Y432"/>
    </row>
    <row r="433" spans="1:25" s="870" customFormat="1" x14ac:dyDescent="0.2">
      <c r="A433" s="320" t="s">
        <v>2272</v>
      </c>
      <c r="B433" s="1" t="s">
        <v>1421</v>
      </c>
      <c r="C433" s="555">
        <f>ports</f>
        <v>8</v>
      </c>
      <c r="D433" s="355" t="s">
        <v>606</v>
      </c>
      <c r="E433" s="549" t="s">
        <v>590</v>
      </c>
      <c r="F433" s="510"/>
      <c r="G433" s="549" t="s">
        <v>590</v>
      </c>
      <c r="H433" s="510"/>
      <c r="I433" s="686">
        <v>50</v>
      </c>
      <c r="J433" s="356">
        <f t="shared" ref="J433:J441" si="66">IF(I433="contact vendor","--",C433*I433)</f>
        <v>400</v>
      </c>
      <c r="K433" s="195">
        <f>IF(ss_cat="large",35,30)</f>
        <v>30</v>
      </c>
      <c r="L433" s="354">
        <v>1</v>
      </c>
      <c r="M433" s="35" t="str">
        <f>$B$406&amp;" - "&amp;$B$432&amp;" - "&amp;B433</f>
        <v>Instrumentation - Sampling Ports - Stainless Steel</v>
      </c>
      <c r="N433" s="695">
        <v>1</v>
      </c>
      <c r="O433" s="695">
        <v>2</v>
      </c>
      <c r="P433" s="695">
        <v>2</v>
      </c>
      <c r="Q433" s="695">
        <v>1</v>
      </c>
      <c r="R433" s="695">
        <v>2</v>
      </c>
      <c r="S433" s="695">
        <v>2</v>
      </c>
      <c r="T433" s="695">
        <v>1</v>
      </c>
      <c r="U433" s="695">
        <v>2</v>
      </c>
      <c r="V433" s="695">
        <v>2</v>
      </c>
      <c r="W433" s="694">
        <f t="shared" si="64"/>
        <v>1</v>
      </c>
      <c r="X433">
        <f t="shared" si="65"/>
        <v>13.333333333333334</v>
      </c>
      <c r="Y433" s="30"/>
    </row>
    <row r="434" spans="1:25" s="870" customFormat="1" x14ac:dyDescent="0.2">
      <c r="A434" s="320" t="s">
        <v>2272</v>
      </c>
      <c r="B434" s="1" t="s">
        <v>3620</v>
      </c>
      <c r="C434" s="555">
        <f>ports</f>
        <v>8</v>
      </c>
      <c r="D434" s="355" t="s">
        <v>606</v>
      </c>
      <c r="E434" s="549" t="s">
        <v>590</v>
      </c>
      <c r="F434" s="510"/>
      <c r="G434" s="549" t="s">
        <v>590</v>
      </c>
      <c r="H434" s="510"/>
      <c r="I434" s="686">
        <v>50</v>
      </c>
      <c r="J434" s="356">
        <f t="shared" si="66"/>
        <v>400</v>
      </c>
      <c r="K434" s="195">
        <f>IF(ss_cat="large",25,22)</f>
        <v>22</v>
      </c>
      <c r="L434" s="354">
        <v>0</v>
      </c>
      <c r="M434" s="35" t="str">
        <f>$B$406&amp;" - "&amp;$B$432&amp;" - "&amp;B434</f>
        <v>Instrumentation - Sampling Ports - Carbon Steel</v>
      </c>
      <c r="N434" s="695">
        <v>2</v>
      </c>
      <c r="O434" s="695">
        <v>1</v>
      </c>
      <c r="P434" s="695">
        <v>1</v>
      </c>
      <c r="Q434" s="695">
        <v>2</v>
      </c>
      <c r="R434" s="695">
        <v>1</v>
      </c>
      <c r="S434" s="695">
        <v>1</v>
      </c>
      <c r="T434" s="695">
        <v>2</v>
      </c>
      <c r="U434" s="695">
        <v>1</v>
      </c>
      <c r="V434" s="695">
        <v>1</v>
      </c>
      <c r="W434" s="694">
        <f t="shared" si="64"/>
        <v>0</v>
      </c>
      <c r="X434">
        <f t="shared" si="65"/>
        <v>0</v>
      </c>
      <c r="Y434" s="30"/>
    </row>
    <row r="435" spans="1:25" s="773" customFormat="1" x14ac:dyDescent="0.2">
      <c r="A435" s="472">
        <v>9.11</v>
      </c>
      <c r="B435" s="550" t="s">
        <v>3502</v>
      </c>
      <c r="C435" s="555">
        <f>elec_encl</f>
        <v>0</v>
      </c>
      <c r="D435" s="355" t="s">
        <v>606</v>
      </c>
      <c r="E435" s="549" t="s">
        <v>590</v>
      </c>
      <c r="F435" s="510"/>
      <c r="G435" s="549" t="s">
        <v>590</v>
      </c>
      <c r="H435" s="510"/>
      <c r="I435" s="686">
        <f>VLOOKUP(0,elec_encl_cost_cl,3)</f>
        <v>1400</v>
      </c>
      <c r="J435" s="356">
        <f t="shared" si="66"/>
        <v>0</v>
      </c>
      <c r="K435" s="195">
        <f>VLOOKUP(0,elec_encl_cost_cl,IF(ss_cat="large",4,5))</f>
        <v>17</v>
      </c>
      <c r="L435" s="354"/>
      <c r="M435" s="35" t="str">
        <f t="shared" ref="M435:M441" si="67">$B$406&amp;" - "&amp;B435</f>
        <v>Instrumentation - Electrical Enclosure</v>
      </c>
      <c r="N435" s="694">
        <v>1</v>
      </c>
      <c r="O435" s="694">
        <v>1</v>
      </c>
      <c r="P435" s="694">
        <v>1</v>
      </c>
      <c r="Q435" s="694">
        <v>1</v>
      </c>
      <c r="R435" s="694">
        <v>1</v>
      </c>
      <c r="S435" s="694">
        <v>1</v>
      </c>
      <c r="T435" s="694">
        <v>1</v>
      </c>
      <c r="U435" s="694">
        <v>1</v>
      </c>
      <c r="V435" s="694">
        <v>1</v>
      </c>
      <c r="W435" s="694">
        <f t="shared" si="64"/>
        <v>0</v>
      </c>
      <c r="X435">
        <f t="shared" si="65"/>
        <v>0</v>
      </c>
      <c r="Y435" s="1"/>
    </row>
    <row r="436" spans="1:25" s="773" customFormat="1" x14ac:dyDescent="0.2">
      <c r="A436" s="472">
        <v>9.1199999999999992</v>
      </c>
      <c r="B436" s="550" t="s">
        <v>3715</v>
      </c>
      <c r="C436" s="555">
        <f>ORP_sensor</f>
        <v>2</v>
      </c>
      <c r="D436" s="355" t="s">
        <v>606</v>
      </c>
      <c r="E436" s="549" t="s">
        <v>590</v>
      </c>
      <c r="F436" s="510"/>
      <c r="G436" s="549" t="s">
        <v>590</v>
      </c>
      <c r="H436" s="510"/>
      <c r="I436" s="686">
        <f>VLOOKUP(0,pH_meter_cost_cl,3)</f>
        <v>3047.1155477538618</v>
      </c>
      <c r="J436" s="356">
        <f t="shared" si="66"/>
        <v>6094.2310955077237</v>
      </c>
      <c r="K436" s="195">
        <f>VLOOKUP(0,pH_meter_cost_cl,IF(ss_cat="large",4,5))</f>
        <v>14</v>
      </c>
      <c r="L436" s="354">
        <v>1</v>
      </c>
      <c r="M436" s="35" t="str">
        <f t="shared" si="67"/>
        <v>Instrumentation - ORP sensor</v>
      </c>
      <c r="N436" s="694">
        <v>1</v>
      </c>
      <c r="O436" s="694">
        <v>1</v>
      </c>
      <c r="P436" s="694">
        <v>1</v>
      </c>
      <c r="Q436" s="694">
        <v>1</v>
      </c>
      <c r="R436" s="694">
        <v>1</v>
      </c>
      <c r="S436" s="694">
        <v>1</v>
      </c>
      <c r="T436" s="694">
        <v>1</v>
      </c>
      <c r="U436" s="694">
        <v>1</v>
      </c>
      <c r="V436" s="694">
        <v>1</v>
      </c>
      <c r="W436" s="694">
        <f t="shared" si="64"/>
        <v>1</v>
      </c>
      <c r="X436">
        <f t="shared" si="65"/>
        <v>435.30222110769455</v>
      </c>
      <c r="Y436" s="1"/>
    </row>
    <row r="437" spans="1:25" s="773" customFormat="1" x14ac:dyDescent="0.2">
      <c r="A437" s="472">
        <v>9.1300000000000008</v>
      </c>
      <c r="B437" s="550" t="s">
        <v>524</v>
      </c>
      <c r="C437" s="555">
        <f>pH_controls</f>
        <v>0</v>
      </c>
      <c r="D437" s="355" t="s">
        <v>606</v>
      </c>
      <c r="E437" s="549" t="s">
        <v>590</v>
      </c>
      <c r="F437" s="510"/>
      <c r="G437" s="549" t="s">
        <v>590</v>
      </c>
      <c r="H437" s="510"/>
      <c r="I437" s="686">
        <f>VLOOKUP(0,pH_meter_cost_cl,3)</f>
        <v>3047.1155477538618</v>
      </c>
      <c r="J437" s="356">
        <f t="shared" si="66"/>
        <v>0</v>
      </c>
      <c r="K437" s="195">
        <f>VLOOKUP(0,pH_meter_cost_cl,IF(ss_cat="large",4,5))</f>
        <v>14</v>
      </c>
      <c r="L437" s="354"/>
      <c r="M437" s="35" t="str">
        <f t="shared" si="67"/>
        <v>Instrumentation - pH Meters</v>
      </c>
      <c r="N437" s="694">
        <v>1</v>
      </c>
      <c r="O437" s="694">
        <v>1</v>
      </c>
      <c r="P437" s="694">
        <v>1</v>
      </c>
      <c r="Q437" s="694">
        <v>1</v>
      </c>
      <c r="R437" s="694">
        <v>1</v>
      </c>
      <c r="S437" s="694">
        <v>1</v>
      </c>
      <c r="T437" s="694">
        <v>1</v>
      </c>
      <c r="U437" s="694">
        <v>1</v>
      </c>
      <c r="V437" s="694">
        <v>1</v>
      </c>
      <c r="W437" s="694">
        <f t="shared" si="64"/>
        <v>0</v>
      </c>
      <c r="X437">
        <f t="shared" si="65"/>
        <v>0</v>
      </c>
      <c r="Y437" s="1"/>
    </row>
    <row r="438" spans="1:25" s="773" customFormat="1" x14ac:dyDescent="0.2">
      <c r="A438" s="472">
        <v>9.14</v>
      </c>
      <c r="B438" s="550" t="s">
        <v>525</v>
      </c>
      <c r="C438" s="555">
        <f>tot_turb_meters</f>
        <v>5</v>
      </c>
      <c r="D438" s="355" t="s">
        <v>606</v>
      </c>
      <c r="E438" s="549" t="s">
        <v>590</v>
      </c>
      <c r="F438" s="510"/>
      <c r="G438" s="549" t="s">
        <v>590</v>
      </c>
      <c r="H438" s="510"/>
      <c r="I438" s="686">
        <f>VLOOKUP(0,turbidimeter_cost_cl,3)</f>
        <v>6183.7045937122821</v>
      </c>
      <c r="J438" s="356">
        <f t="shared" si="66"/>
        <v>30918.52296856141</v>
      </c>
      <c r="K438" s="195">
        <f>VLOOKUP(0,turbidimeter_cost_cl,IF(ss_cat="large",4,5))</f>
        <v>14</v>
      </c>
      <c r="L438" s="354">
        <v>1</v>
      </c>
      <c r="M438" s="35" t="str">
        <f t="shared" si="67"/>
        <v>Instrumentation - Turbidity meters</v>
      </c>
      <c r="N438" s="694">
        <v>1</v>
      </c>
      <c r="O438" s="694">
        <v>1</v>
      </c>
      <c r="P438" s="694">
        <v>1</v>
      </c>
      <c r="Q438" s="694">
        <v>1</v>
      </c>
      <c r="R438" s="694">
        <v>1</v>
      </c>
      <c r="S438" s="694">
        <v>1</v>
      </c>
      <c r="T438" s="694">
        <v>1</v>
      </c>
      <c r="U438" s="694">
        <v>1</v>
      </c>
      <c r="V438" s="694">
        <v>1</v>
      </c>
      <c r="W438" s="694">
        <f t="shared" si="64"/>
        <v>1</v>
      </c>
      <c r="X438">
        <f t="shared" si="65"/>
        <v>2208.465926325815</v>
      </c>
      <c r="Y438" s="1"/>
    </row>
    <row r="439" spans="1:25" s="773" customFormat="1" x14ac:dyDescent="0.2">
      <c r="A439" s="472">
        <v>9.15</v>
      </c>
      <c r="B439" s="550" t="s">
        <v>2693</v>
      </c>
      <c r="C439" s="555">
        <f>tot_ClO4_analyzer</f>
        <v>1</v>
      </c>
      <c r="D439" s="355" t="s">
        <v>606</v>
      </c>
      <c r="E439" s="549" t="s">
        <v>590</v>
      </c>
      <c r="F439" s="510"/>
      <c r="G439" s="549" t="s">
        <v>590</v>
      </c>
      <c r="H439" s="510"/>
      <c r="I439" s="686">
        <f>VLOOKUP(0,clo4analyzer_cost_cl,3)</f>
        <v>27133.862674036478</v>
      </c>
      <c r="J439" s="356">
        <f t="shared" si="66"/>
        <v>27133.862674036478</v>
      </c>
      <c r="K439" s="195">
        <f>VLOOKUP(0,clo4analyzer_cost_cl,IF(ss_cat="large",4,5))</f>
        <v>14</v>
      </c>
      <c r="L439" s="354">
        <v>1</v>
      </c>
      <c r="M439" s="35" t="str">
        <f t="shared" si="67"/>
        <v>Instrumentation - Perchlorate/Nitrate Analyzer</v>
      </c>
      <c r="N439" s="694">
        <v>1</v>
      </c>
      <c r="O439" s="694">
        <v>1</v>
      </c>
      <c r="P439" s="694">
        <v>1</v>
      </c>
      <c r="Q439" s="694">
        <v>1</v>
      </c>
      <c r="R439" s="694">
        <v>1</v>
      </c>
      <c r="S439" s="694">
        <v>1</v>
      </c>
      <c r="T439" s="694">
        <v>1</v>
      </c>
      <c r="U439" s="694">
        <v>1</v>
      </c>
      <c r="V439" s="694">
        <v>1</v>
      </c>
      <c r="W439" s="694">
        <f t="shared" si="64"/>
        <v>1</v>
      </c>
      <c r="X439">
        <f t="shared" si="65"/>
        <v>1938.1330481454627</v>
      </c>
      <c r="Y439" s="1"/>
    </row>
    <row r="440" spans="1:25" s="773" customFormat="1" x14ac:dyDescent="0.2">
      <c r="A440" s="472">
        <v>9.16</v>
      </c>
      <c r="B440" s="550" t="s">
        <v>3826</v>
      </c>
      <c r="C440" s="555">
        <f>tot_N_analyzer</f>
        <v>0</v>
      </c>
      <c r="D440" s="355" t="s">
        <v>606</v>
      </c>
      <c r="E440" s="549" t="s">
        <v>590</v>
      </c>
      <c r="F440" s="510"/>
      <c r="G440" s="549" t="s">
        <v>590</v>
      </c>
      <c r="H440" s="510"/>
      <c r="I440" s="686">
        <f>VLOOKUP(0,nitrateanalyzer_cost_cl,3)</f>
        <v>25803.68440885692</v>
      </c>
      <c r="J440" s="356">
        <f>IF(I440="contact vendor","--",C440*I440)</f>
        <v>0</v>
      </c>
      <c r="K440" s="195">
        <f>VLOOKUP(0,nitrateanalyzer_cost_cl,IF(ss_cat="large",4,5))</f>
        <v>14</v>
      </c>
      <c r="L440" s="354"/>
      <c r="M440" s="35" t="str">
        <f t="shared" si="67"/>
        <v>Instrumentation - Nitrate Analyzer</v>
      </c>
      <c r="N440" s="694">
        <v>1</v>
      </c>
      <c r="O440" s="694">
        <v>1</v>
      </c>
      <c r="P440" s="694">
        <v>1</v>
      </c>
      <c r="Q440" s="694">
        <v>1</v>
      </c>
      <c r="R440" s="694">
        <v>1</v>
      </c>
      <c r="S440" s="694">
        <v>1</v>
      </c>
      <c r="T440" s="694">
        <v>1</v>
      </c>
      <c r="U440" s="694">
        <v>1</v>
      </c>
      <c r="V440" s="694">
        <v>1</v>
      </c>
      <c r="W440" s="694">
        <f t="shared" si="64"/>
        <v>0</v>
      </c>
      <c r="X440">
        <f t="shared" si="65"/>
        <v>0</v>
      </c>
      <c r="Y440" s="1"/>
    </row>
    <row r="441" spans="1:25" s="773" customFormat="1" x14ac:dyDescent="0.2">
      <c r="A441" s="472">
        <v>9.17</v>
      </c>
      <c r="B441" s="550" t="s">
        <v>2697</v>
      </c>
      <c r="C441" s="555">
        <f>tot_DO_analyzer</f>
        <v>1</v>
      </c>
      <c r="D441" s="355" t="s">
        <v>606</v>
      </c>
      <c r="E441" s="549" t="s">
        <v>590</v>
      </c>
      <c r="F441" s="510"/>
      <c r="G441" s="549" t="s">
        <v>590</v>
      </c>
      <c r="H441" s="510"/>
      <c r="I441" s="686">
        <f>VLOOKUP(0,doanalyzer_cost_cl,3)</f>
        <v>5282.4958347260999</v>
      </c>
      <c r="J441" s="356">
        <f t="shared" si="66"/>
        <v>5282.4958347260999</v>
      </c>
      <c r="K441" s="195">
        <f>VLOOKUP(0,doanalyzer_cost_cl,IF(ss_cat="large",4,5))</f>
        <v>14</v>
      </c>
      <c r="L441" s="354">
        <v>1</v>
      </c>
      <c r="M441" s="35" t="str">
        <f t="shared" si="67"/>
        <v>Instrumentation - Dissolved Oxygen Analyzer</v>
      </c>
      <c r="N441" s="694">
        <v>1</v>
      </c>
      <c r="O441" s="694">
        <v>1</v>
      </c>
      <c r="P441" s="694">
        <v>1</v>
      </c>
      <c r="Q441" s="694">
        <v>1</v>
      </c>
      <c r="R441" s="694">
        <v>1</v>
      </c>
      <c r="S441" s="694">
        <v>1</v>
      </c>
      <c r="T441" s="694">
        <v>1</v>
      </c>
      <c r="U441" s="694">
        <v>1</v>
      </c>
      <c r="V441" s="694">
        <v>1</v>
      </c>
      <c r="W441" s="694">
        <f t="shared" si="64"/>
        <v>1</v>
      </c>
      <c r="X441">
        <f t="shared" si="65"/>
        <v>377.32113105186426</v>
      </c>
      <c r="Y441" s="1"/>
    </row>
    <row r="442" spans="1:25" s="778" customFormat="1" x14ac:dyDescent="0.2">
      <c r="A442" s="538">
        <v>10</v>
      </c>
      <c r="B442" s="43" t="s">
        <v>591</v>
      </c>
      <c r="C442" s="561"/>
      <c r="D442" s="279"/>
      <c r="E442" s="280"/>
      <c r="F442" s="535"/>
      <c r="G442" s="568"/>
      <c r="H442" s="535"/>
      <c r="I442" s="374"/>
      <c r="J442" s="281"/>
      <c r="K442" s="280"/>
      <c r="L442" s="282"/>
      <c r="M442" s="35"/>
      <c r="N442" s="694"/>
      <c r="O442" s="694"/>
      <c r="P442" s="694"/>
      <c r="Q442" s="695"/>
      <c r="R442" s="695"/>
      <c r="S442" s="695"/>
      <c r="T442" s="695"/>
      <c r="U442" s="695"/>
      <c r="V442" s="695"/>
      <c r="W442" s="694">
        <f t="shared" si="64"/>
        <v>0</v>
      </c>
      <c r="X442">
        <f t="shared" si="65"/>
        <v>0</v>
      </c>
      <c r="Y442" s="26"/>
    </row>
    <row r="443" spans="1:25" x14ac:dyDescent="0.2">
      <c r="A443" s="473">
        <v>10.1</v>
      </c>
      <c r="B443" s="44" t="s">
        <v>3170</v>
      </c>
      <c r="C443" s="556"/>
      <c r="D443" s="272"/>
      <c r="E443" s="283"/>
      <c r="F443" s="511"/>
      <c r="G443" s="564"/>
      <c r="H443" s="511"/>
      <c r="I443" s="375"/>
      <c r="J443" s="284"/>
      <c r="K443" s="283"/>
      <c r="L443" s="192"/>
      <c r="M443" s="5"/>
      <c r="N443" s="694"/>
      <c r="O443" s="694"/>
      <c r="P443" s="694"/>
      <c r="Q443" s="694"/>
      <c r="R443" s="694"/>
      <c r="S443" s="694"/>
      <c r="T443" s="694"/>
      <c r="U443" s="694"/>
      <c r="V443" s="694"/>
      <c r="W443" s="694">
        <f t="shared" si="64"/>
        <v>0</v>
      </c>
      <c r="X443">
        <f t="shared" si="65"/>
        <v>0</v>
      </c>
      <c r="Y443"/>
    </row>
    <row r="444" spans="1:25" s="870" customFormat="1" x14ac:dyDescent="0.2">
      <c r="A444" s="320" t="s">
        <v>2487</v>
      </c>
      <c r="B444" s="1" t="s">
        <v>3621</v>
      </c>
      <c r="C444" s="555">
        <f>IF(manual=1,0,plc_rack)</f>
        <v>3</v>
      </c>
      <c r="D444" s="355" t="s">
        <v>606</v>
      </c>
      <c r="E444" s="549" t="s">
        <v>590</v>
      </c>
      <c r="F444" s="510"/>
      <c r="G444" s="549" t="s">
        <v>590</v>
      </c>
      <c r="H444" s="510"/>
      <c r="I444" s="686">
        <f>IF(manual=1,"NA",VLOOKUP(0,plc_rack_cost_cl,3))</f>
        <v>355.56</v>
      </c>
      <c r="J444" s="356">
        <f>IF(I444="contact vendor","--",IF(manual=1,0,C444*I444))</f>
        <v>1066.68</v>
      </c>
      <c r="K444" s="195">
        <f>IF(manual=1,"NA",VLOOKUP(0,plc_rack_cost_cl,IF(ss_cat="large",4,5)))</f>
        <v>8</v>
      </c>
      <c r="L444" s="354">
        <v>1</v>
      </c>
      <c r="M444" s="5" t="str">
        <f>$B$442&amp;" - "&amp;$B$443&amp;" - "&amp;B444</f>
        <v>System Controls  - PLC Unit(s) - PLC racks/power supplies</v>
      </c>
      <c r="N444" s="694">
        <v>1</v>
      </c>
      <c r="O444" s="694">
        <v>1</v>
      </c>
      <c r="P444" s="694">
        <v>1</v>
      </c>
      <c r="Q444" s="694">
        <v>1</v>
      </c>
      <c r="R444" s="694">
        <v>1</v>
      </c>
      <c r="S444" s="694">
        <v>1</v>
      </c>
      <c r="T444" s="694">
        <v>1</v>
      </c>
      <c r="U444" s="694">
        <v>1</v>
      </c>
      <c r="V444" s="694">
        <v>1</v>
      </c>
      <c r="W444" s="694">
        <f t="shared" si="64"/>
        <v>1</v>
      </c>
      <c r="X444">
        <f t="shared" si="65"/>
        <v>133.33500000000001</v>
      </c>
      <c r="Y444" s="30"/>
    </row>
    <row r="445" spans="1:25" s="870" customFormat="1" x14ac:dyDescent="0.2">
      <c r="A445" s="320" t="s">
        <v>2273</v>
      </c>
      <c r="B445" s="1" t="s">
        <v>1509</v>
      </c>
      <c r="C445" s="555">
        <f>IF(manual=1,0,plc_cpu)</f>
        <v>2</v>
      </c>
      <c r="D445" s="355" t="s">
        <v>606</v>
      </c>
      <c r="E445" s="549" t="s">
        <v>590</v>
      </c>
      <c r="F445" s="510"/>
      <c r="G445" s="549" t="s">
        <v>590</v>
      </c>
      <c r="H445" s="510"/>
      <c r="I445" s="686">
        <f>IF(manual=1,"NA",VLOOKUP(0,plc_cpu_cost_cl,3))</f>
        <v>378.8</v>
      </c>
      <c r="J445" s="356">
        <f t="shared" ref="J445:J451" si="68">IF(I445="contact vendor","--",IF(manual=1,0,C445*I445))</f>
        <v>757.6</v>
      </c>
      <c r="K445" s="195">
        <f>IF(manual=1,"NA",VLOOKUP(0,plc_cpu_cost_cl,IF(ss_cat="large",4,5)))</f>
        <v>8</v>
      </c>
      <c r="L445" s="354">
        <v>1</v>
      </c>
      <c r="M445" s="5" t="str">
        <f t="shared" ref="M445:M452" si="69">$B$442&amp;" - "&amp;$B$443&amp;" - "&amp;B445</f>
        <v>System Controls  - PLC Unit(s) - CPUs</v>
      </c>
      <c r="N445" s="694">
        <v>1</v>
      </c>
      <c r="O445" s="694">
        <v>1</v>
      </c>
      <c r="P445" s="694">
        <v>1</v>
      </c>
      <c r="Q445" s="694">
        <v>1</v>
      </c>
      <c r="R445" s="694">
        <v>1</v>
      </c>
      <c r="S445" s="694">
        <v>1</v>
      </c>
      <c r="T445" s="694">
        <v>1</v>
      </c>
      <c r="U445" s="694">
        <v>1</v>
      </c>
      <c r="V445" s="694">
        <v>1</v>
      </c>
      <c r="W445" s="694">
        <f t="shared" si="64"/>
        <v>1</v>
      </c>
      <c r="X445">
        <f t="shared" si="65"/>
        <v>94.7</v>
      </c>
      <c r="Y445" s="30"/>
    </row>
    <row r="446" spans="1:25" s="870" customFormat="1" x14ac:dyDescent="0.2">
      <c r="A446" s="320" t="s">
        <v>2274</v>
      </c>
      <c r="B446" s="1" t="s">
        <v>1510</v>
      </c>
      <c r="C446" s="555">
        <f>IF(manual=1,0,plc_discrete_input)</f>
        <v>2</v>
      </c>
      <c r="D446" s="355" t="s">
        <v>606</v>
      </c>
      <c r="E446" s="549" t="s">
        <v>590</v>
      </c>
      <c r="F446" s="510"/>
      <c r="G446" s="549" t="s">
        <v>590</v>
      </c>
      <c r="H446" s="510"/>
      <c r="I446" s="686">
        <f>IF(manual=1,"NA",VLOOKUP(0,plc_discrete_input_cost_cl,3))</f>
        <v>382.68</v>
      </c>
      <c r="J446" s="356">
        <f t="shared" si="68"/>
        <v>765.36</v>
      </c>
      <c r="K446" s="195">
        <f>IF(manual=1,"NA",VLOOKUP(0,plc_discrete_input_cost_cl,IF(ss_cat="large",4,5)))</f>
        <v>8</v>
      </c>
      <c r="L446" s="354">
        <v>1</v>
      </c>
      <c r="M446" s="5" t="str">
        <f t="shared" si="69"/>
        <v>System Controls  - PLC Unit(s) - I/O discrete input modules</v>
      </c>
      <c r="N446" s="694">
        <v>1</v>
      </c>
      <c r="O446" s="694">
        <v>1</v>
      </c>
      <c r="P446" s="694">
        <v>1</v>
      </c>
      <c r="Q446" s="694">
        <v>1</v>
      </c>
      <c r="R446" s="694">
        <v>1</v>
      </c>
      <c r="S446" s="694">
        <v>1</v>
      </c>
      <c r="T446" s="694">
        <v>1</v>
      </c>
      <c r="U446" s="694">
        <v>1</v>
      </c>
      <c r="V446" s="694">
        <v>1</v>
      </c>
      <c r="W446" s="694">
        <f t="shared" si="64"/>
        <v>1</v>
      </c>
      <c r="X446">
        <f t="shared" si="65"/>
        <v>95.67</v>
      </c>
      <c r="Y446" s="30"/>
    </row>
    <row r="447" spans="1:25" s="870" customFormat="1" x14ac:dyDescent="0.2">
      <c r="A447" s="320" t="s">
        <v>2275</v>
      </c>
      <c r="B447" s="1" t="s">
        <v>1511</v>
      </c>
      <c r="C447" s="555">
        <f>IF(manual=1,0,plc_discrete_output)</f>
        <v>1</v>
      </c>
      <c r="D447" s="355" t="s">
        <v>606</v>
      </c>
      <c r="E447" s="549" t="s">
        <v>590</v>
      </c>
      <c r="F447" s="510"/>
      <c r="G447" s="549" t="s">
        <v>590</v>
      </c>
      <c r="H447" s="510"/>
      <c r="I447" s="686">
        <f>IF(manual=1,"NA",VLOOKUP(0,plc_discrete_output_cost_cl,3))</f>
        <v>340.42500000000001</v>
      </c>
      <c r="J447" s="356">
        <f>IF(I447="contact vendor","--",IF(manual=1,0,C447*I447))</f>
        <v>340.42500000000001</v>
      </c>
      <c r="K447" s="195">
        <f>IF(manual=1,"NA",VLOOKUP(0,plc_discrete_output_cost_cl,IF(ss_cat="large",4,5)))</f>
        <v>8</v>
      </c>
      <c r="L447" s="354">
        <v>1</v>
      </c>
      <c r="M447" s="5" t="str">
        <f t="shared" si="69"/>
        <v>System Controls  - PLC Unit(s) - I/O discrete output modules</v>
      </c>
      <c r="N447" s="694">
        <v>1</v>
      </c>
      <c r="O447" s="694">
        <v>1</v>
      </c>
      <c r="P447" s="694">
        <v>1</v>
      </c>
      <c r="Q447" s="694">
        <v>1</v>
      </c>
      <c r="R447" s="694">
        <v>1</v>
      </c>
      <c r="S447" s="694">
        <v>1</v>
      </c>
      <c r="T447" s="694">
        <v>1</v>
      </c>
      <c r="U447" s="694">
        <v>1</v>
      </c>
      <c r="V447" s="694">
        <v>1</v>
      </c>
      <c r="W447" s="694">
        <f t="shared" si="64"/>
        <v>1</v>
      </c>
      <c r="X447">
        <f t="shared" si="65"/>
        <v>42.553125000000001</v>
      </c>
      <c r="Y447" s="30"/>
    </row>
    <row r="448" spans="1:25" s="870" customFormat="1" x14ac:dyDescent="0.2">
      <c r="A448" s="320" t="s">
        <v>2276</v>
      </c>
      <c r="B448" s="1" t="s">
        <v>1512</v>
      </c>
      <c r="C448" s="555">
        <f>IF(manual=1,0,plc_combination_analog)</f>
        <v>11</v>
      </c>
      <c r="D448" s="355" t="s">
        <v>606</v>
      </c>
      <c r="E448" s="549" t="s">
        <v>590</v>
      </c>
      <c r="F448" s="510"/>
      <c r="G448" s="549" t="s">
        <v>590</v>
      </c>
      <c r="H448" s="510"/>
      <c r="I448" s="686">
        <f>IF(manual=1,"NA",VLOOKUP(0,plc_combination_analog_cost_cl,3))</f>
        <v>557.33500000000004</v>
      </c>
      <c r="J448" s="356">
        <f>IF(I448="contact vendor","--",IF(manual=1,0,C448*I448))</f>
        <v>6130.6850000000004</v>
      </c>
      <c r="K448" s="195">
        <f>IF(manual=1,"NA",VLOOKUP(0,plc_combination_analog_cost_cl,IF(ss_cat="large",4,5)))</f>
        <v>8</v>
      </c>
      <c r="L448" s="354">
        <v>1</v>
      </c>
      <c r="M448" s="5" t="str">
        <f t="shared" si="69"/>
        <v>System Controls  - PLC Unit(s) - I/O combination analog modules</v>
      </c>
      <c r="N448" s="694">
        <v>1</v>
      </c>
      <c r="O448" s="694">
        <v>1</v>
      </c>
      <c r="P448" s="694">
        <v>1</v>
      </c>
      <c r="Q448" s="694">
        <v>1</v>
      </c>
      <c r="R448" s="694">
        <v>1</v>
      </c>
      <c r="S448" s="694">
        <v>1</v>
      </c>
      <c r="T448" s="694">
        <v>1</v>
      </c>
      <c r="U448" s="694">
        <v>1</v>
      </c>
      <c r="V448" s="694">
        <v>1</v>
      </c>
      <c r="W448" s="694">
        <f t="shared" si="64"/>
        <v>1</v>
      </c>
      <c r="X448">
        <f t="shared" si="65"/>
        <v>766.33562500000005</v>
      </c>
      <c r="Y448" s="30"/>
    </row>
    <row r="449" spans="1:25" s="870" customFormat="1" x14ac:dyDescent="0.2">
      <c r="A449" s="320" t="s">
        <v>2277</v>
      </c>
      <c r="B449" s="1" t="s">
        <v>1513</v>
      </c>
      <c r="C449" s="555">
        <f>IF(manual=1,0,plc_ethernet)</f>
        <v>2</v>
      </c>
      <c r="D449" s="355" t="s">
        <v>606</v>
      </c>
      <c r="E449" s="549" t="s">
        <v>590</v>
      </c>
      <c r="F449" s="510"/>
      <c r="G449" s="549" t="s">
        <v>590</v>
      </c>
      <c r="H449" s="510"/>
      <c r="I449" s="686">
        <f>IF(manual=1,"NA",VLOOKUP(0,plc_ethernet_cost_cl,3))</f>
        <v>1342.2349999999999</v>
      </c>
      <c r="J449" s="356">
        <f>IF(I449="contact vendor","--",IF(manual=1,0,C449*I449))</f>
        <v>2684.47</v>
      </c>
      <c r="K449" s="195">
        <f>IF(manual=1,"NA",VLOOKUP(0,plc_ethernet_cost_cl,IF(ss_cat="large",4,5)))</f>
        <v>8</v>
      </c>
      <c r="L449" s="354">
        <v>1</v>
      </c>
      <c r="M449" s="5" t="str">
        <f t="shared" si="69"/>
        <v>System Controls  - PLC Unit(s) - Ethernet modules</v>
      </c>
      <c r="N449" s="694">
        <v>1</v>
      </c>
      <c r="O449" s="694">
        <v>1</v>
      </c>
      <c r="P449" s="694">
        <v>1</v>
      </c>
      <c r="Q449" s="694">
        <v>1</v>
      </c>
      <c r="R449" s="694">
        <v>1</v>
      </c>
      <c r="S449" s="694">
        <v>1</v>
      </c>
      <c r="T449" s="694">
        <v>1</v>
      </c>
      <c r="U449" s="694">
        <v>1</v>
      </c>
      <c r="V449" s="694">
        <v>1</v>
      </c>
      <c r="W449" s="694">
        <f t="shared" si="64"/>
        <v>1</v>
      </c>
      <c r="X449">
        <f t="shared" si="65"/>
        <v>335.55874999999997</v>
      </c>
      <c r="Y449" s="30"/>
    </row>
    <row r="450" spans="1:25" s="870" customFormat="1" x14ac:dyDescent="0.2">
      <c r="A450" s="320" t="s">
        <v>2278</v>
      </c>
      <c r="B450" s="1" t="s">
        <v>1514</v>
      </c>
      <c r="C450" s="555">
        <f>IF(manual=1,0,plc_base_expansion)</f>
        <v>2</v>
      </c>
      <c r="D450" s="355" t="s">
        <v>606</v>
      </c>
      <c r="E450" s="549" t="s">
        <v>590</v>
      </c>
      <c r="F450" s="510"/>
      <c r="G450" s="549" t="s">
        <v>590</v>
      </c>
      <c r="H450" s="510"/>
      <c r="I450" s="686">
        <f>IF(manual=1,"NA",VLOOKUP(0,plc_base_expansion_cost_cl,3))</f>
        <v>142.66999999999999</v>
      </c>
      <c r="J450" s="356">
        <f t="shared" si="68"/>
        <v>285.33999999999997</v>
      </c>
      <c r="K450" s="195">
        <f>IF(manual=1,"NA",VLOOKUP(0,plc_base_expansion_cost_cl,IF(ss_cat="large",4,5)))</f>
        <v>8</v>
      </c>
      <c r="L450" s="354">
        <v>1</v>
      </c>
      <c r="M450" s="5" t="str">
        <f t="shared" si="69"/>
        <v>System Controls  - PLC Unit(s) - Base expansion modules</v>
      </c>
      <c r="N450" s="694">
        <v>1</v>
      </c>
      <c r="O450" s="694">
        <v>1</v>
      </c>
      <c r="P450" s="694">
        <v>1</v>
      </c>
      <c r="Q450" s="694">
        <v>1</v>
      </c>
      <c r="R450" s="694">
        <v>1</v>
      </c>
      <c r="S450" s="694">
        <v>1</v>
      </c>
      <c r="T450" s="694">
        <v>1</v>
      </c>
      <c r="U450" s="694">
        <v>1</v>
      </c>
      <c r="V450" s="694">
        <v>1</v>
      </c>
      <c r="W450" s="694">
        <f t="shared" si="64"/>
        <v>1</v>
      </c>
      <c r="X450">
        <f t="shared" si="65"/>
        <v>35.667499999999997</v>
      </c>
      <c r="Y450" s="30"/>
    </row>
    <row r="451" spans="1:25" s="870" customFormat="1" x14ac:dyDescent="0.2">
      <c r="A451" s="320" t="s">
        <v>2279</v>
      </c>
      <c r="B451" s="1" t="s">
        <v>1515</v>
      </c>
      <c r="C451" s="555">
        <f>IF(manual=1,0,plc_base_expansion_controller)</f>
        <v>2</v>
      </c>
      <c r="D451" s="355" t="s">
        <v>606</v>
      </c>
      <c r="E451" s="549" t="s">
        <v>590</v>
      </c>
      <c r="F451" s="510"/>
      <c r="G451" s="549" t="s">
        <v>590</v>
      </c>
      <c r="H451" s="510"/>
      <c r="I451" s="686">
        <f>IF(manual=1,"NA",VLOOKUP(0,plc_base_expansion_controller_cost_cl,3))</f>
        <v>107.74000000000001</v>
      </c>
      <c r="J451" s="356">
        <f t="shared" si="68"/>
        <v>215.48000000000002</v>
      </c>
      <c r="K451" s="195">
        <f>IF(manual=1,"NA",VLOOKUP(0,plc_base_expansion_controller_cost_cl,IF(ss_cat="large",4,5)))</f>
        <v>8</v>
      </c>
      <c r="L451" s="354">
        <v>1</v>
      </c>
      <c r="M451" s="5" t="str">
        <f t="shared" si="69"/>
        <v>System Controls  - PLC Unit(s) - Base expansion controller modules</v>
      </c>
      <c r="N451" s="694">
        <v>1</v>
      </c>
      <c r="O451" s="694">
        <v>1</v>
      </c>
      <c r="P451" s="694">
        <v>1</v>
      </c>
      <c r="Q451" s="694">
        <v>1</v>
      </c>
      <c r="R451" s="694">
        <v>1</v>
      </c>
      <c r="S451" s="694">
        <v>1</v>
      </c>
      <c r="T451" s="694">
        <v>1</v>
      </c>
      <c r="U451" s="694">
        <v>1</v>
      </c>
      <c r="V451" s="694">
        <v>1</v>
      </c>
      <c r="W451" s="694">
        <f t="shared" si="64"/>
        <v>1</v>
      </c>
      <c r="X451">
        <f t="shared" si="65"/>
        <v>26.935000000000002</v>
      </c>
      <c r="Y451" s="30"/>
    </row>
    <row r="452" spans="1:25" s="870" customFormat="1" x14ac:dyDescent="0.2">
      <c r="A452" s="320" t="s">
        <v>2280</v>
      </c>
      <c r="B452" s="1" t="s">
        <v>1516</v>
      </c>
      <c r="C452" s="555">
        <f>IF(manual=1,0,ups)</f>
        <v>1</v>
      </c>
      <c r="D452" s="355" t="s">
        <v>606</v>
      </c>
      <c r="E452" s="549" t="s">
        <v>590</v>
      </c>
      <c r="F452" s="510"/>
      <c r="G452" s="549" t="s">
        <v>590</v>
      </c>
      <c r="H452" s="510"/>
      <c r="I452" s="686">
        <f>IF(manual=1,"NA",VLOOKUP(0,ups_cost_cl,3))</f>
        <v>877.495</v>
      </c>
      <c r="J452" s="356">
        <f>IF(I452="contact vendor","--",IF(manual=1,0,C452*I452))</f>
        <v>877.495</v>
      </c>
      <c r="K452" s="195">
        <f>IF(manual=1,"NA",VLOOKUP(0,ups_cost_cl,IF(ss_cat="large",4,5)))</f>
        <v>8</v>
      </c>
      <c r="L452" s="354">
        <v>1</v>
      </c>
      <c r="M452" s="5" t="str">
        <f t="shared" si="69"/>
        <v>System Controls  - PLC Unit(s) - UPSs</v>
      </c>
      <c r="N452" s="694">
        <v>1</v>
      </c>
      <c r="O452" s="694">
        <v>1</v>
      </c>
      <c r="P452" s="694">
        <v>1</v>
      </c>
      <c r="Q452" s="694">
        <v>1</v>
      </c>
      <c r="R452" s="694">
        <v>1</v>
      </c>
      <c r="S452" s="694">
        <v>1</v>
      </c>
      <c r="T452" s="694">
        <v>1</v>
      </c>
      <c r="U452" s="694">
        <v>1</v>
      </c>
      <c r="V452" s="694">
        <v>1</v>
      </c>
      <c r="W452" s="694">
        <f t="shared" si="64"/>
        <v>1</v>
      </c>
      <c r="X452">
        <f t="shared" si="65"/>
        <v>109.686875</v>
      </c>
      <c r="Y452" s="30"/>
    </row>
    <row r="453" spans="1:25" s="778" customFormat="1" x14ac:dyDescent="0.2">
      <c r="A453" s="473">
        <v>10.199999999999999</v>
      </c>
      <c r="B453" s="179" t="s">
        <v>1517</v>
      </c>
      <c r="C453" s="556"/>
      <c r="D453" s="191"/>
      <c r="E453" s="283"/>
      <c r="F453" s="511"/>
      <c r="G453" s="564"/>
      <c r="H453" s="511"/>
      <c r="I453" s="284"/>
      <c r="J453" s="283"/>
      <c r="K453" s="283"/>
      <c r="L453" s="192"/>
      <c r="M453" s="5"/>
      <c r="N453" s="695"/>
      <c r="O453" s="695"/>
      <c r="P453" s="695"/>
      <c r="Q453" s="695"/>
      <c r="R453" s="695"/>
      <c r="S453" s="695"/>
      <c r="T453" s="695"/>
      <c r="U453" s="695"/>
      <c r="V453" s="695"/>
      <c r="W453" s="694">
        <f t="shared" si="64"/>
        <v>0</v>
      </c>
      <c r="X453">
        <f t="shared" si="65"/>
        <v>0</v>
      </c>
      <c r="Y453" s="26"/>
    </row>
    <row r="454" spans="1:25" s="870" customFormat="1" x14ac:dyDescent="0.2">
      <c r="A454" s="320" t="s">
        <v>2488</v>
      </c>
      <c r="B454" s="1" t="s">
        <v>1518</v>
      </c>
      <c r="C454" s="555">
        <f>IF(manual=1,0,tot_switches)</f>
        <v>13</v>
      </c>
      <c r="D454" s="355" t="s">
        <v>606</v>
      </c>
      <c r="E454" s="549" t="s">
        <v>590</v>
      </c>
      <c r="F454" s="510"/>
      <c r="G454" s="549" t="s">
        <v>590</v>
      </c>
      <c r="H454" s="510"/>
      <c r="I454" s="686">
        <f>IF(manual=1,"NA",VLOOKUP(0,switch_cost_cl,3))</f>
        <v>1300.8978726158491</v>
      </c>
      <c r="J454" s="356">
        <f>IF(I454="contact vendor","--",IF(manual=1,0,C454*I454))</f>
        <v>16911.672344006038</v>
      </c>
      <c r="K454" s="195">
        <f>IF(manual=1,"NA",VLOOKUP(0,switch_cost_cl,IF(ss_cat="large",4,5)))</f>
        <v>14</v>
      </c>
      <c r="L454" s="354">
        <v>1</v>
      </c>
      <c r="M454" s="5" t="str">
        <f>$B$442&amp;" - "&amp;$B$453&amp;" - "&amp;B454</f>
        <v>System Controls  - Operator Equipment - Drive controllers</v>
      </c>
      <c r="N454" s="694">
        <v>1</v>
      </c>
      <c r="O454" s="694">
        <v>1</v>
      </c>
      <c r="P454" s="694">
        <v>1</v>
      </c>
      <c r="Q454" s="694">
        <v>1</v>
      </c>
      <c r="R454" s="694">
        <v>1</v>
      </c>
      <c r="S454" s="694">
        <v>1</v>
      </c>
      <c r="T454" s="694">
        <v>1</v>
      </c>
      <c r="U454" s="694">
        <v>1</v>
      </c>
      <c r="V454" s="694">
        <v>1</v>
      </c>
      <c r="W454" s="694">
        <f t="shared" si="64"/>
        <v>1</v>
      </c>
      <c r="X454">
        <f t="shared" si="65"/>
        <v>1207.9765960004313</v>
      </c>
      <c r="Y454" s="30"/>
    </row>
    <row r="455" spans="1:25" s="870" customFormat="1" x14ac:dyDescent="0.2">
      <c r="A455" s="320" t="s">
        <v>2281</v>
      </c>
      <c r="B455" s="1" t="s">
        <v>3622</v>
      </c>
      <c r="C455" s="555">
        <f>IF(manual=1,0,plc_interface)</f>
        <v>2</v>
      </c>
      <c r="D455" s="355" t="s">
        <v>606</v>
      </c>
      <c r="E455" s="549" t="s">
        <v>590</v>
      </c>
      <c r="F455" s="510"/>
      <c r="G455" s="549" t="s">
        <v>590</v>
      </c>
      <c r="H455" s="510"/>
      <c r="I455" s="686">
        <f>IF(manual=1,"NA",VLOOKUP(ss_cat,plc_op_interface_cost_cl,3,FALSE))</f>
        <v>1828.625</v>
      </c>
      <c r="J455" s="356">
        <f>IF(I455="contact vendor","--",IF(manual=1,0,C455*I455))</f>
        <v>3657.25</v>
      </c>
      <c r="K455" s="195">
        <f>IF(manual=1,"NA",VLOOKUP(ss_cat,plc_op_interface_cost_cl,IF(ss_cat="large",4,5),FALSE))</f>
        <v>8</v>
      </c>
      <c r="L455" s="354">
        <v>1</v>
      </c>
      <c r="M455" s="5" t="str">
        <f>$B$442&amp;" - "&amp;$B$453&amp;" - "&amp;B455</f>
        <v>System Controls  - Operator Equipment - Operator interface units</v>
      </c>
      <c r="N455" s="694">
        <v>1</v>
      </c>
      <c r="O455" s="694">
        <v>1</v>
      </c>
      <c r="P455" s="694">
        <v>1</v>
      </c>
      <c r="Q455" s="694">
        <v>1</v>
      </c>
      <c r="R455" s="694">
        <v>1</v>
      </c>
      <c r="S455" s="694">
        <v>1</v>
      </c>
      <c r="T455" s="694">
        <v>1</v>
      </c>
      <c r="U455" s="694">
        <v>1</v>
      </c>
      <c r="V455" s="694">
        <v>1</v>
      </c>
      <c r="W455" s="694">
        <f t="shared" si="64"/>
        <v>1</v>
      </c>
      <c r="X455">
        <f t="shared" si="65"/>
        <v>457.15625</v>
      </c>
      <c r="Y455" s="30"/>
    </row>
    <row r="456" spans="1:25" s="870" customFormat="1" x14ac:dyDescent="0.2">
      <c r="A456" s="320" t="s">
        <v>2282</v>
      </c>
      <c r="B456" s="1" t="s">
        <v>3623</v>
      </c>
      <c r="C456" s="555">
        <f>IF(OR(manual=1,ss_cat="small"),0,workstations)</f>
        <v>0</v>
      </c>
      <c r="D456" s="355" t="s">
        <v>606</v>
      </c>
      <c r="E456" s="549" t="s">
        <v>590</v>
      </c>
      <c r="F456" s="510"/>
      <c r="G456" s="549" t="s">
        <v>590</v>
      </c>
      <c r="H456" s="510"/>
      <c r="I456" s="686">
        <f>IF(manual=1,"NA",VLOOKUP(0,pc_workstation_cost_cl,3))</f>
        <v>1325.79</v>
      </c>
      <c r="J456" s="356">
        <f>IF(I456="contact vendor","--",IF(manual=1,0,C456*I456))</f>
        <v>0</v>
      </c>
      <c r="K456" s="195">
        <f>IF(manual=1,"NA",VLOOKUP(0,pc_workstation_cost_cl,IF(ss_cat="large",4,5)))</f>
        <v>8</v>
      </c>
      <c r="L456" s="354"/>
      <c r="M456" s="5" t="str">
        <f>$B$442&amp;" - "&amp;$B$453&amp;" - "&amp;B456</f>
        <v>System Controls  - Operator Equipment - PC Workstations</v>
      </c>
      <c r="N456" s="694">
        <v>1</v>
      </c>
      <c r="O456" s="694">
        <v>1</v>
      </c>
      <c r="P456" s="694">
        <v>1</v>
      </c>
      <c r="Q456" s="694">
        <v>1</v>
      </c>
      <c r="R456" s="694">
        <v>1</v>
      </c>
      <c r="S456" s="694">
        <v>1</v>
      </c>
      <c r="T456" s="694">
        <v>1</v>
      </c>
      <c r="U456" s="694">
        <v>1</v>
      </c>
      <c r="V456" s="694">
        <v>1</v>
      </c>
      <c r="W456" s="694">
        <f t="shared" si="64"/>
        <v>0</v>
      </c>
      <c r="X456">
        <f t="shared" si="65"/>
        <v>0</v>
      </c>
      <c r="Y456" s="30"/>
    </row>
    <row r="457" spans="1:25" s="870" customFormat="1" x14ac:dyDescent="0.2">
      <c r="A457" s="320" t="s">
        <v>2283</v>
      </c>
      <c r="B457" s="1" t="s">
        <v>3624</v>
      </c>
      <c r="C457" s="555">
        <f>IF(OR(manual=1,ss_cat="small"),0,printers)</f>
        <v>0</v>
      </c>
      <c r="D457" s="355" t="s">
        <v>606</v>
      </c>
      <c r="E457" s="549" t="s">
        <v>590</v>
      </c>
      <c r="F457" s="510"/>
      <c r="G457" s="549" t="s">
        <v>590</v>
      </c>
      <c r="H457" s="510"/>
      <c r="I457" s="686">
        <f>IF(manual=1,"NA",VLOOKUP(0,laser_printer_cost_cl,3))</f>
        <v>373.99500000000006</v>
      </c>
      <c r="J457" s="356">
        <f>IF(I457="contact vendor","--",IF(manual=1,0,C457*I457))</f>
        <v>0</v>
      </c>
      <c r="K457" s="195">
        <f>IF(manual=1,"NA",VLOOKUP(0,laser_printer_cost_cl,IF(ss_cat="large",4,5)))</f>
        <v>8</v>
      </c>
      <c r="L457" s="354"/>
      <c r="M457" s="5" t="str">
        <f>$B$442&amp;" - "&amp;$B$453&amp;" - "&amp;B457</f>
        <v>System Controls  - Operator Equipment - Printers - laser jet</v>
      </c>
      <c r="N457" s="694">
        <v>1</v>
      </c>
      <c r="O457" s="694">
        <v>1</v>
      </c>
      <c r="P457" s="694">
        <v>1</v>
      </c>
      <c r="Q457" s="694">
        <v>1</v>
      </c>
      <c r="R457" s="694">
        <v>1</v>
      </c>
      <c r="S457" s="694">
        <v>1</v>
      </c>
      <c r="T457" s="694">
        <v>1</v>
      </c>
      <c r="U457" s="694">
        <v>1</v>
      </c>
      <c r="V457" s="694">
        <v>1</v>
      </c>
      <c r="W457" s="694">
        <f t="shared" si="64"/>
        <v>0</v>
      </c>
      <c r="X457">
        <f t="shared" si="65"/>
        <v>0</v>
      </c>
      <c r="Y457" s="30"/>
    </row>
    <row r="458" spans="1:25" s="778" customFormat="1" x14ac:dyDescent="0.2">
      <c r="A458" s="473">
        <v>10.3</v>
      </c>
      <c r="B458" s="44" t="s">
        <v>3171</v>
      </c>
      <c r="C458" s="556"/>
      <c r="D458" s="191"/>
      <c r="E458" s="283"/>
      <c r="F458" s="511"/>
      <c r="G458" s="564"/>
      <c r="H458" s="511"/>
      <c r="I458" s="284"/>
      <c r="J458" s="283"/>
      <c r="K458" s="283"/>
      <c r="L458" s="192"/>
      <c r="M458" s="5"/>
      <c r="N458" s="694"/>
      <c r="O458" s="694"/>
      <c r="P458" s="694"/>
      <c r="Q458" s="694"/>
      <c r="R458" s="694"/>
      <c r="S458" s="694"/>
      <c r="T458" s="694"/>
      <c r="U458" s="694"/>
      <c r="V458" s="694"/>
      <c r="W458" s="694">
        <f t="shared" si="64"/>
        <v>0</v>
      </c>
      <c r="X458">
        <f t="shared" si="65"/>
        <v>0</v>
      </c>
      <c r="Y458" s="26"/>
    </row>
    <row r="459" spans="1:25" s="870" customFormat="1" x14ac:dyDescent="0.2">
      <c r="A459" s="320" t="s">
        <v>2489</v>
      </c>
      <c r="B459" s="1" t="s">
        <v>3172</v>
      </c>
      <c r="C459" s="555">
        <f>IF(OR(manual=1,ss_cat="small"),0,plc_interface)</f>
        <v>0</v>
      </c>
      <c r="D459" s="355" t="s">
        <v>606</v>
      </c>
      <c r="E459" s="549" t="s">
        <v>590</v>
      </c>
      <c r="F459" s="510"/>
      <c r="G459" s="549" t="s">
        <v>590</v>
      </c>
      <c r="H459" s="510"/>
      <c r="I459" s="686">
        <f>IF(manual=1,"NA",VLOOKUP(0,op_interface_software_cost_cl,3))</f>
        <v>40.5</v>
      </c>
      <c r="J459" s="356">
        <f>IF(I459="contact vendor","--",IF(manual=1,0,C459*I459))</f>
        <v>0</v>
      </c>
      <c r="K459" s="195">
        <f>IF(manual=1,"NA",VLOOKUP(0,op_interface_software_cost_cl,IF(ss_cat="large",4,5)))</f>
        <v>8</v>
      </c>
      <c r="L459" s="354"/>
      <c r="M459" s="5" t="str">
        <f>$B$442&amp;" - "&amp;$B$458&amp;" - "&amp;B459</f>
        <v>System Controls  - Controls Software - Operator interface software</v>
      </c>
      <c r="N459" s="694">
        <v>1</v>
      </c>
      <c r="O459" s="694">
        <v>1</v>
      </c>
      <c r="P459" s="694">
        <v>1</v>
      </c>
      <c r="Q459" s="694">
        <v>1</v>
      </c>
      <c r="R459" s="694">
        <v>1</v>
      </c>
      <c r="S459" s="694">
        <v>1</v>
      </c>
      <c r="T459" s="694">
        <v>1</v>
      </c>
      <c r="U459" s="694">
        <v>1</v>
      </c>
      <c r="V459" s="694">
        <v>1</v>
      </c>
      <c r="W459" s="694">
        <f t="shared" si="64"/>
        <v>0</v>
      </c>
      <c r="X459">
        <f t="shared" si="65"/>
        <v>0</v>
      </c>
      <c r="Y459" s="30"/>
    </row>
    <row r="460" spans="1:25" s="870" customFormat="1" x14ac:dyDescent="0.2">
      <c r="A460" s="320" t="s">
        <v>2284</v>
      </c>
      <c r="B460" s="1" t="s">
        <v>1519</v>
      </c>
      <c r="C460" s="555">
        <f>IF(OR(manual=1,ss_cat="small"),0,workstations)</f>
        <v>0</v>
      </c>
      <c r="D460" s="355" t="s">
        <v>606</v>
      </c>
      <c r="E460" s="549" t="s">
        <v>590</v>
      </c>
      <c r="F460" s="510"/>
      <c r="G460" s="549" t="s">
        <v>590</v>
      </c>
      <c r="H460" s="510"/>
      <c r="I460" s="686">
        <f>IF(manual=1,"NA",VLOOKUP(0,plc_software_cost_cl,3))</f>
        <v>553.5</v>
      </c>
      <c r="J460" s="356">
        <f>IF(I460="contact vendor","--",IF(manual=1,0,C460*I460))</f>
        <v>0</v>
      </c>
      <c r="K460" s="195">
        <f>IF(manual=1,"NA",VLOOKUP(0,plc_software_cost_cl,IF(ss_cat="large",4,5)))</f>
        <v>8</v>
      </c>
      <c r="L460" s="354"/>
      <c r="M460" s="5" t="str">
        <f>$B$442&amp;" - "&amp;$B$458&amp;" - "&amp;B460</f>
        <v>System Controls  - Controls Software - PLC programming software</v>
      </c>
      <c r="N460" s="694">
        <v>1</v>
      </c>
      <c r="O460" s="694">
        <v>1</v>
      </c>
      <c r="P460" s="694">
        <v>1</v>
      </c>
      <c r="Q460" s="694">
        <v>1</v>
      </c>
      <c r="R460" s="694">
        <v>1</v>
      </c>
      <c r="S460" s="694">
        <v>1</v>
      </c>
      <c r="T460" s="694">
        <v>1</v>
      </c>
      <c r="U460" s="694">
        <v>1</v>
      </c>
      <c r="V460" s="694">
        <v>1</v>
      </c>
      <c r="W460" s="694">
        <f t="shared" si="64"/>
        <v>0</v>
      </c>
      <c r="X460">
        <f t="shared" si="65"/>
        <v>0</v>
      </c>
      <c r="Y460" s="30"/>
    </row>
    <row r="461" spans="1:25" s="870" customFormat="1" x14ac:dyDescent="0.2">
      <c r="A461" s="320" t="s">
        <v>2285</v>
      </c>
      <c r="B461" s="1" t="s">
        <v>1520</v>
      </c>
      <c r="C461" s="555">
        <f>IF(OR(manual=1,ss_cat="small"),0,workstations)</f>
        <v>0</v>
      </c>
      <c r="D461" s="355" t="s">
        <v>606</v>
      </c>
      <c r="E461" s="549" t="s">
        <v>590</v>
      </c>
      <c r="F461" s="510"/>
      <c r="G461" s="549" t="s">
        <v>590</v>
      </c>
      <c r="H461" s="510"/>
      <c r="I461" s="686">
        <f>IF(manual=1,"NA",VLOOKUP(0,plc_data_software_cost_cl,3))</f>
        <v>597.23500000000001</v>
      </c>
      <c r="J461" s="356">
        <f>IF(I461="contact vendor","--",IF(manual=1,0,C461*I461))</f>
        <v>0</v>
      </c>
      <c r="K461" s="195">
        <f>IF(manual=1,"NA",VLOOKUP(0,plc_data_software_cost_cl,IF(ss_cat="large",4,5)))</f>
        <v>8</v>
      </c>
      <c r="L461" s="354"/>
      <c r="M461" s="5" t="str">
        <f>$B$442&amp;" - "&amp;$B$458&amp;" - "&amp;B461</f>
        <v>System Controls  - Controls Software - PLC data collection software</v>
      </c>
      <c r="N461" s="694">
        <v>1</v>
      </c>
      <c r="O461" s="694">
        <v>1</v>
      </c>
      <c r="P461" s="694">
        <v>1</v>
      </c>
      <c r="Q461" s="694">
        <v>1</v>
      </c>
      <c r="R461" s="694">
        <v>1</v>
      </c>
      <c r="S461" s="694">
        <v>1</v>
      </c>
      <c r="T461" s="694">
        <v>1</v>
      </c>
      <c r="U461" s="694">
        <v>1</v>
      </c>
      <c r="V461" s="694">
        <v>1</v>
      </c>
      <c r="W461" s="694">
        <f t="shared" si="64"/>
        <v>0</v>
      </c>
      <c r="X461">
        <f t="shared" si="65"/>
        <v>0</v>
      </c>
      <c r="Y461" s="30"/>
    </row>
    <row r="462" spans="1:25" s="870" customFormat="1" x14ac:dyDescent="0.2">
      <c r="A462" s="320" t="s">
        <v>2286</v>
      </c>
      <c r="B462" s="1" t="s">
        <v>3625</v>
      </c>
      <c r="C462" s="555">
        <f>IF(OR(manual=1,ss_cat="small"),0,workstations)</f>
        <v>0</v>
      </c>
      <c r="D462" s="355" t="s">
        <v>606</v>
      </c>
      <c r="E462" s="549" t="s">
        <v>590</v>
      </c>
      <c r="F462" s="510"/>
      <c r="G462" s="549" t="s">
        <v>590</v>
      </c>
      <c r="H462" s="510"/>
      <c r="I462" s="686" t="str">
        <f>IF(OR(manual=1,ss_cat="small"),"NA",VLOOKUP(0,plant_intel_software_cost_cl,3))</f>
        <v>NA</v>
      </c>
      <c r="J462" s="356">
        <f>IF(I462="contact vendor","--",IF(OR(manual=1,ss_cat="small"),0,C462*I462))</f>
        <v>0</v>
      </c>
      <c r="K462" s="195" t="str">
        <f>IF(OR(manual=1,ss_cat="small"),"NA",VLOOKUP(0,plant_intel_software_cost_cl,IF(ss_cat="large",4,5)))</f>
        <v>NA</v>
      </c>
      <c r="L462" s="354"/>
      <c r="M462" s="5" t="str">
        <f>$B$442&amp;" - "&amp;$B$458&amp;" - "&amp;B462</f>
        <v>System Controls  - Controls Software - Plant intelligence software</v>
      </c>
      <c r="N462" s="694">
        <v>1</v>
      </c>
      <c r="O462" s="694">
        <v>1</v>
      </c>
      <c r="P462" s="694">
        <v>1</v>
      </c>
      <c r="Q462" s="694">
        <v>1</v>
      </c>
      <c r="R462" s="694">
        <v>1</v>
      </c>
      <c r="S462" s="694">
        <v>1</v>
      </c>
      <c r="T462" s="694">
        <v>1</v>
      </c>
      <c r="U462" s="694">
        <v>1</v>
      </c>
      <c r="V462" s="694">
        <v>1</v>
      </c>
      <c r="W462" s="694">
        <f t="shared" ref="W462:W506" si="70">IF(ISERROR(K462*L462),0,IF(K462&lt;1,0,L462))</f>
        <v>0</v>
      </c>
      <c r="X462">
        <f t="shared" ref="X462:X506" si="71">IF(W462,J462/K462,0)</f>
        <v>0</v>
      </c>
      <c r="Y462" s="30"/>
    </row>
    <row r="463" spans="1:25" x14ac:dyDescent="0.2">
      <c r="A463" s="360">
        <v>11</v>
      </c>
      <c r="B463" s="18" t="s">
        <v>1089</v>
      </c>
      <c r="C463" s="269"/>
      <c r="D463" s="269"/>
      <c r="E463" s="269"/>
      <c r="F463" s="269"/>
      <c r="G463" s="269"/>
      <c r="H463" s="269"/>
      <c r="I463" s="879"/>
      <c r="J463" s="269"/>
      <c r="K463" s="269"/>
      <c r="L463" s="270"/>
      <c r="M463" s="5"/>
      <c r="N463" s="694"/>
      <c r="O463" s="694"/>
      <c r="P463" s="694"/>
      <c r="Q463" s="694"/>
      <c r="R463" s="694"/>
      <c r="S463" s="694"/>
      <c r="T463" s="694"/>
      <c r="U463" s="694"/>
      <c r="V463" s="694"/>
      <c r="W463" s="694">
        <f t="shared" si="70"/>
        <v>0</v>
      </c>
      <c r="X463">
        <f t="shared" si="71"/>
        <v>0</v>
      </c>
      <c r="Y463"/>
    </row>
    <row r="464" spans="1:25" x14ac:dyDescent="0.2">
      <c r="A464" s="473">
        <v>11.1</v>
      </c>
      <c r="B464" s="44" t="s">
        <v>3652</v>
      </c>
      <c r="C464" s="191"/>
      <c r="D464" s="272"/>
      <c r="E464" s="191"/>
      <c r="F464" s="191"/>
      <c r="G464" s="191"/>
      <c r="H464" s="191"/>
      <c r="I464" s="880"/>
      <c r="J464" s="191"/>
      <c r="K464" s="191"/>
      <c r="L464" s="192"/>
      <c r="M464"/>
      <c r="N464" s="694"/>
      <c r="O464" s="694"/>
      <c r="P464" s="694"/>
      <c r="Q464" s="694"/>
      <c r="R464" s="694"/>
      <c r="S464" s="694"/>
      <c r="T464" s="694"/>
      <c r="U464" s="694"/>
      <c r="V464" s="694"/>
      <c r="W464" s="694">
        <f t="shared" si="70"/>
        <v>0</v>
      </c>
      <c r="X464">
        <f t="shared" si="71"/>
        <v>0</v>
      </c>
      <c r="Y464"/>
    </row>
    <row r="465" spans="1:25" x14ac:dyDescent="0.2">
      <c r="A465" s="629" t="s">
        <v>4003</v>
      </c>
      <c r="B465" s="630" t="s">
        <v>1142</v>
      </c>
      <c r="C465" s="631">
        <f>IF(AND(build1_fp&gt;0,build1_fp&lt;500),1,0)</f>
        <v>1</v>
      </c>
      <c r="D465" s="632" t="s">
        <v>606</v>
      </c>
      <c r="E465" s="633">
        <f>build1_fp</f>
        <v>450</v>
      </c>
      <c r="F465" s="510" t="s">
        <v>2457</v>
      </c>
      <c r="G465" s="634">
        <f>build1_fp</f>
        <v>450</v>
      </c>
      <c r="H465" s="510" t="s">
        <v>2457</v>
      </c>
      <c r="I465" s="636">
        <f>IF(C465=0,"NA",VLOOKUP(build1_fp,bldg_shed_cost_cl,3))</f>
        <v>50.742289444355997</v>
      </c>
      <c r="J465" s="356">
        <f>IF(OR(I465="NA",I465="contact vendor"),"--",G465*I465)</f>
        <v>22834.0302499602</v>
      </c>
      <c r="K465" s="195">
        <f>IF($C465=0,"N/A",VLOOKUP(build1_fp,bldg_shed_cost_cl,IF(ss_cat="large",4,5)))</f>
        <v>20</v>
      </c>
      <c r="L465" s="354">
        <v>1</v>
      </c>
      <c r="M465" s="26" t="str">
        <f>B463&amp;" - "&amp;B464&amp;" - "&amp;B465</f>
        <v>Building Structures and HVAC - Building 1 - Small Low Cost Shed</v>
      </c>
      <c r="N465" s="694">
        <f t="shared" ref="N465:V465" si="72">IF(include_buildings=1,2,0)</f>
        <v>2</v>
      </c>
      <c r="O465" s="694">
        <f t="shared" si="72"/>
        <v>2</v>
      </c>
      <c r="P465" s="694">
        <f t="shared" si="72"/>
        <v>2</v>
      </c>
      <c r="Q465" s="694">
        <f t="shared" si="72"/>
        <v>2</v>
      </c>
      <c r="R465" s="694">
        <f t="shared" si="72"/>
        <v>2</v>
      </c>
      <c r="S465" s="694">
        <f t="shared" si="72"/>
        <v>2</v>
      </c>
      <c r="T465" s="694">
        <f t="shared" si="72"/>
        <v>2</v>
      </c>
      <c r="U465" s="694">
        <f t="shared" si="72"/>
        <v>2</v>
      </c>
      <c r="V465" s="694">
        <f t="shared" si="72"/>
        <v>2</v>
      </c>
      <c r="W465" s="694">
        <f t="shared" si="70"/>
        <v>1</v>
      </c>
      <c r="X465">
        <f t="shared" si="71"/>
        <v>1141.7015124980101</v>
      </c>
      <c r="Y465">
        <f>IF(W465,K465,0)</f>
        <v>20</v>
      </c>
    </row>
    <row r="466" spans="1:25" x14ac:dyDescent="0.2">
      <c r="A466" s="629" t="s">
        <v>4003</v>
      </c>
      <c r="B466" s="630" t="s">
        <v>1143</v>
      </c>
      <c r="C466" s="631">
        <f>IF(build1_fp&gt;=500,1,0)</f>
        <v>0</v>
      </c>
      <c r="D466" s="632" t="s">
        <v>606</v>
      </c>
      <c r="E466" s="634">
        <f>build1_fp</f>
        <v>450</v>
      </c>
      <c r="F466" s="510" t="s">
        <v>2457</v>
      </c>
      <c r="G466" s="634">
        <f>build1_fp</f>
        <v>450</v>
      </c>
      <c r="H466" s="510" t="s">
        <v>2457</v>
      </c>
      <c r="I466" s="636" t="str">
        <f>IF(C466=0,"NA",IF(curve=1,bldg_lo_eq_1,VLOOKUP(build1_fp, bldg_lo_cost_cl,3)))</f>
        <v>NA</v>
      </c>
      <c r="J466" s="356" t="str">
        <f>IF(OR(I466="NA",I466="contact vendor"),"--",G466*I466)</f>
        <v>--</v>
      </c>
      <c r="K466" s="195" t="str">
        <f>IF($C466=0,"N/A",VLOOKUP(build1_fp,bldg_lo_cost_cl,IF(ss_cat="large",4,5)))</f>
        <v>N/A</v>
      </c>
      <c r="L466" s="354">
        <v>0</v>
      </c>
      <c r="M466" s="26" t="str">
        <f>B463&amp;" - "&amp;B464&amp;" - "&amp;B466</f>
        <v>Building Structures and HVAC - Building 1 - Low Quality</v>
      </c>
      <c r="N466" s="694">
        <f>include_buildings</f>
        <v>1</v>
      </c>
      <c r="O466" s="694"/>
      <c r="P466" s="694"/>
      <c r="Q466" s="694">
        <f>include_buildings</f>
        <v>1</v>
      </c>
      <c r="R466" s="694"/>
      <c r="S466" s="811"/>
      <c r="T466" s="694">
        <f>include_buildings</f>
        <v>1</v>
      </c>
      <c r="U466" s="811"/>
      <c r="V466" s="694"/>
      <c r="W466" s="694">
        <f t="shared" si="70"/>
        <v>0</v>
      </c>
      <c r="X466">
        <f t="shared" si="71"/>
        <v>0</v>
      </c>
      <c r="Y466">
        <f>IF(W466,K466,0)</f>
        <v>0</v>
      </c>
    </row>
    <row r="467" spans="1:25" x14ac:dyDescent="0.2">
      <c r="A467" s="629" t="s">
        <v>4003</v>
      </c>
      <c r="B467" s="630" t="s">
        <v>1144</v>
      </c>
      <c r="C467" s="631">
        <f>IF(build1_fp&gt;=500,1,0)</f>
        <v>0</v>
      </c>
      <c r="D467" s="632" t="s">
        <v>606</v>
      </c>
      <c r="E467" s="634">
        <f>build1_fp</f>
        <v>450</v>
      </c>
      <c r="F467" s="510" t="s">
        <v>2457</v>
      </c>
      <c r="G467" s="634">
        <f>build1_fp</f>
        <v>450</v>
      </c>
      <c r="H467" s="510" t="s">
        <v>2457</v>
      </c>
      <c r="I467" s="636" t="str">
        <f>IF(C467=0,"NA",IF(curve=1,bldg_mid_eq_1,VLOOKUP(build1_fp, bldg_mid_cost_cl,3)))</f>
        <v>NA</v>
      </c>
      <c r="J467" s="356" t="str">
        <f>IF(OR(I467="NA",I467="contact vendor"),"--",G467*I467)</f>
        <v>--</v>
      </c>
      <c r="K467" s="195" t="str">
        <f>IF($C467=0,"N/A",VLOOKUP(build1_fp,bldg_mid_cost_cl,IF(ss_cat="large",4,5)))</f>
        <v>N/A</v>
      </c>
      <c r="L467" s="354">
        <v>0</v>
      </c>
      <c r="M467" s="26" t="str">
        <f>B463&amp;" - "&amp;B464&amp;" - "&amp;B467</f>
        <v>Building Structures and HVAC - Building 1 - Medium Quality</v>
      </c>
      <c r="N467" s="694"/>
      <c r="O467" s="694">
        <f>include_buildings</f>
        <v>1</v>
      </c>
      <c r="P467" s="694"/>
      <c r="Q467" s="694"/>
      <c r="R467" s="694">
        <f>include_buildings</f>
        <v>1</v>
      </c>
      <c r="S467" s="811"/>
      <c r="T467" s="811"/>
      <c r="U467" s="694">
        <f>include_buildings</f>
        <v>1</v>
      </c>
      <c r="V467" s="694"/>
      <c r="W467" s="694">
        <f t="shared" si="70"/>
        <v>0</v>
      </c>
      <c r="X467">
        <f t="shared" si="71"/>
        <v>0</v>
      </c>
      <c r="Y467">
        <f>IF(W467,K467,0)</f>
        <v>0</v>
      </c>
    </row>
    <row r="468" spans="1:25" x14ac:dyDescent="0.2">
      <c r="A468" s="629" t="s">
        <v>4003</v>
      </c>
      <c r="B468" s="630" t="s">
        <v>1145</v>
      </c>
      <c r="C468" s="631">
        <f>IF(build1_fp&gt;=500,1,0)</f>
        <v>0</v>
      </c>
      <c r="D468" s="510" t="s">
        <v>606</v>
      </c>
      <c r="E468" s="634">
        <f>build1_fp</f>
        <v>450</v>
      </c>
      <c r="F468" s="510" t="s">
        <v>2457</v>
      </c>
      <c r="G468" s="634">
        <f>build1_fp</f>
        <v>450</v>
      </c>
      <c r="H468" s="510" t="s">
        <v>2457</v>
      </c>
      <c r="I468" s="636" t="str">
        <f>IF(C468=0,"NA",IF(curve=1,bldg_hi_eq_1,VLOOKUP(build1_fp, bldg_hi_cost_cl,3)))</f>
        <v>NA</v>
      </c>
      <c r="J468" s="356" t="str">
        <f>IF(OR(I468="NA",I468="contact vendor"),"--",G468*I468)</f>
        <v>--</v>
      </c>
      <c r="K468" s="195" t="str">
        <f>IF($C468=0,"N/A",VLOOKUP(build1_fp,bldg_hi_cost_cl,IF(ss_cat="large",4,5)))</f>
        <v>N/A</v>
      </c>
      <c r="L468" s="354">
        <v>0</v>
      </c>
      <c r="M468" s="26" t="str">
        <f>B463&amp;" - "&amp;B464&amp;" - "&amp;B468</f>
        <v>Building Structures and HVAC - Building 1 - High Quality</v>
      </c>
      <c r="N468" s="694"/>
      <c r="O468" s="694"/>
      <c r="P468" s="694">
        <f>include_buildings</f>
        <v>1</v>
      </c>
      <c r="Q468" s="694"/>
      <c r="R468" s="694"/>
      <c r="S468" s="694">
        <f>include_buildings</f>
        <v>1</v>
      </c>
      <c r="T468" s="811"/>
      <c r="U468" s="811"/>
      <c r="V468" s="694">
        <f>include_buildings</f>
        <v>1</v>
      </c>
      <c r="W468" s="694">
        <f t="shared" si="70"/>
        <v>0</v>
      </c>
      <c r="X468">
        <f t="shared" si="71"/>
        <v>0</v>
      </c>
      <c r="Y468">
        <f>IF(W468,K468,0)</f>
        <v>0</v>
      </c>
    </row>
    <row r="469" spans="1:25" x14ac:dyDescent="0.2">
      <c r="A469" s="473" t="s">
        <v>4004</v>
      </c>
      <c r="B469" s="44" t="str">
        <f>"Heating System"&amp;IF(build1_heat="heat pump"," (included with cooling system)","")</f>
        <v>Heating System</v>
      </c>
      <c r="C469" s="283"/>
      <c r="D469" s="635"/>
      <c r="E469" s="283"/>
      <c r="F469" s="511"/>
      <c r="G469" s="283"/>
      <c r="H469" s="511"/>
      <c r="I469" s="284"/>
      <c r="J469" s="283"/>
      <c r="K469" s="283"/>
      <c r="L469" s="192"/>
      <c r="M469"/>
      <c r="N469" s="694"/>
      <c r="O469" s="694"/>
      <c r="P469" s="694"/>
      <c r="Q469" s="694"/>
      <c r="R469" s="694"/>
      <c r="S469" s="694"/>
      <c r="T469" s="694"/>
      <c r="U469" s="694"/>
      <c r="V469" s="694"/>
      <c r="W469" s="694">
        <f t="shared" si="70"/>
        <v>0</v>
      </c>
      <c r="X469">
        <f t="shared" si="71"/>
        <v>0</v>
      </c>
      <c r="Y469"/>
    </row>
    <row r="470" spans="1:25" x14ac:dyDescent="0.2">
      <c r="A470" s="629" t="s">
        <v>4005</v>
      </c>
      <c r="B470" s="630" t="s">
        <v>3629</v>
      </c>
      <c r="C470" s="631" t="str">
        <f>IF(build1_heat="heat pump","NA",IF(build1_need_heat,build1_zones,"NA"))</f>
        <v>NA</v>
      </c>
      <c r="D470" s="510" t="str">
        <f>IF(C470="NA","","zones")</f>
        <v/>
      </c>
      <c r="E470" s="634" t="str">
        <f>IF(C470="NA","NA",build1_heat_mbh)</f>
        <v>NA</v>
      </c>
      <c r="F470" s="510" t="str">
        <f>IF(C470="NA","","MBH")</f>
        <v/>
      </c>
      <c r="G470" s="634" t="str">
        <f>IF(C470="NA","NA",IF(curve=1,build1_heat_mbh,VLOOKUP(build1_heat_mbh,hvac_elec_cost_cl,2)))</f>
        <v>NA</v>
      </c>
      <c r="H470" s="510" t="str">
        <f>IF(C470="NA","","MBH")</f>
        <v/>
      </c>
      <c r="I470" s="636" t="str">
        <f>IF(C470="NA","NA",IF(curve=1,hvac_elec_eq_1,VLOOKUP(build1_heat_mbh,hvac_elec_cost_cl,3)))</f>
        <v>NA</v>
      </c>
      <c r="J470" s="356" t="str">
        <f>IF(OR(I470="NA",I470="contact vendor"),"--",C470*I470)</f>
        <v>--</v>
      </c>
      <c r="K470" s="195" t="str">
        <f>IF(C470="NA","NA",VLOOKUP(build1_heat_mbh,hvac_elec_cost_cl,IF(ss_cat="large",4,5)))</f>
        <v>NA</v>
      </c>
      <c r="L470" s="354"/>
      <c r="M470" s="26" t="str">
        <f>B463&amp;" - "&amp;B464&amp;" - "&amp;B469&amp;" - "&amp;B470</f>
        <v>Building Structures and HVAC - Building 1 - Heating System - Electric resistance</v>
      </c>
      <c r="N470" s="694" t="str">
        <f t="shared" ref="N470:V474" si="73">IF(include_HVAC=0,0,IF(build1_heat=$B470,1,""))</f>
        <v/>
      </c>
      <c r="O470" s="694" t="str">
        <f t="shared" si="73"/>
        <v/>
      </c>
      <c r="P470" s="694" t="str">
        <f t="shared" si="73"/>
        <v/>
      </c>
      <c r="Q470" s="694" t="str">
        <f t="shared" si="73"/>
        <v/>
      </c>
      <c r="R470" s="694" t="str">
        <f t="shared" si="73"/>
        <v/>
      </c>
      <c r="S470" s="694" t="str">
        <f t="shared" si="73"/>
        <v/>
      </c>
      <c r="T470" s="694" t="str">
        <f t="shared" si="73"/>
        <v/>
      </c>
      <c r="U470" s="694" t="str">
        <f t="shared" si="73"/>
        <v/>
      </c>
      <c r="V470" s="694" t="str">
        <f t="shared" si="73"/>
        <v/>
      </c>
      <c r="W470" s="694">
        <f t="shared" si="70"/>
        <v>0</v>
      </c>
      <c r="X470">
        <f t="shared" si="71"/>
        <v>0</v>
      </c>
      <c r="Y470"/>
    </row>
    <row r="471" spans="1:25" x14ac:dyDescent="0.2">
      <c r="A471" s="629" t="s">
        <v>4005</v>
      </c>
      <c r="B471" s="630" t="s">
        <v>3631</v>
      </c>
      <c r="C471" s="631" t="str">
        <f>IF(build1_heat="heat pump","NA",IF(build1_need_heat,build1_zones,"NA"))</f>
        <v>NA</v>
      </c>
      <c r="D471" s="510" t="str">
        <f>IF(C471="NA","","zones")</f>
        <v/>
      </c>
      <c r="E471" s="634" t="str">
        <f>IF(C471="NA","NA",build1_heat_mbh)</f>
        <v>NA</v>
      </c>
      <c r="F471" s="510" t="str">
        <f>IF(C471="NA","","MBH")</f>
        <v/>
      </c>
      <c r="G471" s="634" t="str">
        <f>IF(C471="NA","NA",IF(curve=1,build1_heat_mbh,VLOOKUP(build1_heat_mbh,hvac_gas_non_cost_cl,2)))</f>
        <v>NA</v>
      </c>
      <c r="H471" s="510" t="str">
        <f>IF(C471="NA","","MBH")</f>
        <v/>
      </c>
      <c r="I471" s="636" t="str">
        <f>IF(C471="NA","NA",IF(curve=1,hvac_gas_non_eq_1,VLOOKUP(build1_heat_mbh,hvac_gas_non_cost_cl,3)))</f>
        <v>NA</v>
      </c>
      <c r="J471" s="356" t="str">
        <f>IF(OR(I471="NA",I471="contact vendor"),"--",C471*I471)</f>
        <v>--</v>
      </c>
      <c r="K471" s="195" t="str">
        <f>IF(C471="NA","NA",VLOOKUP(build1_heat_mbh,hvac_gas_non_cost_cl,IF(ss_cat="large",4,5)))</f>
        <v>NA</v>
      </c>
      <c r="L471" s="354"/>
      <c r="M471" s="26" t="str">
        <f>B463&amp;" - "&amp;B464&amp;" - "&amp;B469&amp;" - "&amp;B471</f>
        <v>Building Structures and HVAC - Building 1 - Heating System - Natural gas non-condensing furnace</v>
      </c>
      <c r="N471" s="694" t="str">
        <f t="shared" si="73"/>
        <v/>
      </c>
      <c r="O471" s="694" t="str">
        <f t="shared" si="73"/>
        <v/>
      </c>
      <c r="P471" s="694" t="str">
        <f t="shared" si="73"/>
        <v/>
      </c>
      <c r="Q471" s="694" t="str">
        <f t="shared" si="73"/>
        <v/>
      </c>
      <c r="R471" s="694" t="str">
        <f t="shared" si="73"/>
        <v/>
      </c>
      <c r="S471" s="694" t="str">
        <f t="shared" si="73"/>
        <v/>
      </c>
      <c r="T471" s="694" t="str">
        <f t="shared" si="73"/>
        <v/>
      </c>
      <c r="U471" s="694" t="str">
        <f t="shared" si="73"/>
        <v/>
      </c>
      <c r="V471" s="694" t="str">
        <f t="shared" si="73"/>
        <v/>
      </c>
      <c r="W471" s="694">
        <f t="shared" si="70"/>
        <v>0</v>
      </c>
      <c r="X471">
        <f t="shared" si="71"/>
        <v>0</v>
      </c>
      <c r="Y471"/>
    </row>
    <row r="472" spans="1:25" x14ac:dyDescent="0.2">
      <c r="A472" s="629" t="s">
        <v>4005</v>
      </c>
      <c r="B472" s="630" t="s">
        <v>3634</v>
      </c>
      <c r="C472" s="631" t="str">
        <f>IF(build1_heat="heat pump","NA",IF(build1_need_heat,build1_zones,"NA"))</f>
        <v>NA</v>
      </c>
      <c r="D472" s="510" t="str">
        <f>IF(C472="NA","","zones")</f>
        <v/>
      </c>
      <c r="E472" s="634" t="str">
        <f>IF(C472="NA","NA",build1_heat_mbh)</f>
        <v>NA</v>
      </c>
      <c r="F472" s="510" t="str">
        <f>IF(C472="NA","","MBH")</f>
        <v/>
      </c>
      <c r="G472" s="634" t="str">
        <f>IF(C472="NA","NA",IF(curve=1,build1_heat_mbh,VLOOKUP(build1_heat_mbh,hvac_gas_cost_cl,2)))</f>
        <v>NA</v>
      </c>
      <c r="H472" s="510" t="str">
        <f>IF(C472="NA","","MBH")</f>
        <v/>
      </c>
      <c r="I472" s="636" t="str">
        <f>IF(C472="NA","NA",IF(curve=1,hvac_gas_eq_1,VLOOKUP(build1_heat_mbh,hvac_gas_cost_cl,3)))</f>
        <v>NA</v>
      </c>
      <c r="J472" s="356" t="str">
        <f>IF(OR(I472="NA",I472="contact vendor"),"--",C472*I472)</f>
        <v>--</v>
      </c>
      <c r="K472" s="195" t="str">
        <f>IF(C472="NA","NA",VLOOKUP(build1_heat_mbh,hvac_gas_cost_cl,IF(ss_cat="large",4,5)))</f>
        <v>NA</v>
      </c>
      <c r="L472" s="354"/>
      <c r="M472" s="26" t="str">
        <f>B463&amp;" - "&amp;B464&amp;" - "&amp;B469&amp;" - "&amp;B472</f>
        <v>Building Structures and HVAC - Building 1 - Heating System - Natural gas condensing furnace</v>
      </c>
      <c r="N472" s="694" t="str">
        <f t="shared" si="73"/>
        <v/>
      </c>
      <c r="O472" s="694" t="str">
        <f t="shared" si="73"/>
        <v/>
      </c>
      <c r="P472" s="694" t="str">
        <f t="shared" si="73"/>
        <v/>
      </c>
      <c r="Q472" s="694" t="str">
        <f t="shared" si="73"/>
        <v/>
      </c>
      <c r="R472" s="694" t="str">
        <f t="shared" si="73"/>
        <v/>
      </c>
      <c r="S472" s="694" t="str">
        <f t="shared" si="73"/>
        <v/>
      </c>
      <c r="T472" s="694" t="str">
        <f t="shared" si="73"/>
        <v/>
      </c>
      <c r="U472" s="694" t="str">
        <f t="shared" si="73"/>
        <v/>
      </c>
      <c r="V472" s="694" t="str">
        <f t="shared" si="73"/>
        <v/>
      </c>
      <c r="W472" s="694">
        <f t="shared" si="70"/>
        <v>0</v>
      </c>
      <c r="X472">
        <f t="shared" si="71"/>
        <v>0</v>
      </c>
      <c r="Y472"/>
    </row>
    <row r="473" spans="1:25" x14ac:dyDescent="0.2">
      <c r="A473" s="629" t="s">
        <v>4005</v>
      </c>
      <c r="B473" s="630" t="s">
        <v>3521</v>
      </c>
      <c r="C473" s="631" t="str">
        <f>IF(build1_heat="heat pump","NA",IF(build1_need_heat,build1_zones,"NA"))</f>
        <v>NA</v>
      </c>
      <c r="D473" s="510" t="str">
        <f>IF(C473="NA","","zones")</f>
        <v/>
      </c>
      <c r="E473" s="634" t="str">
        <f>IF(C473="NA","NA",build1_heat_mbh)</f>
        <v>NA</v>
      </c>
      <c r="F473" s="510" t="str">
        <f>IF(C473="NA","","MBH")</f>
        <v/>
      </c>
      <c r="G473" s="634" t="str">
        <f>IF(C473="NA","NA",IF(curve=1,build1_heat_mbh,VLOOKUP(E473,hvac_oil_std_cost_cl,2)))</f>
        <v>NA</v>
      </c>
      <c r="H473" s="510" t="str">
        <f>IF(C473="NA","","MBH")</f>
        <v/>
      </c>
      <c r="I473" s="636" t="str">
        <f>IF(C473="NA","NA",IF(curve=1,hvac_oil_std_eq_1,VLOOKUP(build1_heat_mbh,hvac_oil_std_cost_cl,3)))</f>
        <v>NA</v>
      </c>
      <c r="J473" s="356" t="str">
        <f>IF(OR(I473="NA",I473="contact vendor"),"--",C473*I473)</f>
        <v>--</v>
      </c>
      <c r="K473" s="195" t="str">
        <f>IF(C473="NA","NA",VLOOKUP(build1_heat_mbh,hvac_oil_std_cost_cl,IF(ss_cat="large",4,5)))</f>
        <v>NA</v>
      </c>
      <c r="L473" s="354"/>
      <c r="M473" s="26" t="str">
        <f>B463&amp;" - "&amp;B464&amp;" - "&amp;B469&amp;" - "&amp;B473</f>
        <v>Building Structures and HVAC - Building 1 - Heating System - Standard efficiency oil furnace</v>
      </c>
      <c r="N473" s="694" t="str">
        <f t="shared" si="73"/>
        <v/>
      </c>
      <c r="O473" s="694" t="str">
        <f t="shared" si="73"/>
        <v/>
      </c>
      <c r="P473" s="694" t="str">
        <f t="shared" si="73"/>
        <v/>
      </c>
      <c r="Q473" s="694" t="str">
        <f t="shared" si="73"/>
        <v/>
      </c>
      <c r="R473" s="694" t="str">
        <f t="shared" si="73"/>
        <v/>
      </c>
      <c r="S473" s="694" t="str">
        <f t="shared" si="73"/>
        <v/>
      </c>
      <c r="T473" s="694" t="str">
        <f t="shared" si="73"/>
        <v/>
      </c>
      <c r="U473" s="694" t="str">
        <f t="shared" si="73"/>
        <v/>
      </c>
      <c r="V473" s="694" t="str">
        <f t="shared" si="73"/>
        <v/>
      </c>
      <c r="W473" s="694">
        <f t="shared" si="70"/>
        <v>0</v>
      </c>
      <c r="X473">
        <f t="shared" si="71"/>
        <v>0</v>
      </c>
      <c r="Y473"/>
    </row>
    <row r="474" spans="1:25" x14ac:dyDescent="0.2">
      <c r="A474" s="629" t="s">
        <v>4005</v>
      </c>
      <c r="B474" s="630" t="s">
        <v>3522</v>
      </c>
      <c r="C474" s="631" t="str">
        <f>IF(build1_heat="heat pump","NA",IF(build1_need_heat,build1_zones,"NA"))</f>
        <v>NA</v>
      </c>
      <c r="D474" s="510" t="str">
        <f>IF(C474="NA","","zones")</f>
        <v/>
      </c>
      <c r="E474" s="634" t="str">
        <f>IF(C474="NA","NA",build1_heat_mbh)</f>
        <v>NA</v>
      </c>
      <c r="F474" s="510" t="str">
        <f>IF(C474="NA","","MBH")</f>
        <v/>
      </c>
      <c r="G474" s="634" t="str">
        <f>IF(C474="NA","NA",IF(curve=1,build1_heat_mbh,VLOOKUP(build1_heat_mbh,hvac_oil_mid_cost_cl,2)))</f>
        <v>NA</v>
      </c>
      <c r="H474" s="510" t="str">
        <f>IF(C474="NA","","MBH")</f>
        <v/>
      </c>
      <c r="I474" s="636" t="str">
        <f>IF(C474="NA","NA",IF(curve=1,hvac_oil_mid_eq_1,VLOOKUP(build1_heat_mbh,hvac_oil_mid_cost_cl,3)))</f>
        <v>NA</v>
      </c>
      <c r="J474" s="356" t="str">
        <f>IF(OR(I474="NA",I474="contact vendor"),"--",C474*I474)</f>
        <v>--</v>
      </c>
      <c r="K474" s="195" t="str">
        <f>IF(C474="NA","NA",VLOOKUP(build1_heat_mbh,hvac_oil_mid_cost_cl,IF(ss_cat="large",4,5)))</f>
        <v>NA</v>
      </c>
      <c r="L474" s="354"/>
      <c r="M474" s="26" t="str">
        <f>B463&amp;" - "&amp;B464&amp;" - "&amp;B469&amp;" - "&amp;B474</f>
        <v>Building Structures and HVAC - Building 1 - Heating System - Mid-efficiency oil furnace</v>
      </c>
      <c r="N474" s="694" t="str">
        <f t="shared" si="73"/>
        <v/>
      </c>
      <c r="O474" s="694" t="str">
        <f t="shared" si="73"/>
        <v/>
      </c>
      <c r="P474" s="694" t="str">
        <f t="shared" si="73"/>
        <v/>
      </c>
      <c r="Q474" s="694" t="str">
        <f t="shared" si="73"/>
        <v/>
      </c>
      <c r="R474" s="694" t="str">
        <f t="shared" si="73"/>
        <v/>
      </c>
      <c r="S474" s="694" t="str">
        <f t="shared" si="73"/>
        <v/>
      </c>
      <c r="T474" s="694" t="str">
        <f t="shared" si="73"/>
        <v/>
      </c>
      <c r="U474" s="694" t="str">
        <f t="shared" si="73"/>
        <v/>
      </c>
      <c r="V474" s="694" t="str">
        <f t="shared" si="73"/>
        <v/>
      </c>
      <c r="W474" s="694">
        <f t="shared" si="70"/>
        <v>0</v>
      </c>
      <c r="X474">
        <f t="shared" si="71"/>
        <v>0</v>
      </c>
      <c r="Y474"/>
    </row>
    <row r="475" spans="1:25" x14ac:dyDescent="0.2">
      <c r="A475" s="473" t="s">
        <v>4006</v>
      </c>
      <c r="B475" s="44" t="str">
        <f>IF(build1_heat="heat pump","Heating and ","")&amp;"Cooling System"</f>
        <v>Cooling System</v>
      </c>
      <c r="C475" s="283"/>
      <c r="D475" s="635"/>
      <c r="E475" s="283"/>
      <c r="F475" s="511"/>
      <c r="G475" s="283"/>
      <c r="H475" s="511"/>
      <c r="I475" s="284"/>
      <c r="J475" s="283"/>
      <c r="K475" s="283"/>
      <c r="L475" s="192"/>
      <c r="M475"/>
      <c r="N475" s="694"/>
      <c r="O475" s="694"/>
      <c r="P475" s="694"/>
      <c r="Q475" s="694"/>
      <c r="R475" s="694"/>
      <c r="S475" s="694"/>
      <c r="T475" s="694"/>
      <c r="U475" s="694"/>
      <c r="V475" s="694"/>
      <c r="W475" s="694">
        <f t="shared" si="70"/>
        <v>0</v>
      </c>
      <c r="X475">
        <f t="shared" si="71"/>
        <v>0</v>
      </c>
      <c r="Y475"/>
    </row>
    <row r="476" spans="1:25" x14ac:dyDescent="0.2">
      <c r="A476" s="629" t="s">
        <v>4007</v>
      </c>
      <c r="B476" s="630" t="s">
        <v>1003</v>
      </c>
      <c r="C476" s="631" t="str">
        <f>IF(build1_need_cool,build1_zones,"NA")</f>
        <v>NA</v>
      </c>
      <c r="D476" s="510" t="str">
        <f>IF(C476="NA","","zones")</f>
        <v/>
      </c>
      <c r="E476" s="637" t="str">
        <f>IF(C476="NA","NA",build1_cooling_tons)</f>
        <v>NA</v>
      </c>
      <c r="F476" s="510" t="str">
        <f>IF(C476="NA","","tons")</f>
        <v/>
      </c>
      <c r="G476" s="637" t="str">
        <f>IF(C476="NA","NA",IF(curve=1,build1_cooling_tons,VLOOKUP(build1_cooling_tons,hvac_ac_cost_cl,2)))</f>
        <v>NA</v>
      </c>
      <c r="H476" s="510" t="str">
        <f>IF(C476="NA","","tons")</f>
        <v/>
      </c>
      <c r="I476" s="636" t="str">
        <f>IF(C476="NA","NA",IF(curve=1,hvac_ac_eq_1,VLOOKUP(build1_cooling_tons,hvac_ac_cost_cl,3)))</f>
        <v>NA</v>
      </c>
      <c r="J476" s="356" t="str">
        <f>IF(OR(I476="NA",I476="contact vendor"),"--",C476*I476)</f>
        <v>--</v>
      </c>
      <c r="K476" s="195" t="str">
        <f>IF(C476="NA","NA",VLOOKUP(build1_cooling_tons,hvac_ac_cost_cl,IF(ss_cat="large",4,5)))</f>
        <v>NA</v>
      </c>
      <c r="L476" s="354"/>
      <c r="M476" s="26" t="str">
        <f>B463&amp;" - "&amp;B464&amp;" - "&amp;B475&amp;" - "&amp;B476</f>
        <v>Building Structures and HVAC - Building 1 - Cooling System - Air conditioner</v>
      </c>
      <c r="N476" s="694" t="str">
        <f t="shared" ref="N476:V477" si="74">IF(include_HVAC=0,0,IF(build1_cool=$B476,1,""))</f>
        <v/>
      </c>
      <c r="O476" s="694" t="str">
        <f t="shared" si="74"/>
        <v/>
      </c>
      <c r="P476" s="694" t="str">
        <f t="shared" si="74"/>
        <v/>
      </c>
      <c r="Q476" s="694" t="str">
        <f t="shared" si="74"/>
        <v/>
      </c>
      <c r="R476" s="694" t="str">
        <f t="shared" si="74"/>
        <v/>
      </c>
      <c r="S476" s="694" t="str">
        <f t="shared" si="74"/>
        <v/>
      </c>
      <c r="T476" s="694" t="str">
        <f t="shared" si="74"/>
        <v/>
      </c>
      <c r="U476" s="694" t="str">
        <f t="shared" si="74"/>
        <v/>
      </c>
      <c r="V476" s="694" t="str">
        <f t="shared" si="74"/>
        <v/>
      </c>
      <c r="W476" s="694">
        <f t="shared" si="70"/>
        <v>0</v>
      </c>
      <c r="X476">
        <f t="shared" si="71"/>
        <v>0</v>
      </c>
      <c r="Y476"/>
    </row>
    <row r="477" spans="1:25" x14ac:dyDescent="0.2">
      <c r="A477" s="629" t="s">
        <v>4007</v>
      </c>
      <c r="B477" s="630" t="s">
        <v>3630</v>
      </c>
      <c r="C477" s="631" t="str">
        <f>IF(AND(hp_ok_1,build1_need_cool),build1_zones,"NA")</f>
        <v>NA</v>
      </c>
      <c r="D477" s="510" t="str">
        <f>IF(C477="NA","","zones")</f>
        <v/>
      </c>
      <c r="E477" s="637" t="str">
        <f>IF(C477="NA","NA",build1_cooling_tons)</f>
        <v>NA</v>
      </c>
      <c r="F477" s="510" t="str">
        <f>IF(C477="NA","","tons")</f>
        <v/>
      </c>
      <c r="G477" s="637" t="str">
        <f>IF(C477="NA","NA",IF(curve=1,build1_cooling_tons,VLOOKUP(build1_cooling_tons,hvac_hp_cost_cl,2)))</f>
        <v>NA</v>
      </c>
      <c r="H477" s="510" t="str">
        <f>IF(C477="NA","","tons")</f>
        <v/>
      </c>
      <c r="I477" s="636" t="str">
        <f>_xlfn.SINGLE(IF(C477="NA","NA",IF(curve=1,IF(build1_cooling_tons/build1_zones &gt; 12, hvac_hp_eq_1_l, hvac_hp_eq_1_s),VLOOKUP(build1_cooling_tons,hvac_hp_cost_cl,3))))</f>
        <v>NA</v>
      </c>
      <c r="J477" s="356" t="str">
        <f>IF(OR(I477="NA",I477="contact vendor"),"--",C477*I477)</f>
        <v>--</v>
      </c>
      <c r="K477" s="195" t="str">
        <f>IF(C477="NA","NA",VLOOKUP(build1_cooling_tons,hvac_hp_cost_cl,IF(ss_cat="large",4,5)))</f>
        <v>NA</v>
      </c>
      <c r="L477" s="354"/>
      <c r="M477" s="26" t="str">
        <f>B463&amp;" - "&amp;B464&amp;" - "&amp;B475&amp;" - "&amp;B477</f>
        <v>Building Structures and HVAC - Building 1 - Cooling System - Heat pump</v>
      </c>
      <c r="N477" s="694" t="str">
        <f t="shared" si="74"/>
        <v/>
      </c>
      <c r="O477" s="694" t="str">
        <f t="shared" si="74"/>
        <v/>
      </c>
      <c r="P477" s="694" t="str">
        <f t="shared" si="74"/>
        <v/>
      </c>
      <c r="Q477" s="694" t="str">
        <f t="shared" si="74"/>
        <v/>
      </c>
      <c r="R477" s="694" t="str">
        <f t="shared" si="74"/>
        <v/>
      </c>
      <c r="S477" s="694" t="str">
        <f t="shared" si="74"/>
        <v/>
      </c>
      <c r="T477" s="694" t="str">
        <f t="shared" si="74"/>
        <v/>
      </c>
      <c r="U477" s="694" t="str">
        <f t="shared" si="74"/>
        <v/>
      </c>
      <c r="V477" s="694" t="str">
        <f t="shared" si="74"/>
        <v/>
      </c>
      <c r="W477" s="694">
        <f t="shared" si="70"/>
        <v>0</v>
      </c>
      <c r="X477">
        <f t="shared" si="71"/>
        <v>0</v>
      </c>
      <c r="Y477"/>
    </row>
    <row r="478" spans="1:25" x14ac:dyDescent="0.2">
      <c r="A478" s="473">
        <v>11.2</v>
      </c>
      <c r="B478" s="44" t="s">
        <v>3318</v>
      </c>
      <c r="C478" s="283"/>
      <c r="D478" s="635"/>
      <c r="E478" s="283"/>
      <c r="F478" s="511"/>
      <c r="G478" s="283"/>
      <c r="H478" s="511"/>
      <c r="I478" s="284"/>
      <c r="J478" s="283"/>
      <c r="K478" s="283"/>
      <c r="L478" s="192"/>
      <c r="M478"/>
      <c r="N478" s="694"/>
      <c r="O478" s="694"/>
      <c r="P478" s="694"/>
      <c r="Q478" s="694"/>
      <c r="R478" s="694"/>
      <c r="S478" s="694"/>
      <c r="T478" s="694"/>
      <c r="U478" s="694"/>
      <c r="V478" s="694"/>
      <c r="W478" s="694">
        <f t="shared" si="70"/>
        <v>0</v>
      </c>
      <c r="X478">
        <f t="shared" si="71"/>
        <v>0</v>
      </c>
      <c r="Y478"/>
    </row>
    <row r="479" spans="1:25" x14ac:dyDescent="0.2">
      <c r="A479" s="629" t="s">
        <v>4008</v>
      </c>
      <c r="B479" s="630" t="s">
        <v>1142</v>
      </c>
      <c r="C479" s="631">
        <f>IF(AND(build2_fp&gt;0,build2_fp&lt;500),1,0)</f>
        <v>0</v>
      </c>
      <c r="D479" s="632" t="s">
        <v>606</v>
      </c>
      <c r="E479" s="634">
        <f>build2_fp</f>
        <v>0</v>
      </c>
      <c r="F479" s="510" t="s">
        <v>2457</v>
      </c>
      <c r="G479" s="634">
        <f>build2_fp</f>
        <v>0</v>
      </c>
      <c r="H479" s="510" t="s">
        <v>2457</v>
      </c>
      <c r="I479" s="636" t="str">
        <f>IF(C479=0,"NA",VLOOKUP(build2_fp,bldg_shed_cost_cl,3))</f>
        <v>NA</v>
      </c>
      <c r="J479" s="356" t="str">
        <f>IF(OR(I479="NA",I479="contact vendor"),"--",G479*I479)</f>
        <v>--</v>
      </c>
      <c r="K479" s="195" t="str">
        <f>IF($C479=0,"N/A",VLOOKUP(build2_fp,bldg_shed_cost_cl,IF(ss_cat="large",4,5)))</f>
        <v>N/A</v>
      </c>
      <c r="L479" s="354"/>
      <c r="M479" s="26" t="str">
        <f>B463&amp;" - "&amp;B478&amp;" - "&amp;B479</f>
        <v>Building Structures and HVAC - Building 2 - Small Low Cost Shed</v>
      </c>
      <c r="N479" s="694">
        <f t="shared" ref="N479:V479" si="75">IF(include_buildings=1,2,0)</f>
        <v>2</v>
      </c>
      <c r="O479" s="694">
        <f t="shared" si="75"/>
        <v>2</v>
      </c>
      <c r="P479" s="694">
        <f t="shared" si="75"/>
        <v>2</v>
      </c>
      <c r="Q479" s="694">
        <f t="shared" si="75"/>
        <v>2</v>
      </c>
      <c r="R479" s="694">
        <f t="shared" si="75"/>
        <v>2</v>
      </c>
      <c r="S479" s="694">
        <f t="shared" si="75"/>
        <v>2</v>
      </c>
      <c r="T479" s="694">
        <f t="shared" si="75"/>
        <v>2</v>
      </c>
      <c r="U479" s="694">
        <f t="shared" si="75"/>
        <v>2</v>
      </c>
      <c r="V479" s="694">
        <f t="shared" si="75"/>
        <v>2</v>
      </c>
      <c r="W479" s="694">
        <f t="shared" si="70"/>
        <v>0</v>
      </c>
      <c r="X479">
        <f t="shared" si="71"/>
        <v>0</v>
      </c>
      <c r="Y479">
        <f>IF(W479,K479,0)</f>
        <v>0</v>
      </c>
    </row>
    <row r="480" spans="1:25" x14ac:dyDescent="0.2">
      <c r="A480" s="629" t="s">
        <v>4008</v>
      </c>
      <c r="B480" s="630" t="s">
        <v>1143</v>
      </c>
      <c r="C480" s="631">
        <f>IF(build2_fp&gt;=500,1,0)</f>
        <v>0</v>
      </c>
      <c r="D480" s="632" t="s">
        <v>606</v>
      </c>
      <c r="E480" s="634">
        <f>build2_fp</f>
        <v>0</v>
      </c>
      <c r="F480" s="510" t="s">
        <v>2457</v>
      </c>
      <c r="G480" s="634">
        <f>build2_fp</f>
        <v>0</v>
      </c>
      <c r="H480" s="510" t="s">
        <v>2457</v>
      </c>
      <c r="I480" s="636" t="str">
        <f>IF(C480=0,"NA",IF(curve=1,bldg_lo_eq_2,VLOOKUP(build2_fp, bldg_lo_cost_cl,3)))</f>
        <v>NA</v>
      </c>
      <c r="J480" s="356" t="str">
        <f>IF(OR(I480="NA",I480="contact vendor"),"--",G480*I480)</f>
        <v>--</v>
      </c>
      <c r="K480" s="195" t="str">
        <f>IF($C480=0,"N/A",VLOOKUP(build2_fp,bldg_lo_cost_cl,IF(ss_cat="large",4,5)))</f>
        <v>N/A</v>
      </c>
      <c r="L480" s="354"/>
      <c r="M480" s="26" t="str">
        <f>B463&amp;" - "&amp;B478&amp;" - "&amp;B480</f>
        <v>Building Structures and HVAC - Building 2 - Low Quality</v>
      </c>
      <c r="N480" s="694">
        <f>include_buildings</f>
        <v>1</v>
      </c>
      <c r="O480" s="694"/>
      <c r="P480" s="694"/>
      <c r="Q480" s="694">
        <f>include_buildings</f>
        <v>1</v>
      </c>
      <c r="R480" s="694"/>
      <c r="S480" s="811"/>
      <c r="T480" s="694">
        <f>include_buildings</f>
        <v>1</v>
      </c>
      <c r="U480" s="811"/>
      <c r="V480" s="694"/>
      <c r="W480" s="694">
        <f t="shared" si="70"/>
        <v>0</v>
      </c>
      <c r="X480">
        <f t="shared" si="71"/>
        <v>0</v>
      </c>
      <c r="Y480">
        <f>IF(W480,K480,0)</f>
        <v>0</v>
      </c>
    </row>
    <row r="481" spans="1:25" x14ac:dyDescent="0.2">
      <c r="A481" s="629" t="s">
        <v>4008</v>
      </c>
      <c r="B481" s="630" t="s">
        <v>1144</v>
      </c>
      <c r="C481" s="631">
        <f>IF(build2_fp&gt;=500,1,0)</f>
        <v>0</v>
      </c>
      <c r="D481" s="632" t="s">
        <v>606</v>
      </c>
      <c r="E481" s="634">
        <f>build2_fp</f>
        <v>0</v>
      </c>
      <c r="F481" s="510" t="s">
        <v>2457</v>
      </c>
      <c r="G481" s="634">
        <f>build2_fp</f>
        <v>0</v>
      </c>
      <c r="H481" s="510" t="s">
        <v>2457</v>
      </c>
      <c r="I481" s="636" t="str">
        <f>IF(C481=0,"NA",IF(curve=1,bldg_mid_eq_2,VLOOKUP(build2_fp, bldg_mid_cost_cl,3)))</f>
        <v>NA</v>
      </c>
      <c r="J481" s="356" t="str">
        <f>IF(OR(I481="NA",I481="contact vendor"),"--",G481*I481)</f>
        <v>--</v>
      </c>
      <c r="K481" s="195" t="str">
        <f>IF($C481=0,"N/A",VLOOKUP(build2_fp,bldg_mid_cost_cl,IF(ss_cat="large",4,5)))</f>
        <v>N/A</v>
      </c>
      <c r="L481" s="354"/>
      <c r="M481" s="26" t="str">
        <f>B463&amp;" - "&amp;B478&amp;" - "&amp;B481</f>
        <v>Building Structures and HVAC - Building 2 - Medium Quality</v>
      </c>
      <c r="N481" s="694"/>
      <c r="O481" s="694">
        <f>include_buildings</f>
        <v>1</v>
      </c>
      <c r="P481" s="694"/>
      <c r="Q481" s="694"/>
      <c r="R481" s="694">
        <f>include_buildings</f>
        <v>1</v>
      </c>
      <c r="S481" s="811"/>
      <c r="T481" s="811"/>
      <c r="U481" s="694">
        <f>include_buildings</f>
        <v>1</v>
      </c>
      <c r="V481" s="694"/>
      <c r="W481" s="694">
        <f t="shared" si="70"/>
        <v>0</v>
      </c>
      <c r="X481">
        <f t="shared" si="71"/>
        <v>0</v>
      </c>
      <c r="Y481">
        <f>IF(W481,K481,0)</f>
        <v>0</v>
      </c>
    </row>
    <row r="482" spans="1:25" x14ac:dyDescent="0.2">
      <c r="A482" s="629" t="s">
        <v>4008</v>
      </c>
      <c r="B482" s="630" t="s">
        <v>1145</v>
      </c>
      <c r="C482" s="631">
        <f>IF(build2_fp&gt;=500,1,0)</f>
        <v>0</v>
      </c>
      <c r="D482" s="632" t="s">
        <v>606</v>
      </c>
      <c r="E482" s="634">
        <f>build2_fp</f>
        <v>0</v>
      </c>
      <c r="F482" s="510" t="s">
        <v>2457</v>
      </c>
      <c r="G482" s="634">
        <f>build2_fp</f>
        <v>0</v>
      </c>
      <c r="H482" s="510" t="s">
        <v>2457</v>
      </c>
      <c r="I482" s="636" t="str">
        <f>IF(C482=0,"NA",IF(curve=1,bldg_hi_eq_2,VLOOKUP(build2_fp, bldg_hi_cost_cl,3)))</f>
        <v>NA</v>
      </c>
      <c r="J482" s="356" t="str">
        <f>IF(OR(I482="NA",I482="contact vendor"),"--",G482*I482)</f>
        <v>--</v>
      </c>
      <c r="K482" s="195" t="str">
        <f>IF($C482=0,"N/A",VLOOKUP(build2_fp,bldg_hi_cost_cl,IF(ss_cat="large",4,5)))</f>
        <v>N/A</v>
      </c>
      <c r="L482" s="354"/>
      <c r="M482" s="26" t="str">
        <f>B463&amp;" - "&amp;B478&amp;" - "&amp;B482</f>
        <v>Building Structures and HVAC - Building 2 - High Quality</v>
      </c>
      <c r="N482" s="694"/>
      <c r="O482" s="694"/>
      <c r="P482" s="694">
        <f>include_buildings</f>
        <v>1</v>
      </c>
      <c r="Q482" s="694"/>
      <c r="R482" s="694"/>
      <c r="S482" s="694">
        <f>include_buildings</f>
        <v>1</v>
      </c>
      <c r="T482" s="811"/>
      <c r="U482" s="811"/>
      <c r="V482" s="694">
        <f>include_buildings</f>
        <v>1</v>
      </c>
      <c r="W482" s="694">
        <f t="shared" si="70"/>
        <v>0</v>
      </c>
      <c r="X482">
        <f t="shared" si="71"/>
        <v>0</v>
      </c>
      <c r="Y482">
        <f>IF(W482,K482,0)</f>
        <v>0</v>
      </c>
    </row>
    <row r="483" spans="1:25" x14ac:dyDescent="0.2">
      <c r="A483" s="473" t="s">
        <v>4009</v>
      </c>
      <c r="B483" s="44" t="str">
        <f>"Heating System"&amp;IF(build2_heat="heat pump"," (included with cooling system)","")</f>
        <v>Heating System</v>
      </c>
      <c r="C483" s="283"/>
      <c r="D483" s="635"/>
      <c r="E483" s="283"/>
      <c r="F483" s="511"/>
      <c r="G483" s="283"/>
      <c r="H483" s="511"/>
      <c r="I483" s="284"/>
      <c r="J483" s="283"/>
      <c r="K483" s="283"/>
      <c r="L483" s="192"/>
      <c r="M483"/>
      <c r="N483" s="694"/>
      <c r="O483" s="694"/>
      <c r="P483" s="694"/>
      <c r="Q483" s="694"/>
      <c r="R483" s="694"/>
      <c r="S483" s="694"/>
      <c r="T483" s="694"/>
      <c r="U483" s="694"/>
      <c r="V483" s="694"/>
      <c r="W483" s="694">
        <f t="shared" si="70"/>
        <v>0</v>
      </c>
      <c r="X483">
        <f t="shared" si="71"/>
        <v>0</v>
      </c>
      <c r="Y483"/>
    </row>
    <row r="484" spans="1:25" x14ac:dyDescent="0.2">
      <c r="A484" s="629" t="s">
        <v>4010</v>
      </c>
      <c r="B484" s="630" t="s">
        <v>3629</v>
      </c>
      <c r="C484" s="631" t="str">
        <f>IF(build2_heat="heat pump","NA",IF(build2_need_heat,build2_zones,"NA"))</f>
        <v>NA</v>
      </c>
      <c r="D484" s="510" t="str">
        <f>IF(C484="NA","","zones")</f>
        <v/>
      </c>
      <c r="E484" s="634" t="str">
        <f>IF(C484="NA","NA",build2_heat_mbh)</f>
        <v>NA</v>
      </c>
      <c r="F484" s="510" t="str">
        <f>IF(C484="NA","","MBH")</f>
        <v/>
      </c>
      <c r="G484" s="634" t="str">
        <f>IF(C484="NA","NA",IF(curve=1,build2_heat_mbh,VLOOKUP(build2_heat_mbh,hvac_elec_cost_cl,2)))</f>
        <v>NA</v>
      </c>
      <c r="H484" s="510" t="str">
        <f>IF(C484="NA","","MBH")</f>
        <v/>
      </c>
      <c r="I484" s="636" t="str">
        <f>IF(C484="NA","NA",IF(curve=1,hvac_elec_eq_2,VLOOKUP(build2_heat_mbh,hvac_elec_cost_cl,3)))</f>
        <v>NA</v>
      </c>
      <c r="J484" s="356" t="str">
        <f>IF(OR(I484="NA",I484="contact vendor"),"--",C484*I484)</f>
        <v>--</v>
      </c>
      <c r="K484" s="195" t="str">
        <f>IF(C484="NA","NA",VLOOKUP(build2_heat_mbh,hvac_elec_cost_cl,IF(ss_cat="large",4,5)))</f>
        <v>NA</v>
      </c>
      <c r="L484" s="354"/>
      <c r="M484" s="26" t="str">
        <f>B463&amp;" - "&amp;B478&amp;" - "&amp;B483&amp;" - "&amp;B484</f>
        <v>Building Structures and HVAC - Building 2 - Heating System - Electric resistance</v>
      </c>
      <c r="N484" s="694" t="str">
        <f t="shared" ref="N484:V488" si="76">IF(include_HVAC=0,0,IF(build2_heat=$B484,1,""))</f>
        <v/>
      </c>
      <c r="O484" s="694" t="str">
        <f t="shared" si="76"/>
        <v/>
      </c>
      <c r="P484" s="694" t="str">
        <f t="shared" si="76"/>
        <v/>
      </c>
      <c r="Q484" s="694" t="str">
        <f t="shared" si="76"/>
        <v/>
      </c>
      <c r="R484" s="694" t="str">
        <f t="shared" si="76"/>
        <v/>
      </c>
      <c r="S484" s="694" t="str">
        <f t="shared" si="76"/>
        <v/>
      </c>
      <c r="T484" s="694" t="str">
        <f t="shared" si="76"/>
        <v/>
      </c>
      <c r="U484" s="694" t="str">
        <f t="shared" si="76"/>
        <v/>
      </c>
      <c r="V484" s="694" t="str">
        <f t="shared" si="76"/>
        <v/>
      </c>
      <c r="W484" s="694">
        <f t="shared" si="70"/>
        <v>0</v>
      </c>
      <c r="X484">
        <f t="shared" si="71"/>
        <v>0</v>
      </c>
      <c r="Y484"/>
    </row>
    <row r="485" spans="1:25" x14ac:dyDescent="0.2">
      <c r="A485" s="629" t="s">
        <v>4010</v>
      </c>
      <c r="B485" s="630" t="s">
        <v>3631</v>
      </c>
      <c r="C485" s="631" t="str">
        <f>IF(build2_heat="heat pump","NA",IF(build2_need_heat,build2_zones,"NA"))</f>
        <v>NA</v>
      </c>
      <c r="D485" s="510" t="str">
        <f>IF(C485="NA","","zones")</f>
        <v/>
      </c>
      <c r="E485" s="634" t="str">
        <f>IF(C485="NA","NA",build2_heat_mbh)</f>
        <v>NA</v>
      </c>
      <c r="F485" s="510" t="str">
        <f>IF(C485="NA","","MBH")</f>
        <v/>
      </c>
      <c r="G485" s="634" t="str">
        <f>IF(C485="NA","NA",IF(curve=1,build2_heat_mbh,VLOOKUP(build2_heat_mbh,hvac_gas_non_cost_cl,2)))</f>
        <v>NA</v>
      </c>
      <c r="H485" s="510" t="str">
        <f>IF(C485="NA","","MBH")</f>
        <v/>
      </c>
      <c r="I485" s="636" t="str">
        <f>IF(C485="NA","NA",IF(curve=1,hvac_gas_non_eq_2,VLOOKUP(build2_heat_mbh,hvac_gas_non_cost_cl,3)))</f>
        <v>NA</v>
      </c>
      <c r="J485" s="356" t="str">
        <f>IF(OR(I485="NA",I485="contact vendor"),"--",C485*I485)</f>
        <v>--</v>
      </c>
      <c r="K485" s="195" t="str">
        <f>IF(C485="NA","NA",VLOOKUP(build2_heat_mbh,hvac_gas_non_cost_cl,IF(ss_cat="large",4,5)))</f>
        <v>NA</v>
      </c>
      <c r="L485" s="354"/>
      <c r="M485" s="26" t="str">
        <f>B463&amp;" - "&amp;B478&amp;" - "&amp;B483&amp;" - "&amp;B485</f>
        <v>Building Structures and HVAC - Building 2 - Heating System - Natural gas non-condensing furnace</v>
      </c>
      <c r="N485" s="694" t="str">
        <f t="shared" si="76"/>
        <v/>
      </c>
      <c r="O485" s="694" t="str">
        <f t="shared" si="76"/>
        <v/>
      </c>
      <c r="P485" s="694" t="str">
        <f t="shared" si="76"/>
        <v/>
      </c>
      <c r="Q485" s="694" t="str">
        <f t="shared" si="76"/>
        <v/>
      </c>
      <c r="R485" s="694" t="str">
        <f t="shared" si="76"/>
        <v/>
      </c>
      <c r="S485" s="694" t="str">
        <f t="shared" si="76"/>
        <v/>
      </c>
      <c r="T485" s="694" t="str">
        <f t="shared" si="76"/>
        <v/>
      </c>
      <c r="U485" s="694" t="str">
        <f t="shared" si="76"/>
        <v/>
      </c>
      <c r="V485" s="694" t="str">
        <f t="shared" si="76"/>
        <v/>
      </c>
      <c r="W485" s="694">
        <f t="shared" si="70"/>
        <v>0</v>
      </c>
      <c r="X485">
        <f t="shared" si="71"/>
        <v>0</v>
      </c>
      <c r="Y485"/>
    </row>
    <row r="486" spans="1:25" x14ac:dyDescent="0.2">
      <c r="A486" s="629" t="s">
        <v>4010</v>
      </c>
      <c r="B486" s="630" t="s">
        <v>3634</v>
      </c>
      <c r="C486" s="631" t="str">
        <f>IF(build2_heat="heat pump","NA",IF(build2_need_heat,build2_zones,"NA"))</f>
        <v>NA</v>
      </c>
      <c r="D486" s="510" t="str">
        <f>IF(C486="NA","","zones")</f>
        <v/>
      </c>
      <c r="E486" s="634" t="str">
        <f>IF(C486="NA","NA",build2_heat_mbh)</f>
        <v>NA</v>
      </c>
      <c r="F486" s="510" t="str">
        <f>IF(C486="NA","","MBH")</f>
        <v/>
      </c>
      <c r="G486" s="634" t="str">
        <f>IF(C486="NA","NA",IF(curve=1,build2_heat_mbh,VLOOKUP(build2_heat_mbh,hvac_gas_cost_cl,2)))</f>
        <v>NA</v>
      </c>
      <c r="H486" s="510" t="str">
        <f>IF(C486="NA","","MBH")</f>
        <v/>
      </c>
      <c r="I486" s="636" t="str">
        <f>IF(C486="NA","NA",IF(curve=1,hvac_gas_eq_2,VLOOKUP(build2_heat_mbh,hvac_gas_cost_cl,3)))</f>
        <v>NA</v>
      </c>
      <c r="J486" s="356" t="str">
        <f>IF(OR(I486="NA",I486="contact vendor"),"--",C486*I486)</f>
        <v>--</v>
      </c>
      <c r="K486" s="195" t="str">
        <f>IF(C486="NA","NA",VLOOKUP(build2_heat_mbh,hvac_gas_cost_cl,IF(ss_cat="large",4,5)))</f>
        <v>NA</v>
      </c>
      <c r="L486" s="354"/>
      <c r="M486" s="26" t="str">
        <f>B463&amp;" - "&amp;B478&amp;" - "&amp;B483&amp;" - "&amp;B486</f>
        <v>Building Structures and HVAC - Building 2 - Heating System - Natural gas condensing furnace</v>
      </c>
      <c r="N486" s="694" t="str">
        <f t="shared" si="76"/>
        <v/>
      </c>
      <c r="O486" s="694" t="str">
        <f t="shared" si="76"/>
        <v/>
      </c>
      <c r="P486" s="694" t="str">
        <f t="shared" si="76"/>
        <v/>
      </c>
      <c r="Q486" s="694" t="str">
        <f t="shared" si="76"/>
        <v/>
      </c>
      <c r="R486" s="694" t="str">
        <f t="shared" si="76"/>
        <v/>
      </c>
      <c r="S486" s="694" t="str">
        <f t="shared" si="76"/>
        <v/>
      </c>
      <c r="T486" s="694" t="str">
        <f t="shared" si="76"/>
        <v/>
      </c>
      <c r="U486" s="694" t="str">
        <f t="shared" si="76"/>
        <v/>
      </c>
      <c r="V486" s="694" t="str">
        <f t="shared" si="76"/>
        <v/>
      </c>
      <c r="W486" s="694">
        <f t="shared" si="70"/>
        <v>0</v>
      </c>
      <c r="X486">
        <f t="shared" si="71"/>
        <v>0</v>
      </c>
      <c r="Y486"/>
    </row>
    <row r="487" spans="1:25" x14ac:dyDescent="0.2">
      <c r="A487" s="629" t="s">
        <v>4010</v>
      </c>
      <c r="B487" s="630" t="s">
        <v>3521</v>
      </c>
      <c r="C487" s="631" t="str">
        <f>IF(build2_heat="heat pump","NA",IF(build2_need_heat,build2_zones,"NA"))</f>
        <v>NA</v>
      </c>
      <c r="D487" s="510" t="str">
        <f>IF(C487="NA","","zones")</f>
        <v/>
      </c>
      <c r="E487" s="634" t="str">
        <f>IF(C487="NA","NA",build2_heat_mbh)</f>
        <v>NA</v>
      </c>
      <c r="F487" s="510" t="str">
        <f>IF(C487="NA","","MBH")</f>
        <v/>
      </c>
      <c r="G487" s="634" t="str">
        <f>IF(C487="NA","NA",IF(curve=1,build2_heat_mbh,VLOOKUP(E487,hvac_oil_std_cost_cl,2)))</f>
        <v>NA</v>
      </c>
      <c r="H487" s="510" t="str">
        <f>IF(C487="NA","","MBH")</f>
        <v/>
      </c>
      <c r="I487" s="636" t="str">
        <f>IF(C487="NA","NA",IF(curve=1,hvac_oil_std_eq_2,VLOOKUP(build2_heat_mbh,hvac_oil_std_cost_cl,3)))</f>
        <v>NA</v>
      </c>
      <c r="J487" s="356" t="str">
        <f>IF(OR(I487="NA",I487="contact vendor"),"--",C487*I487)</f>
        <v>--</v>
      </c>
      <c r="K487" s="195" t="str">
        <f>IF(C487="NA","NA",VLOOKUP(build2_heat_mbh,hvac_oil_std_cost_cl,IF(ss_cat="large",4,5)))</f>
        <v>NA</v>
      </c>
      <c r="L487" s="354"/>
      <c r="M487" s="26" t="str">
        <f>B463&amp;" - "&amp;B478&amp;" - "&amp;B483&amp;" - "&amp;B487</f>
        <v>Building Structures and HVAC - Building 2 - Heating System - Standard efficiency oil furnace</v>
      </c>
      <c r="N487" s="694" t="str">
        <f t="shared" si="76"/>
        <v/>
      </c>
      <c r="O487" s="694" t="str">
        <f t="shared" si="76"/>
        <v/>
      </c>
      <c r="P487" s="694" t="str">
        <f t="shared" si="76"/>
        <v/>
      </c>
      <c r="Q487" s="694" t="str">
        <f t="shared" si="76"/>
        <v/>
      </c>
      <c r="R487" s="694" t="str">
        <f t="shared" si="76"/>
        <v/>
      </c>
      <c r="S487" s="694" t="str">
        <f t="shared" si="76"/>
        <v/>
      </c>
      <c r="T487" s="694" t="str">
        <f t="shared" si="76"/>
        <v/>
      </c>
      <c r="U487" s="694" t="str">
        <f t="shared" si="76"/>
        <v/>
      </c>
      <c r="V487" s="694" t="str">
        <f t="shared" si="76"/>
        <v/>
      </c>
      <c r="W487" s="694">
        <f t="shared" si="70"/>
        <v>0</v>
      </c>
      <c r="X487">
        <f t="shared" si="71"/>
        <v>0</v>
      </c>
      <c r="Y487"/>
    </row>
    <row r="488" spans="1:25" x14ac:dyDescent="0.2">
      <c r="A488" s="629" t="s">
        <v>4010</v>
      </c>
      <c r="B488" s="630" t="s">
        <v>3522</v>
      </c>
      <c r="C488" s="631" t="str">
        <f>IF(build2_heat="heat pump","NA",IF(build2_need_heat,build2_zones,"NA"))</f>
        <v>NA</v>
      </c>
      <c r="D488" s="510" t="str">
        <f>IF(C488="NA","","zones")</f>
        <v/>
      </c>
      <c r="E488" s="634" t="str">
        <f>IF(C488="NA","NA",build2_heat_mbh)</f>
        <v>NA</v>
      </c>
      <c r="F488" s="510" t="str">
        <f>IF(C488="NA","","MBH")</f>
        <v/>
      </c>
      <c r="G488" s="634" t="str">
        <f>IF(C488="NA","NA",IF(curve=1,build2_heat_mbh,VLOOKUP(build2_heat_mbh,hvac_oil_mid_cost_cl,2)))</f>
        <v>NA</v>
      </c>
      <c r="H488" s="510" t="str">
        <f>IF(C488="NA","","MBH")</f>
        <v/>
      </c>
      <c r="I488" s="636" t="str">
        <f>IF(C488="NA","NA",IF(curve=1,hvac_oil_mid_eq_2,VLOOKUP(build2_heat_mbh,hvac_oil_mid_cost_cl,3)))</f>
        <v>NA</v>
      </c>
      <c r="J488" s="356" t="str">
        <f>IF(OR(I488="NA",I488="contact vendor"),"--",C488*I488)</f>
        <v>--</v>
      </c>
      <c r="K488" s="195" t="str">
        <f>IF(C488="NA","NA",VLOOKUP(build2_heat_mbh,hvac_oil_mid_cost_cl,IF(ss_cat="large",4,5)))</f>
        <v>NA</v>
      </c>
      <c r="L488" s="354"/>
      <c r="M488" s="26" t="str">
        <f>B463&amp;" - "&amp;B478&amp;" - "&amp;B483&amp;" - "&amp;B488</f>
        <v>Building Structures and HVAC - Building 2 - Heating System - Mid-efficiency oil furnace</v>
      </c>
      <c r="N488" s="694" t="str">
        <f t="shared" si="76"/>
        <v/>
      </c>
      <c r="O488" s="694" t="str">
        <f t="shared" si="76"/>
        <v/>
      </c>
      <c r="P488" s="694" t="str">
        <f t="shared" si="76"/>
        <v/>
      </c>
      <c r="Q488" s="694" t="str">
        <f t="shared" si="76"/>
        <v/>
      </c>
      <c r="R488" s="694" t="str">
        <f t="shared" si="76"/>
        <v/>
      </c>
      <c r="S488" s="694" t="str">
        <f t="shared" si="76"/>
        <v/>
      </c>
      <c r="T488" s="694" t="str">
        <f t="shared" si="76"/>
        <v/>
      </c>
      <c r="U488" s="694" t="str">
        <f t="shared" si="76"/>
        <v/>
      </c>
      <c r="V488" s="694" t="str">
        <f t="shared" si="76"/>
        <v/>
      </c>
      <c r="W488" s="694">
        <f t="shared" si="70"/>
        <v>0</v>
      </c>
      <c r="X488">
        <f t="shared" si="71"/>
        <v>0</v>
      </c>
      <c r="Y488"/>
    </row>
    <row r="489" spans="1:25" x14ac:dyDescent="0.2">
      <c r="A489" s="473" t="s">
        <v>4011</v>
      </c>
      <c r="B489" s="44" t="str">
        <f>IF(build2_heat="heat pump","Heating and ","")&amp;"Cooling System"</f>
        <v>Cooling System</v>
      </c>
      <c r="C489" s="283"/>
      <c r="D489" s="635"/>
      <c r="E489" s="283"/>
      <c r="F489" s="511"/>
      <c r="G489" s="283"/>
      <c r="H489" s="511"/>
      <c r="I489" s="284"/>
      <c r="J489" s="283"/>
      <c r="K489" s="283"/>
      <c r="L489" s="192"/>
      <c r="M489"/>
      <c r="N489" s="694"/>
      <c r="O489" s="694"/>
      <c r="P489" s="694"/>
      <c r="Q489" s="694"/>
      <c r="R489" s="694"/>
      <c r="S489" s="694"/>
      <c r="T489" s="694"/>
      <c r="U489" s="694"/>
      <c r="V489" s="694"/>
      <c r="W489" s="694">
        <f t="shared" si="70"/>
        <v>0</v>
      </c>
      <c r="X489">
        <f t="shared" si="71"/>
        <v>0</v>
      </c>
      <c r="Y489"/>
    </row>
    <row r="490" spans="1:25" x14ac:dyDescent="0.2">
      <c r="A490" s="629" t="s">
        <v>4012</v>
      </c>
      <c r="B490" s="630" t="s">
        <v>1003</v>
      </c>
      <c r="C490" s="631" t="str">
        <f>IF(build2_need_cool,build2_zones,"NA")</f>
        <v>NA</v>
      </c>
      <c r="D490" s="510" t="str">
        <f>IF(C490="NA","","zones")</f>
        <v/>
      </c>
      <c r="E490" s="637" t="str">
        <f>IF(C490="NA","NA",build2_cooling_tons)</f>
        <v>NA</v>
      </c>
      <c r="F490" s="510" t="str">
        <f>IF(C490="NA","","tons")</f>
        <v/>
      </c>
      <c r="G490" s="637" t="str">
        <f>IF(C490="NA","NA",IF(curve=1,build2_cooling_tons,VLOOKUP(build2_cooling_tons,hvac_ac_cost_cl,2)))</f>
        <v>NA</v>
      </c>
      <c r="H490" s="510" t="str">
        <f>IF(C490="NA","","tons")</f>
        <v/>
      </c>
      <c r="I490" s="636" t="str">
        <f>IF(C490="NA","NA",IF(curve=1,hvac_ac_eq_2,VLOOKUP(build2_cooling_tons,hvac_ac_cost_cl,3)))</f>
        <v>NA</v>
      </c>
      <c r="J490" s="356" t="str">
        <f>IF(OR(I490="NA",I490="contact vendor"),"--",C490*I490)</f>
        <v>--</v>
      </c>
      <c r="K490" s="195" t="str">
        <f>IF(C490="NA","NA",VLOOKUP(build2_cooling_tons,hvac_ac_cost_cl,IF(ss_cat="large",4,5)))</f>
        <v>NA</v>
      </c>
      <c r="L490" s="354"/>
      <c r="M490" s="26" t="str">
        <f>B463&amp;" - "&amp;B478&amp;" - "&amp;B489&amp;" - "&amp;B490</f>
        <v>Building Structures and HVAC - Building 2 - Cooling System - Air conditioner</v>
      </c>
      <c r="N490" s="694" t="str">
        <f t="shared" ref="N490:V491" si="77">IF(include_HVAC=0,0,IF(build2_cool=$B490,1,""))</f>
        <v/>
      </c>
      <c r="O490" s="694" t="str">
        <f t="shared" si="77"/>
        <v/>
      </c>
      <c r="P490" s="694" t="str">
        <f t="shared" si="77"/>
        <v/>
      </c>
      <c r="Q490" s="694" t="str">
        <f t="shared" si="77"/>
        <v/>
      </c>
      <c r="R490" s="694" t="str">
        <f t="shared" si="77"/>
        <v/>
      </c>
      <c r="S490" s="694" t="str">
        <f t="shared" si="77"/>
        <v/>
      </c>
      <c r="T490" s="694" t="str">
        <f t="shared" si="77"/>
        <v/>
      </c>
      <c r="U490" s="694" t="str">
        <f t="shared" si="77"/>
        <v/>
      </c>
      <c r="V490" s="694" t="str">
        <f t="shared" si="77"/>
        <v/>
      </c>
      <c r="W490" s="694">
        <f t="shared" si="70"/>
        <v>0</v>
      </c>
      <c r="X490">
        <f t="shared" si="71"/>
        <v>0</v>
      </c>
      <c r="Y490"/>
    </row>
    <row r="491" spans="1:25" x14ac:dyDescent="0.2">
      <c r="A491" s="629" t="s">
        <v>4012</v>
      </c>
      <c r="B491" s="630" t="s">
        <v>3630</v>
      </c>
      <c r="C491" s="631" t="str">
        <f>IF(AND(hp_ok_2,build2_need_cool),build2_zones,"NA")</f>
        <v>NA</v>
      </c>
      <c r="D491" s="510" t="str">
        <f>IF(C491="NA","","zones")</f>
        <v/>
      </c>
      <c r="E491" s="637" t="str">
        <f>IF(C491="NA","NA",build2_cooling_tons)</f>
        <v>NA</v>
      </c>
      <c r="F491" s="510" t="str">
        <f>IF(C491="NA","","tons")</f>
        <v/>
      </c>
      <c r="G491" s="637" t="str">
        <f>IF(C491="NA","NA",IF(curve=1,build2_cooling_tons,VLOOKUP(build2_cooling_tons,hvac_hp_cost_cl,2)))</f>
        <v>NA</v>
      </c>
      <c r="H491" s="510" t="str">
        <f>IF(C491="NA","","tons")</f>
        <v/>
      </c>
      <c r="I491" s="636" t="str">
        <f>IF(C491="NA","NA",IF(curve=1,hvac_hp_eq_2,VLOOKUP(build2_cooling_tons,hvac_hp_cost_cl,3)))</f>
        <v>NA</v>
      </c>
      <c r="J491" s="356" t="str">
        <f>IF(OR(I491="NA",I491="contact vendor"),"--",C491*I491)</f>
        <v>--</v>
      </c>
      <c r="K491" s="195" t="str">
        <f>IF(C491="NA","NA",VLOOKUP(build2_cooling_tons,hvac_hp_cost_cl,IF(ss_cat="large",4,5)))</f>
        <v>NA</v>
      </c>
      <c r="L491" s="354"/>
      <c r="M491" s="26" t="str">
        <f>B463&amp;" - "&amp;B478&amp;" - "&amp;B489&amp;" - "&amp;B491</f>
        <v>Building Structures and HVAC - Building 2 - Cooling System - Heat pump</v>
      </c>
      <c r="N491" s="694" t="str">
        <f t="shared" si="77"/>
        <v/>
      </c>
      <c r="O491" s="694" t="str">
        <f t="shared" si="77"/>
        <v/>
      </c>
      <c r="P491" s="694" t="str">
        <f t="shared" si="77"/>
        <v/>
      </c>
      <c r="Q491" s="694" t="str">
        <f t="shared" si="77"/>
        <v/>
      </c>
      <c r="R491" s="694" t="str">
        <f t="shared" si="77"/>
        <v/>
      </c>
      <c r="S491" s="694" t="str">
        <f t="shared" si="77"/>
        <v/>
      </c>
      <c r="T491" s="694" t="str">
        <f t="shared" si="77"/>
        <v/>
      </c>
      <c r="U491" s="694" t="str">
        <f t="shared" si="77"/>
        <v/>
      </c>
      <c r="V491" s="694" t="str">
        <f t="shared" si="77"/>
        <v/>
      </c>
      <c r="W491" s="694">
        <f t="shared" si="70"/>
        <v>0</v>
      </c>
      <c r="X491">
        <f t="shared" si="71"/>
        <v>0</v>
      </c>
      <c r="Y491"/>
    </row>
    <row r="492" spans="1:25" s="773" customFormat="1" x14ac:dyDescent="0.2">
      <c r="A492" s="472">
        <v>11.3</v>
      </c>
      <c r="B492" s="550" t="s">
        <v>2456</v>
      </c>
      <c r="C492" s="555">
        <v>1</v>
      </c>
      <c r="D492" s="355" t="s">
        <v>606</v>
      </c>
      <c r="E492" s="549">
        <f>concrete</f>
        <v>6</v>
      </c>
      <c r="F492" s="510" t="s">
        <v>2458</v>
      </c>
      <c r="G492" s="549">
        <f>concrete</f>
        <v>6</v>
      </c>
      <c r="H492" s="510" t="s">
        <v>2458</v>
      </c>
      <c r="I492" s="686">
        <f>VLOOKUP(0,conc_pad_cost_cl,3)</f>
        <v>492.74999999999994</v>
      </c>
      <c r="J492" s="356">
        <f>IF(I492="contact vendor","--",E492*I492)</f>
        <v>2956.4999999999995</v>
      </c>
      <c r="K492" s="195">
        <f>VLOOKUP(0,conc_pad_cost_cl,IF(ss_cat="large",4,5))</f>
        <v>37</v>
      </c>
      <c r="L492" s="354">
        <v>1</v>
      </c>
      <c r="M492" s="26" t="str">
        <f>B463&amp;" - "&amp;B492</f>
        <v>Building Structures and HVAC - Concrete Pad</v>
      </c>
      <c r="N492" s="694">
        <f t="shared" ref="N492:V492" si="78">include_pad</f>
        <v>1</v>
      </c>
      <c r="O492" s="694">
        <f t="shared" si="78"/>
        <v>1</v>
      </c>
      <c r="P492" s="694">
        <f t="shared" si="78"/>
        <v>1</v>
      </c>
      <c r="Q492" s="694">
        <f t="shared" si="78"/>
        <v>1</v>
      </c>
      <c r="R492" s="694">
        <f t="shared" si="78"/>
        <v>1</v>
      </c>
      <c r="S492" s="694">
        <f t="shared" si="78"/>
        <v>1</v>
      </c>
      <c r="T492" s="694">
        <f t="shared" si="78"/>
        <v>1</v>
      </c>
      <c r="U492" s="694">
        <f t="shared" si="78"/>
        <v>1</v>
      </c>
      <c r="V492" s="694">
        <f t="shared" si="78"/>
        <v>1</v>
      </c>
      <c r="W492" s="694">
        <f t="shared" si="70"/>
        <v>1</v>
      </c>
      <c r="X492">
        <f t="shared" si="71"/>
        <v>79.905405405405389</v>
      </c>
      <c r="Y492"/>
    </row>
    <row r="493" spans="1:25" s="778" customFormat="1" x14ac:dyDescent="0.2">
      <c r="A493" s="360">
        <v>12</v>
      </c>
      <c r="B493" s="18" t="s">
        <v>762</v>
      </c>
      <c r="C493" s="562"/>
      <c r="D493" s="187"/>
      <c r="E493" s="188"/>
      <c r="F493" s="513"/>
      <c r="G493" s="569"/>
      <c r="H493" s="513"/>
      <c r="I493" s="881"/>
      <c r="J493" s="188"/>
      <c r="K493" s="188"/>
      <c r="L493" s="189"/>
      <c r="M493" s="35"/>
      <c r="N493" s="694"/>
      <c r="O493" s="694"/>
      <c r="P493" s="694"/>
      <c r="Q493" s="694"/>
      <c r="R493" s="694"/>
      <c r="S493" s="694"/>
      <c r="T493" s="694"/>
      <c r="U493" s="694"/>
      <c r="V493" s="694"/>
      <c r="W493" s="694">
        <f t="shared" si="70"/>
        <v>0</v>
      </c>
      <c r="X493">
        <f t="shared" si="71"/>
        <v>0</v>
      </c>
      <c r="Y493"/>
    </row>
    <row r="494" spans="1:25" s="773" customFormat="1" x14ac:dyDescent="0.2">
      <c r="A494" s="473">
        <v>12.1</v>
      </c>
      <c r="B494" s="86" t="s">
        <v>760</v>
      </c>
      <c r="C494" s="556"/>
      <c r="D494" s="180"/>
      <c r="E494" s="530"/>
      <c r="F494" s="512"/>
      <c r="G494" s="530"/>
      <c r="H494" s="512"/>
      <c r="I494" s="370"/>
      <c r="J494" s="181"/>
      <c r="K494" s="283"/>
      <c r="L494" s="192"/>
      <c r="M494" s="35"/>
      <c r="N494" s="694"/>
      <c r="O494" s="694"/>
      <c r="P494" s="694"/>
      <c r="Q494" s="694"/>
      <c r="R494" s="694"/>
      <c r="S494" s="694"/>
      <c r="T494" s="694"/>
      <c r="U494" s="694"/>
      <c r="V494" s="694"/>
      <c r="W494" s="694">
        <f t="shared" si="70"/>
        <v>0</v>
      </c>
      <c r="X494">
        <f t="shared" si="71"/>
        <v>0</v>
      </c>
      <c r="Y494" s="1"/>
    </row>
    <row r="495" spans="1:25" s="773" customFormat="1" x14ac:dyDescent="0.2">
      <c r="A495" s="320" t="s">
        <v>755</v>
      </c>
      <c r="B495" s="138" t="s">
        <v>651</v>
      </c>
      <c r="C495" s="30">
        <f>thick_basins</f>
        <v>0</v>
      </c>
      <c r="D495" s="351" t="s">
        <v>606</v>
      </c>
      <c r="E495" s="649" t="str">
        <f>IF(thick_basins=0,"NA",thick_basin_vol)</f>
        <v>NA</v>
      </c>
      <c r="F495" s="1" t="str">
        <f>IF(C495=0,"","gal")</f>
        <v/>
      </c>
      <c r="G495" s="649" t="str">
        <f>IF(thick_basins=0,"NA",thick_basin_vol)</f>
        <v>NA</v>
      </c>
      <c r="H495" s="1" t="str">
        <f>IF(C495=0,"","gal")</f>
        <v/>
      </c>
      <c r="I495" s="357" t="str">
        <f>IF(thick_basins=0,"NA",J495/thick_basins)</f>
        <v>NA</v>
      </c>
      <c r="J495" s="357" t="str">
        <f>IF(thick_basins=0,"--",thick_conc_vol*VLOOKUP(0,conc_basin_cost_cl,3)+thick_excavation_vol*VLOOKUP(0,excavate_cost_cl,3)+thick_backfill_vol*VLOOKUP(0,backfill_cost_cl,3)+thick_railing*VLOOKUP("aluminum railing",metal_cost_cl,3))</f>
        <v>--</v>
      </c>
      <c r="K495" s="195" t="str">
        <f>IF(thick_basins=0,"NA",VLOOKUP(0,conc_basin_cost_cl,IF(ss_cat="large",4,5)))</f>
        <v>NA</v>
      </c>
      <c r="L495" s="354"/>
      <c r="M495" s="35" t="str">
        <f>$B$493&amp;" - "&amp;$B$494&amp;" - "&amp;B495</f>
        <v>Solids Treatment/Storage - Solids Thickening - Concrete Basins (includes Excavation, Backfill, and Compaction)</v>
      </c>
      <c r="N495" s="694">
        <v>1</v>
      </c>
      <c r="O495" s="694">
        <v>1</v>
      </c>
      <c r="P495" s="694">
        <v>2</v>
      </c>
      <c r="Q495" s="694">
        <v>1</v>
      </c>
      <c r="R495" s="694">
        <v>1</v>
      </c>
      <c r="S495" s="694">
        <v>2</v>
      </c>
      <c r="T495" s="694">
        <v>1</v>
      </c>
      <c r="U495" s="694">
        <v>1</v>
      </c>
      <c r="V495" s="694">
        <v>2</v>
      </c>
      <c r="W495" s="694">
        <f t="shared" si="70"/>
        <v>0</v>
      </c>
      <c r="X495">
        <f t="shared" si="71"/>
        <v>0</v>
      </c>
      <c r="Y495" s="1"/>
    </row>
    <row r="496" spans="1:25" s="773" customFormat="1" x14ac:dyDescent="0.2">
      <c r="A496" s="320" t="s">
        <v>755</v>
      </c>
      <c r="B496" s="1" t="s">
        <v>1292</v>
      </c>
      <c r="C496" s="1">
        <f>thick_tanks</f>
        <v>0</v>
      </c>
      <c r="D496" s="355" t="s">
        <v>606</v>
      </c>
      <c r="E496" s="549" t="str">
        <f>IF(C496=0,"NA",thick_tank_volume)</f>
        <v>NA</v>
      </c>
      <c r="F496" s="1" t="str">
        <f>IF(C496=0,"","gal")</f>
        <v/>
      </c>
      <c r="G496" s="549" t="str">
        <f>IF(thick_tanks=0,"NA",IF(curve=1,thick_tank_volume,VLOOKUP(thick_tank_volume,st_bwt_cost_cl,2)))</f>
        <v>NA</v>
      </c>
      <c r="H496" s="510" t="str">
        <f>IF(C496=0,"","gal")</f>
        <v/>
      </c>
      <c r="I496" s="686" t="str">
        <f>IF(thick_tanks=0,"NA",IF(curve=1,st_tt_eq,VLOOKUP(thick_tank_volume,st_bwt_cost_cl,3)))</f>
        <v>NA</v>
      </c>
      <c r="J496" s="356" t="str">
        <f>IF(OR(I496="NA",I496="contact vendor"),"--",C496*I496)</f>
        <v>--</v>
      </c>
      <c r="K496" s="195" t="str">
        <f>IF(thick_tanks=0,"NA",VLOOKUP(thick_tank_volume,st_bwt_cost_cl,IF(ss_cat="large",4,5)))</f>
        <v>NA</v>
      </c>
      <c r="L496" s="354"/>
      <c r="M496" s="35" t="str">
        <f>$B$493&amp;" - "&amp;$B$494&amp;" - "&amp;B496</f>
        <v>Solids Treatment/Storage - Solids Thickening - Steel Tanks</v>
      </c>
      <c r="N496" s="694">
        <v>2</v>
      </c>
      <c r="O496" s="694">
        <v>2</v>
      </c>
      <c r="P496" s="694">
        <v>1</v>
      </c>
      <c r="Q496" s="694">
        <v>2</v>
      </c>
      <c r="R496" s="694">
        <v>2</v>
      </c>
      <c r="S496" s="694">
        <v>1</v>
      </c>
      <c r="T496" s="694">
        <v>2</v>
      </c>
      <c r="U496" s="694">
        <v>2</v>
      </c>
      <c r="V496" s="694">
        <v>1</v>
      </c>
      <c r="W496" s="694">
        <f t="shared" si="70"/>
        <v>0</v>
      </c>
      <c r="X496">
        <f t="shared" si="71"/>
        <v>0</v>
      </c>
      <c r="Y496" s="1"/>
    </row>
    <row r="497" spans="1:25" s="773" customFormat="1" x14ac:dyDescent="0.2">
      <c r="A497" s="320" t="s">
        <v>756</v>
      </c>
      <c r="B497" s="1" t="s">
        <v>772</v>
      </c>
      <c r="C497" s="1">
        <f>num_thick_internals</f>
        <v>0</v>
      </c>
      <c r="D497" s="355" t="s">
        <v>606</v>
      </c>
      <c r="E497" s="549" t="str">
        <f>IF(C497=0,"NA",thick_mech_diam)</f>
        <v>NA</v>
      </c>
      <c r="F497" s="1" t="str">
        <f>IF(C497=0,"","ft diam")</f>
        <v/>
      </c>
      <c r="G497" s="549" t="str">
        <f>IF(C497=0,"NA",thick_mech_diam)</f>
        <v>NA</v>
      </c>
      <c r="H497" s="1" t="str">
        <f>IF(C497=0,"","ft diam")</f>
        <v/>
      </c>
      <c r="I497" s="356" t="str">
        <f>IF(C497=0,"NA",thick_mech_diam*VLOOKUP(0,thick_internal_cost_cl,3))</f>
        <v>NA</v>
      </c>
      <c r="J497" s="356" t="str">
        <f>IF(OR(I497="NA",I497="contact vendor"),"--",C497*I497)</f>
        <v>--</v>
      </c>
      <c r="K497" s="195" t="str">
        <f>IF(C497=0,"NA",VLOOKUP(0,thick_internal_cost_cl,IF(ss_cat="large",4,5)))</f>
        <v>NA</v>
      </c>
      <c r="L497" s="354"/>
      <c r="M497" s="35" t="str">
        <f>$B$493&amp;" - "&amp;$B$494&amp;" - "&amp;B497</f>
        <v>Solids Treatment/Storage - Solids Thickening - Internals</v>
      </c>
      <c r="N497" s="694">
        <v>1</v>
      </c>
      <c r="O497" s="694">
        <v>1</v>
      </c>
      <c r="P497" s="694">
        <v>1</v>
      </c>
      <c r="Q497" s="694">
        <v>1</v>
      </c>
      <c r="R497" s="694">
        <v>1</v>
      </c>
      <c r="S497" s="694">
        <v>1</v>
      </c>
      <c r="T497" s="694">
        <v>1</v>
      </c>
      <c r="U497" s="694">
        <v>1</v>
      </c>
      <c r="V497" s="694">
        <v>1</v>
      </c>
      <c r="W497" s="694">
        <f t="shared" si="70"/>
        <v>0</v>
      </c>
      <c r="X497">
        <f t="shared" si="71"/>
        <v>0</v>
      </c>
      <c r="Y497" s="1"/>
    </row>
    <row r="498" spans="1:25" x14ac:dyDescent="0.2">
      <c r="A498" s="688" t="s">
        <v>4013</v>
      </c>
      <c r="B498" s="13" t="s">
        <v>727</v>
      </c>
      <c r="C498" s="179"/>
      <c r="D498" s="180"/>
      <c r="E498" s="530"/>
      <c r="F498" s="179"/>
      <c r="G498" s="530"/>
      <c r="H498" s="179"/>
      <c r="I498" s="370"/>
      <c r="J498" s="678"/>
      <c r="K498" s="679"/>
      <c r="L498" s="680"/>
      <c r="M498"/>
      <c r="N498" s="694"/>
      <c r="O498" s="694"/>
      <c r="P498" s="694"/>
      <c r="Q498" s="694"/>
      <c r="R498" s="694"/>
      <c r="S498" s="694"/>
      <c r="T498" s="694"/>
      <c r="U498" s="694"/>
      <c r="V498" s="694"/>
      <c r="W498" s="694">
        <f t="shared" si="70"/>
        <v>0</v>
      </c>
      <c r="X498">
        <f t="shared" si="71"/>
        <v>0</v>
      </c>
      <c r="Y498"/>
    </row>
    <row r="499" spans="1:25" x14ac:dyDescent="0.2">
      <c r="A499" s="654" t="s">
        <v>757</v>
      </c>
      <c r="B499" s="1" t="s">
        <v>677</v>
      </c>
      <c r="C499" s="654">
        <f>num_belt_press</f>
        <v>0</v>
      </c>
      <c r="D499" s="654" t="s">
        <v>606</v>
      </c>
      <c r="E499" s="352" t="str">
        <f>IF(C499&gt;0,belt_press_size,"NA")</f>
        <v>NA</v>
      </c>
      <c r="F499" s="654" t="str">
        <f>IF(C499=0,"","m belt width")</f>
        <v/>
      </c>
      <c r="G499" s="195" t="str">
        <f>IF(C499=0,"NA",IF(curve=1,belt_press_size,VLOOKUP(belt_press_size,belt_press_cost_cl,2)))</f>
        <v>NA</v>
      </c>
      <c r="H499" s="654" t="str">
        <f>IF(C499=0,"","m belt width")</f>
        <v/>
      </c>
      <c r="I499" s="687" t="str">
        <f>IF(C499=0,"NA",IF(curve=1,belt_press_eq,VLOOKUP(belt_press_size,belt_press_cost_cl,3)))</f>
        <v>NA</v>
      </c>
      <c r="J499" s="687" t="str">
        <f>IF(C499=0,"--",IF(OR(I499="contact vendor",I499="NA"),"--",C499*I499))</f>
        <v>--</v>
      </c>
      <c r="K499" s="681" t="str">
        <f>IF(C499=0,"NA",VLOOKUP(belt_press_size,belt_press_cost_cl,IF(ss_cat="large",4,5)))</f>
        <v>NA</v>
      </c>
      <c r="L499" s="682"/>
      <c r="M499" s="35" t="str">
        <f>$B$493&amp;" - "&amp;$B$498&amp;" - "&amp;B499</f>
        <v>Solids Treatment/Storage - Solids Mechanical Dewatering - Belt Press</v>
      </c>
      <c r="N499" s="694">
        <v>1</v>
      </c>
      <c r="O499" s="694">
        <v>1</v>
      </c>
      <c r="P499" s="694">
        <v>1</v>
      </c>
      <c r="Q499" s="694">
        <v>1</v>
      </c>
      <c r="R499" s="694">
        <v>1</v>
      </c>
      <c r="S499" s="694">
        <v>1</v>
      </c>
      <c r="T499" s="694">
        <v>1</v>
      </c>
      <c r="U499" s="694">
        <v>1</v>
      </c>
      <c r="V499" s="694">
        <v>1</v>
      </c>
      <c r="W499" s="694">
        <f t="shared" si="70"/>
        <v>0</v>
      </c>
      <c r="X499">
        <f t="shared" si="71"/>
        <v>0</v>
      </c>
      <c r="Y499"/>
    </row>
    <row r="500" spans="1:25" s="778" customFormat="1" x14ac:dyDescent="0.2">
      <c r="A500" s="360">
        <v>13</v>
      </c>
      <c r="B500" s="18" t="s">
        <v>2358</v>
      </c>
      <c r="C500" s="562"/>
      <c r="D500" s="187"/>
      <c r="E500" s="188"/>
      <c r="F500" s="513"/>
      <c r="G500" s="569"/>
      <c r="H500" s="513"/>
      <c r="I500" s="881"/>
      <c r="J500" s="188"/>
      <c r="K500" s="188"/>
      <c r="L500" s="189"/>
      <c r="M500" s="35"/>
      <c r="N500" s="694"/>
      <c r="O500" s="694"/>
      <c r="P500" s="694"/>
      <c r="Q500" s="694"/>
      <c r="R500" s="694"/>
      <c r="S500" s="694"/>
      <c r="T500" s="694"/>
      <c r="U500" s="694"/>
      <c r="V500" s="694"/>
      <c r="W500" s="694">
        <f t="shared" si="70"/>
        <v>0</v>
      </c>
      <c r="X500">
        <f t="shared" si="71"/>
        <v>0</v>
      </c>
      <c r="Y500"/>
    </row>
    <row r="501" spans="1:25" s="870" customFormat="1" x14ac:dyDescent="0.2">
      <c r="A501" s="472">
        <v>13.1</v>
      </c>
      <c r="B501" s="550" t="s">
        <v>1873</v>
      </c>
      <c r="C501" s="555">
        <f>ep_cells</f>
        <v>0</v>
      </c>
      <c r="D501" s="355" t="s">
        <v>3274</v>
      </c>
      <c r="E501" s="549" t="str">
        <f>IF(C501=0,"NA",ep_excavation_vol/ep_cells)</f>
        <v>NA</v>
      </c>
      <c r="F501" s="1" t="str">
        <f>IF(C501=0,"","cy")</f>
        <v/>
      </c>
      <c r="G501" s="549" t="str">
        <f>IF(C501=0,"NA",ep_excavation_vol/ep_cells)</f>
        <v>NA</v>
      </c>
      <c r="H501" s="510" t="str">
        <f>IF(E501=0,"","cy")</f>
        <v>cy</v>
      </c>
      <c r="I501" s="686" t="str">
        <f>IF(C501=0,"NA",VLOOKUP(0,excavate_cost_cl,3)*ep_excavation_vol/ep_cells)</f>
        <v>NA</v>
      </c>
      <c r="J501" s="356" t="str">
        <f>IF(C501=0,"--",IF(I501="contact vendor","--",C501*I501))</f>
        <v>--</v>
      </c>
      <c r="K501" s="195" t="str">
        <f>IF(C501=0,"NA",VLOOKUP(0,ep_liner_cost_cl,IF(ss_cat="large",4,5)))</f>
        <v>NA</v>
      </c>
      <c r="L501" s="354"/>
      <c r="M501" s="35" t="str">
        <f>$B$500&amp;" - "&amp;B501</f>
        <v>Evaporation Pond - Excavation</v>
      </c>
      <c r="N501" s="694">
        <v>1</v>
      </c>
      <c r="O501" s="694">
        <v>1</v>
      </c>
      <c r="P501" s="694">
        <v>1</v>
      </c>
      <c r="Q501" s="694">
        <v>1</v>
      </c>
      <c r="R501" s="694">
        <v>1</v>
      </c>
      <c r="S501" s="694">
        <v>1</v>
      </c>
      <c r="T501" s="694">
        <v>1</v>
      </c>
      <c r="U501" s="694">
        <v>1</v>
      </c>
      <c r="V501" s="694">
        <v>1</v>
      </c>
      <c r="W501" s="694">
        <f t="shared" si="70"/>
        <v>0</v>
      </c>
      <c r="X501">
        <f t="shared" si="71"/>
        <v>0</v>
      </c>
      <c r="Y501"/>
    </row>
    <row r="502" spans="1:25" s="870" customFormat="1" x14ac:dyDescent="0.2">
      <c r="A502" s="472">
        <v>13.2</v>
      </c>
      <c r="B502" s="550" t="s">
        <v>2359</v>
      </c>
      <c r="C502" s="555">
        <f>ep_cells</f>
        <v>0</v>
      </c>
      <c r="D502" s="355" t="s">
        <v>3274</v>
      </c>
      <c r="E502" s="549" t="str">
        <f>IF(C502=0,"NA",ep_backfill_vol/ep_cells)</f>
        <v>NA</v>
      </c>
      <c r="F502" s="1" t="str">
        <f>IF(C502=0,"","cy")</f>
        <v/>
      </c>
      <c r="G502" s="549" t="str">
        <f>IF(C502=0,"NA",ep_backfill_vol/ep_cells)</f>
        <v>NA</v>
      </c>
      <c r="H502" s="510" t="str">
        <f>IF(E502=0,"","cy")</f>
        <v>cy</v>
      </c>
      <c r="I502" s="686" t="str">
        <f>IF(C502=0,"NA",VLOOKUP(0,backfill_cost_cl,3)*ep_excavation_vol/ep_cells)</f>
        <v>NA</v>
      </c>
      <c r="J502" s="356" t="str">
        <f>IF(C502=0,"--",IF(I502="contact vendor","--",C502*I502))</f>
        <v>--</v>
      </c>
      <c r="K502" s="195" t="str">
        <f>IF(C502=0,"NA",VLOOKUP(0,ep_liner_cost_cl,IF(ss_cat="large",4,5)))</f>
        <v>NA</v>
      </c>
      <c r="L502" s="354"/>
      <c r="M502" s="35" t="str">
        <f>$B$500&amp;" - "&amp;B502</f>
        <v>Evaporation Pond - Backfill</v>
      </c>
      <c r="N502" s="694">
        <v>1</v>
      </c>
      <c r="O502" s="694">
        <v>1</v>
      </c>
      <c r="P502" s="694">
        <v>1</v>
      </c>
      <c r="Q502" s="694">
        <v>1</v>
      </c>
      <c r="R502" s="694">
        <v>1</v>
      </c>
      <c r="S502" s="694">
        <v>1</v>
      </c>
      <c r="T502" s="694">
        <v>1</v>
      </c>
      <c r="U502" s="694">
        <v>1</v>
      </c>
      <c r="V502" s="694">
        <v>1</v>
      </c>
      <c r="W502" s="694">
        <f t="shared" si="70"/>
        <v>0</v>
      </c>
      <c r="X502">
        <f t="shared" si="71"/>
        <v>0</v>
      </c>
      <c r="Y502"/>
    </row>
    <row r="503" spans="1:25" s="870" customFormat="1" x14ac:dyDescent="0.2">
      <c r="A503" s="472">
        <v>13.3</v>
      </c>
      <c r="B503" s="550" t="s">
        <v>2360</v>
      </c>
      <c r="C503" s="555">
        <f>ep_cells</f>
        <v>0</v>
      </c>
      <c r="D503" s="355" t="s">
        <v>3274</v>
      </c>
      <c r="E503" s="549" t="str">
        <f>IF(C503=0,"NA",liner_area/ep_cells)</f>
        <v>NA</v>
      </c>
      <c r="F503" s="1" t="str">
        <f>IF(C503=0,"","sf")</f>
        <v/>
      </c>
      <c r="G503" s="549" t="str">
        <f>IF(C503=0,"NA",liner_area/ep_cells)</f>
        <v>NA</v>
      </c>
      <c r="H503" s="510" t="str">
        <f>IF(E503=0,"","sf")</f>
        <v>sf</v>
      </c>
      <c r="I503" s="686" t="str">
        <f>IF(C503=0,"NA",VLOOKUP(0,ep_liner_cost_cl,3)*liner_area/ep_cells)</f>
        <v>NA</v>
      </c>
      <c r="J503" s="356" t="str">
        <f>IF(C503=0,"--",IF(I503="contact vendor","--",C503*I503))</f>
        <v>--</v>
      </c>
      <c r="K503" s="195" t="str">
        <f>IF(C503=0,"NA",VLOOKUP(0,ep_liner_cost_cl,IF(ss_cat="large",4,5)))</f>
        <v>NA</v>
      </c>
      <c r="L503" s="354"/>
      <c r="M503" s="35" t="str">
        <f>$B$500&amp;" - "&amp;B503</f>
        <v>Evaporation Pond - Liner</v>
      </c>
      <c r="N503" s="694">
        <v>1</v>
      </c>
      <c r="O503" s="694">
        <v>1</v>
      </c>
      <c r="P503" s="694">
        <v>1</v>
      </c>
      <c r="Q503" s="694">
        <v>1</v>
      </c>
      <c r="R503" s="694">
        <v>1</v>
      </c>
      <c r="S503" s="694">
        <v>1</v>
      </c>
      <c r="T503" s="694">
        <v>1</v>
      </c>
      <c r="U503" s="694">
        <v>1</v>
      </c>
      <c r="V503" s="694">
        <v>1</v>
      </c>
      <c r="W503" s="694">
        <f t="shared" si="70"/>
        <v>0</v>
      </c>
      <c r="X503">
        <f t="shared" si="71"/>
        <v>0</v>
      </c>
      <c r="Y503"/>
    </row>
    <row r="504" spans="1:25" s="870" customFormat="1" x14ac:dyDescent="0.2">
      <c r="A504" s="472">
        <v>13.4</v>
      </c>
      <c r="B504" s="550" t="s">
        <v>2361</v>
      </c>
      <c r="C504" s="555">
        <f>ep_cells</f>
        <v>0</v>
      </c>
      <c r="D504" s="355" t="s">
        <v>3274</v>
      </c>
      <c r="E504" s="549" t="str">
        <f>IF(C504=0,"NA",dike_volume/ep_cells)</f>
        <v>NA</v>
      </c>
      <c r="F504" s="1" t="str">
        <f>IF(C504=0,"","cy")</f>
        <v/>
      </c>
      <c r="G504" s="549" t="str">
        <f>IF(C504=0,"NA",dike_volume/ep_cells)</f>
        <v>NA</v>
      </c>
      <c r="H504" s="510" t="str">
        <f>IF(E504=0,"","cy")</f>
        <v>cy</v>
      </c>
      <c r="I504" s="686" t="str">
        <f>IF(C504=0,"NA",ep_dike_construct_cl*dike_volume/ep_cells)</f>
        <v>NA</v>
      </c>
      <c r="J504" s="356" t="str">
        <f>IF(C504=0,"--",IF(I504="contact vendor","--",C504*I504))</f>
        <v>--</v>
      </c>
      <c r="K504" s="195" t="str">
        <f>IF(C504=0,"NA",VLOOKUP(0,ep_liner_cost_cl,IF(ss_cat="large",4,5)))</f>
        <v>NA</v>
      </c>
      <c r="L504" s="354"/>
      <c r="M504" s="35" t="str">
        <f>$B$500&amp;" - "&amp;B504</f>
        <v>Evaporation Pond - Dike Construction</v>
      </c>
      <c r="N504" s="694">
        <v>1</v>
      </c>
      <c r="O504" s="694">
        <v>1</v>
      </c>
      <c r="P504" s="694">
        <v>1</v>
      </c>
      <c r="Q504" s="694">
        <v>1</v>
      </c>
      <c r="R504" s="694">
        <v>1</v>
      </c>
      <c r="S504" s="694">
        <v>1</v>
      </c>
      <c r="T504" s="694">
        <v>1</v>
      </c>
      <c r="U504" s="694">
        <v>1</v>
      </c>
      <c r="V504" s="694">
        <v>1</v>
      </c>
      <c r="W504" s="694">
        <f t="shared" si="70"/>
        <v>0</v>
      </c>
      <c r="X504">
        <f t="shared" si="71"/>
        <v>0</v>
      </c>
      <c r="Y504"/>
    </row>
    <row r="505" spans="1:25" s="778" customFormat="1" x14ac:dyDescent="0.2">
      <c r="A505" s="360">
        <v>14</v>
      </c>
      <c r="B505" s="18" t="s">
        <v>1709</v>
      </c>
      <c r="C505" s="562"/>
      <c r="D505" s="187"/>
      <c r="E505" s="188"/>
      <c r="F505" s="513"/>
      <c r="G505" s="569"/>
      <c r="H505" s="513"/>
      <c r="I505" s="881"/>
      <c r="J505" s="188"/>
      <c r="K505" s="188"/>
      <c r="L505" s="189"/>
      <c r="M505" s="35"/>
      <c r="N505" s="694"/>
      <c r="O505" s="694"/>
      <c r="P505" s="694"/>
      <c r="Q505" s="694"/>
      <c r="R505" s="694"/>
      <c r="S505" s="694"/>
      <c r="T505" s="694"/>
      <c r="U505" s="694"/>
      <c r="V505" s="694"/>
      <c r="W505" s="694">
        <f t="shared" si="70"/>
        <v>0</v>
      </c>
      <c r="X505">
        <f t="shared" si="71"/>
        <v>0</v>
      </c>
      <c r="Y505"/>
    </row>
    <row r="506" spans="1:25" s="870" customFormat="1" x14ac:dyDescent="0.2">
      <c r="A506" s="570">
        <v>14.1</v>
      </c>
      <c r="B506" s="571" t="s">
        <v>1709</v>
      </c>
      <c r="C506" s="572">
        <f>IF(solids_pad_area=0,0,1)</f>
        <v>1</v>
      </c>
      <c r="D506" s="573" t="s">
        <v>606</v>
      </c>
      <c r="E506" s="574">
        <f>solids_pad_concrete</f>
        <v>1</v>
      </c>
      <c r="F506" s="663" t="s">
        <v>2458</v>
      </c>
      <c r="G506" s="574">
        <f>solids_pad_concrete</f>
        <v>1</v>
      </c>
      <c r="H506" s="510" t="s">
        <v>2458</v>
      </c>
      <c r="I506" s="882">
        <f>VLOOKUP(0,conc_pad_cost_cl,3)</f>
        <v>492.74999999999994</v>
      </c>
      <c r="J506" s="575">
        <f>IF(I506="contact vendor","--",E506*I506)</f>
        <v>492.74999999999994</v>
      </c>
      <c r="K506" s="576">
        <f>IF(C506=0,"NA",VLOOKUP(0,conc_pad_cost_cl,IF(ss_cat="large",4,5)))</f>
        <v>37</v>
      </c>
      <c r="L506" s="577">
        <v>1</v>
      </c>
      <c r="M506" s="359" t="str">
        <f>B506</f>
        <v>Solids drying pad</v>
      </c>
      <c r="N506" s="694">
        <v>1</v>
      </c>
      <c r="O506" s="694">
        <v>1</v>
      </c>
      <c r="P506" s="694">
        <v>1</v>
      </c>
      <c r="Q506" s="694">
        <v>1</v>
      </c>
      <c r="R506" s="694">
        <v>1</v>
      </c>
      <c r="S506" s="694">
        <v>1</v>
      </c>
      <c r="T506" s="694">
        <v>1</v>
      </c>
      <c r="U506" s="694">
        <v>1</v>
      </c>
      <c r="V506" s="694">
        <v>1</v>
      </c>
      <c r="W506" s="694">
        <f t="shared" si="70"/>
        <v>1</v>
      </c>
      <c r="X506">
        <f t="shared" si="71"/>
        <v>13.317567567567567</v>
      </c>
      <c r="Y506"/>
    </row>
    <row r="507" spans="1:25" x14ac:dyDescent="0.2">
      <c r="A507" s="930"/>
      <c r="B507" s="155"/>
      <c r="C507" s="315"/>
      <c r="D507" s="286"/>
      <c r="E507" s="90"/>
      <c r="F507" s="90"/>
      <c r="G507" s="90"/>
      <c r="I507" s="90"/>
      <c r="J507" s="90"/>
      <c r="K507" s="90"/>
      <c r="L507" s="317"/>
      <c r="M507"/>
      <c r="N507" s="694"/>
      <c r="O507" s="694"/>
      <c r="P507" s="694"/>
      <c r="Q507" s="694"/>
      <c r="R507" s="694"/>
      <c r="S507" s="694"/>
      <c r="T507" s="694"/>
      <c r="U507" s="694"/>
      <c r="V507" s="694"/>
      <c r="W507" s="694" t="s">
        <v>2557</v>
      </c>
      <c r="X507" t="s">
        <v>2558</v>
      </c>
      <c r="Y507" s="90" t="s">
        <v>2559</v>
      </c>
    </row>
    <row r="508" spans="1:25" s="778" customFormat="1" ht="16.5" customHeight="1" x14ac:dyDescent="0.2">
      <c r="A508" s="785" t="s">
        <v>3943</v>
      </c>
      <c r="B508" s="213"/>
      <c r="C508" s="169"/>
      <c r="D508" s="214"/>
      <c r="E508" s="215"/>
      <c r="F508" s="169"/>
      <c r="G508" s="215"/>
      <c r="H508" s="169"/>
      <c r="I508" s="216"/>
      <c r="J508" s="217"/>
      <c r="K508" s="170"/>
      <c r="L508" s="173"/>
      <c r="M508" s="169"/>
      <c r="N508" s="808"/>
      <c r="O508" s="808"/>
      <c r="P508" s="808"/>
      <c r="Q508" s="808"/>
      <c r="R508" s="808"/>
      <c r="S508" s="808"/>
      <c r="T508" s="808"/>
      <c r="U508" s="808"/>
      <c r="V508" s="808"/>
      <c r="W508" s="809">
        <f>SUMPRODUCT(W34:W506,J34:J506)</f>
        <v>371714.36846732738</v>
      </c>
      <c r="X508" s="169">
        <f>SUM(X34:X506)</f>
        <v>23332.39596536128</v>
      </c>
      <c r="Y508" s="169">
        <f>MAX(Y479:Y482,Y465:Y468)</f>
        <v>20</v>
      </c>
    </row>
    <row r="509" spans="1:25" s="778" customFormat="1" ht="16.5" customHeight="1" x14ac:dyDescent="0.2">
      <c r="A509" s="785"/>
      <c r="B509" s="99" t="s">
        <v>3944</v>
      </c>
      <c r="C509" s="786" t="s">
        <v>3156</v>
      </c>
      <c r="D509" s="89" t="s">
        <v>594</v>
      </c>
      <c r="E509" s="215"/>
      <c r="F509" s="169"/>
      <c r="G509" s="215"/>
      <c r="H509" s="169"/>
      <c r="I509" s="216"/>
      <c r="J509" s="217"/>
      <c r="K509" s="170"/>
      <c r="L509" s="173"/>
      <c r="N509" s="864"/>
      <c r="O509" s="864"/>
      <c r="P509" s="864"/>
      <c r="Q509" s="864"/>
      <c r="R509" s="864"/>
      <c r="S509" s="864"/>
      <c r="T509" s="864"/>
      <c r="U509" s="864"/>
      <c r="V509" s="864"/>
      <c r="W509" s="863"/>
    </row>
    <row r="510" spans="1:25" s="778" customFormat="1" x14ac:dyDescent="0.2">
      <c r="A510" s="218"/>
      <c r="B510" s="219" t="s">
        <v>1152</v>
      </c>
      <c r="C510" s="807">
        <f>SUMPRODUCT(J36:J462,L36:L462)+SUMPRODUCT(J495:J506,L495:L506)</f>
        <v>345923.83821736719</v>
      </c>
      <c r="D510" s="787" t="s">
        <v>3945</v>
      </c>
      <c r="E510" s="215"/>
      <c r="F510" s="169"/>
      <c r="G510" s="215"/>
      <c r="H510" s="169"/>
      <c r="I510" s="216"/>
      <c r="J510" s="217"/>
      <c r="K510" s="170"/>
      <c r="L510" s="173"/>
      <c r="N510" s="864"/>
      <c r="O510" s="864"/>
      <c r="P510" s="864"/>
      <c r="Q510" s="864"/>
      <c r="R510" s="864"/>
      <c r="S510" s="864"/>
      <c r="T510" s="864"/>
      <c r="U510" s="864"/>
      <c r="V510" s="864"/>
      <c r="W510" s="863"/>
    </row>
    <row r="511" spans="1:25" s="778" customFormat="1" x14ac:dyDescent="0.2">
      <c r="A511" s="218"/>
      <c r="B511" s="220" t="s">
        <v>1153</v>
      </c>
      <c r="C511" s="221">
        <f>SUMPRODUCT(J465:J492,L465:L492)</f>
        <v>25790.5302499602</v>
      </c>
      <c r="D511" s="862" t="s">
        <v>4183</v>
      </c>
      <c r="E511" s="215"/>
      <c r="F511" s="169"/>
      <c r="G511" s="215"/>
      <c r="H511" s="169"/>
      <c r="I511" s="216"/>
      <c r="J511" s="217"/>
      <c r="K511" s="170"/>
      <c r="L511" s="173"/>
      <c r="N511" s="864"/>
      <c r="O511" s="864"/>
      <c r="P511" s="864"/>
      <c r="Q511" s="864"/>
      <c r="R511" s="864"/>
      <c r="S511" s="864"/>
      <c r="T511" s="864"/>
      <c r="U511" s="864"/>
      <c r="V511" s="864"/>
      <c r="W511" s="863"/>
    </row>
    <row r="512" spans="1:25" s="778" customFormat="1" ht="15.75" x14ac:dyDescent="0.25">
      <c r="A512" s="931"/>
      <c r="B512" s="223" t="s">
        <v>1154</v>
      </c>
      <c r="C512" s="224">
        <f>process_cost+building_cost</f>
        <v>371714.36846732738</v>
      </c>
      <c r="D512" s="225" t="s">
        <v>1155</v>
      </c>
      <c r="E512" s="171"/>
      <c r="F512" s="171"/>
      <c r="G512" s="171"/>
      <c r="H512" s="171"/>
      <c r="I512" s="171"/>
      <c r="J512" s="171"/>
      <c r="K512" s="171"/>
      <c r="L512" s="174"/>
      <c r="N512" s="863"/>
      <c r="O512" s="863"/>
      <c r="P512" s="863"/>
      <c r="Q512" s="863"/>
      <c r="R512" s="863"/>
      <c r="S512" s="863"/>
      <c r="T512" s="863"/>
      <c r="U512" s="863"/>
      <c r="V512" s="863"/>
      <c r="W512" s="863"/>
    </row>
    <row r="513" spans="1:23" s="778" customFormat="1" x14ac:dyDescent="0.2">
      <c r="A513" s="809"/>
      <c r="B513" s="35"/>
      <c r="C513" s="226"/>
      <c r="D513" s="172"/>
      <c r="E513" s="169"/>
      <c r="F513" s="169"/>
      <c r="G513" s="169"/>
      <c r="H513" s="169"/>
      <c r="I513" s="169"/>
      <c r="J513" s="169"/>
      <c r="K513" s="169"/>
      <c r="L513" s="169"/>
      <c r="N513" s="863"/>
      <c r="O513" s="863"/>
      <c r="P513" s="863"/>
      <c r="Q513" s="863"/>
      <c r="R513" s="863"/>
      <c r="S513" s="863"/>
      <c r="T513" s="863"/>
      <c r="U513" s="863"/>
      <c r="V513" s="863"/>
      <c r="W513" s="863"/>
    </row>
    <row r="514" spans="1:23" s="778" customFormat="1" ht="15.75" x14ac:dyDescent="0.25">
      <c r="A514" s="207" t="s">
        <v>3946</v>
      </c>
      <c r="B514" s="227"/>
      <c r="C514" s="228"/>
      <c r="D514" s="229"/>
      <c r="E514" s="168"/>
      <c r="F514" s="168"/>
      <c r="G514" s="168"/>
      <c r="H514" s="230"/>
      <c r="I514" s="169"/>
      <c r="J514" s="169"/>
      <c r="K514" s="169"/>
      <c r="L514" s="169"/>
      <c r="N514" s="863"/>
      <c r="O514" s="863"/>
      <c r="P514" s="863"/>
      <c r="Q514" s="863"/>
      <c r="R514" s="863"/>
      <c r="S514" s="863"/>
      <c r="T514" s="863"/>
      <c r="U514" s="863"/>
      <c r="V514" s="863"/>
      <c r="W514" s="863"/>
    </row>
    <row r="515" spans="1:23" s="778" customFormat="1" ht="15.75" x14ac:dyDescent="0.25">
      <c r="A515" s="783"/>
      <c r="B515" s="99" t="s">
        <v>3948</v>
      </c>
      <c r="C515" s="521" t="s">
        <v>3156</v>
      </c>
      <c r="D515" s="99" t="s">
        <v>594</v>
      </c>
      <c r="E515" s="169"/>
      <c r="F515" s="169"/>
      <c r="G515" s="169"/>
      <c r="H515" s="173"/>
      <c r="I515" s="169"/>
      <c r="J515" s="169"/>
      <c r="K515" s="169"/>
      <c r="L515" s="169"/>
      <c r="N515" s="863"/>
      <c r="O515" s="863"/>
      <c r="P515" s="863"/>
      <c r="Q515" s="863"/>
      <c r="R515" s="863"/>
      <c r="S515" s="863"/>
      <c r="T515" s="863"/>
      <c r="U515" s="863"/>
      <c r="V515" s="863"/>
      <c r="W515" s="863"/>
    </row>
    <row r="516" spans="1:23" s="778" customFormat="1" x14ac:dyDescent="0.2">
      <c r="A516" s="218"/>
      <c r="B516" s="231" t="s">
        <v>2332</v>
      </c>
      <c r="C516" s="232">
        <f>include_permits*permit_cost</f>
        <v>835.47499999999991</v>
      </c>
      <c r="D516" s="222"/>
      <c r="E516" s="169"/>
      <c r="F516" s="169"/>
      <c r="G516" s="169"/>
      <c r="H516" s="173"/>
      <c r="I516" s="169"/>
      <c r="J516" s="169"/>
      <c r="K516" s="169"/>
      <c r="L516" s="169"/>
      <c r="N516" s="863"/>
      <c r="O516" s="863"/>
      <c r="P516" s="863"/>
      <c r="Q516" s="863"/>
      <c r="R516" s="863"/>
      <c r="S516" s="863"/>
      <c r="T516" s="863"/>
      <c r="U516" s="863"/>
      <c r="V516" s="863"/>
      <c r="W516" s="863"/>
    </row>
    <row r="517" spans="1:23" s="778" customFormat="1" ht="12.75" customHeight="1" x14ac:dyDescent="0.2">
      <c r="A517" s="218"/>
      <c r="B517" s="231" t="s">
        <v>2333</v>
      </c>
      <c r="C517" s="232">
        <f>include_pilot*VLOOKUP(tech_name,CHOOSE(ss_cat2,pilot_cost_small_cl,pilot_cost_medium_cl,pilot_cost_large_cl),2,FALSE)</f>
        <v>134602.19700079926</v>
      </c>
      <c r="D517" s="233"/>
      <c r="E517" s="169"/>
      <c r="F517" s="169"/>
      <c r="G517" s="169"/>
      <c r="H517" s="173"/>
      <c r="I517" s="169"/>
      <c r="J517" s="169"/>
      <c r="K517" s="169"/>
      <c r="L517" s="153"/>
      <c r="M517" s="865"/>
      <c r="N517" s="866"/>
      <c r="O517" s="866"/>
      <c r="P517" s="866"/>
      <c r="Q517" s="866"/>
      <c r="R517" s="863"/>
      <c r="S517" s="863"/>
      <c r="T517" s="863"/>
      <c r="U517" s="863"/>
      <c r="V517" s="863"/>
      <c r="W517" s="863"/>
    </row>
    <row r="518" spans="1:23" s="778" customFormat="1" x14ac:dyDescent="0.2">
      <c r="A518" s="932"/>
      <c r="B518" s="234" t="s">
        <v>3626</v>
      </c>
      <c r="C518" s="235">
        <f>include_land*land_required*land_cost</f>
        <v>1422.8665793942853</v>
      </c>
      <c r="D518" s="236" t="str">
        <f>"For "&amp;TEXT(land_required,"#0.00")&amp;" acres"</f>
        <v>For 0.07 acres</v>
      </c>
      <c r="E518" s="153"/>
      <c r="F518" s="153"/>
      <c r="G518" s="153"/>
      <c r="H518" s="237"/>
      <c r="I518" s="153"/>
      <c r="J518" s="153"/>
      <c r="K518" s="153"/>
      <c r="L518" s="169"/>
      <c r="N518" s="863"/>
      <c r="O518" s="863"/>
      <c r="P518" s="863"/>
      <c r="Q518" s="863"/>
      <c r="R518" s="863"/>
      <c r="S518" s="863"/>
      <c r="T518" s="863"/>
      <c r="U518" s="863"/>
      <c r="V518" s="863"/>
      <c r="W518" s="863"/>
    </row>
    <row r="519" spans="1:23" s="778" customFormat="1" ht="15.75" x14ac:dyDescent="0.25">
      <c r="A519" s="238"/>
      <c r="B519" s="223" t="s">
        <v>416</v>
      </c>
      <c r="C519" s="224">
        <f>SUM(C516:C518)</f>
        <v>136860.53858019356</v>
      </c>
      <c r="D519" s="239" t="s">
        <v>1156</v>
      </c>
      <c r="E519" s="240"/>
      <c r="F519" s="240"/>
      <c r="G519" s="241"/>
      <c r="H519" s="242"/>
      <c r="I519" s="153"/>
      <c r="J519" s="153"/>
      <c r="K519" s="153"/>
      <c r="L519" s="169"/>
      <c r="N519" s="863"/>
      <c r="O519" s="863"/>
      <c r="P519" s="863"/>
      <c r="Q519" s="863"/>
      <c r="R519" s="863"/>
      <c r="S519" s="863"/>
      <c r="T519" s="863"/>
      <c r="U519" s="863"/>
      <c r="V519" s="863"/>
      <c r="W519" s="863"/>
    </row>
    <row r="520" spans="1:23" s="778" customFormat="1" ht="15.75" x14ac:dyDescent="0.25">
      <c r="A520" s="218"/>
      <c r="B520" s="243"/>
      <c r="C520" s="244"/>
      <c r="D520" s="111"/>
      <c r="E520" s="153"/>
      <c r="F520" s="153"/>
      <c r="G520" s="169"/>
      <c r="H520" s="153"/>
      <c r="I520" s="153"/>
      <c r="J520" s="153"/>
      <c r="K520" s="153"/>
      <c r="L520" s="169"/>
      <c r="N520" s="863"/>
      <c r="O520" s="863"/>
      <c r="P520" s="863"/>
      <c r="Q520" s="863"/>
      <c r="R520" s="863"/>
      <c r="S520" s="863"/>
      <c r="T520" s="863"/>
      <c r="U520" s="863"/>
      <c r="V520" s="863"/>
      <c r="W520" s="863"/>
    </row>
    <row r="521" spans="1:23" s="778" customFormat="1" ht="15.75" x14ac:dyDescent="0.25">
      <c r="A521" s="207" t="s">
        <v>3947</v>
      </c>
      <c r="B521" s="227"/>
      <c r="C521" s="245"/>
      <c r="D521" s="229"/>
      <c r="E521" s="168"/>
      <c r="F521" s="168"/>
      <c r="G521" s="246"/>
      <c r="H521" s="168"/>
      <c r="I521" s="168"/>
      <c r="J521" s="168"/>
      <c r="K521" s="230"/>
      <c r="L521" s="169"/>
      <c r="N521" s="863"/>
      <c r="O521" s="863"/>
      <c r="P521" s="863"/>
      <c r="Q521" s="863"/>
      <c r="R521" s="863"/>
      <c r="S521" s="863"/>
      <c r="T521" s="863"/>
      <c r="U521" s="863"/>
      <c r="V521" s="863"/>
      <c r="W521" s="863"/>
    </row>
    <row r="522" spans="1:23" s="778" customFormat="1" x14ac:dyDescent="0.2">
      <c r="A522" s="218"/>
      <c r="B522" s="99" t="s">
        <v>3949</v>
      </c>
      <c r="C522" s="521" t="s">
        <v>3156</v>
      </c>
      <c r="D522" s="521" t="s">
        <v>3950</v>
      </c>
      <c r="E522" s="788" t="s">
        <v>594</v>
      </c>
      <c r="F522" s="169"/>
      <c r="G522" s="169"/>
      <c r="H522" s="169"/>
      <c r="I522" s="169"/>
      <c r="J522" s="169"/>
      <c r="K522" s="173"/>
      <c r="L522" s="169"/>
      <c r="N522" s="863"/>
      <c r="O522" s="863"/>
      <c r="P522" s="863"/>
      <c r="Q522" s="863"/>
      <c r="R522" s="863"/>
      <c r="S522" s="863"/>
      <c r="T522" s="863"/>
      <c r="U522" s="863"/>
      <c r="V522" s="863"/>
      <c r="W522" s="863"/>
    </row>
    <row r="523" spans="1:23" s="778" customFormat="1" x14ac:dyDescent="0.2">
      <c r="A523" s="218"/>
      <c r="B523" s="231" t="s">
        <v>3649</v>
      </c>
      <c r="C523" s="760">
        <f>(direct_cost+C525+C526+C527+C528+C529+C530+C531+C534)*D523</f>
        <v>0</v>
      </c>
      <c r="D523" s="761">
        <f>IF(AND(design_type=1,ss_cat2=1),mob_pct_pre,CHOOSE(ss_cat2,mob_pct_small,mob_pct_medium,mob_pct_large))</f>
        <v>0</v>
      </c>
      <c r="E523" s="222" t="s">
        <v>3193</v>
      </c>
      <c r="F523" s="169"/>
      <c r="G523" s="169"/>
      <c r="H523" s="169"/>
      <c r="I523" s="169"/>
      <c r="J523" s="169"/>
      <c r="K523" s="173"/>
      <c r="L523" s="169"/>
      <c r="N523" s="863"/>
      <c r="O523" s="863"/>
      <c r="P523" s="863"/>
      <c r="Q523" s="863"/>
      <c r="R523" s="863"/>
      <c r="S523" s="863"/>
      <c r="T523" s="863"/>
      <c r="U523" s="863"/>
      <c r="V523" s="863"/>
      <c r="W523" s="863"/>
    </row>
    <row r="524" spans="1:23" s="778" customFormat="1" x14ac:dyDescent="0.2">
      <c r="A524" s="218"/>
      <c r="B524" s="199" t="s">
        <v>3650</v>
      </c>
      <c r="C524" s="204">
        <f>IF(ss_cat2=1,include_arch_small,include_arch)*building_cost*D524</f>
        <v>0</v>
      </c>
      <c r="D524" s="762">
        <f>VLOOKUP(building_cost,architectural_table_cl,3)</f>
        <v>0.09</v>
      </c>
      <c r="E524" s="250" t="s">
        <v>3414</v>
      </c>
      <c r="F524" s="90"/>
      <c r="G524" s="90"/>
      <c r="H524" s="90"/>
      <c r="I524" s="90"/>
      <c r="J524" s="90"/>
      <c r="K524" s="317"/>
      <c r="L524" s="90"/>
      <c r="N524" s="863"/>
      <c r="O524" s="863"/>
      <c r="P524" s="863"/>
      <c r="Q524" s="863"/>
      <c r="R524" s="863"/>
      <c r="S524" s="863"/>
      <c r="T524" s="863"/>
      <c r="U524" s="863"/>
      <c r="V524" s="863"/>
      <c r="W524" s="863"/>
    </row>
    <row r="525" spans="1:23" s="778" customFormat="1" x14ac:dyDescent="0.2">
      <c r="A525" s="218"/>
      <c r="B525" s="821" t="s">
        <v>4020</v>
      </c>
      <c r="C525" s="247">
        <f>direct_cost*D525</f>
        <v>0</v>
      </c>
      <c r="D525" s="763">
        <f>inst_pct</f>
        <v>0</v>
      </c>
      <c r="E525" s="249"/>
      <c r="F525" s="169"/>
      <c r="G525" s="169"/>
      <c r="H525" s="169"/>
      <c r="I525" s="169"/>
      <c r="J525" s="169"/>
      <c r="K525" s="173"/>
      <c r="L525" s="169"/>
      <c r="N525" s="863"/>
      <c r="O525" s="863"/>
      <c r="P525" s="863"/>
      <c r="Q525" s="863"/>
      <c r="R525" s="863"/>
      <c r="S525" s="863"/>
      <c r="T525" s="863"/>
      <c r="U525" s="863"/>
      <c r="V525" s="863"/>
      <c r="W525" s="863"/>
    </row>
    <row r="526" spans="1:23" s="778" customFormat="1" x14ac:dyDescent="0.2">
      <c r="A526" s="218"/>
      <c r="B526" s="231" t="s">
        <v>411</v>
      </c>
      <c r="C526" s="247">
        <f>include_sitework*sitework_cost</f>
        <v>7291.7802197802193</v>
      </c>
      <c r="D526" s="764"/>
      <c r="E526" s="250" t="s">
        <v>417</v>
      </c>
      <c r="F526" s="169"/>
      <c r="G526" s="169"/>
      <c r="H526" s="169"/>
      <c r="I526" s="169"/>
      <c r="J526" s="169"/>
      <c r="K526" s="173"/>
      <c r="L526" s="169"/>
      <c r="N526" s="863"/>
      <c r="O526" s="863"/>
      <c r="P526" s="863"/>
      <c r="Q526" s="863"/>
      <c r="R526" s="863"/>
      <c r="S526" s="863"/>
      <c r="T526" s="863"/>
      <c r="U526" s="863"/>
      <c r="V526" s="863"/>
      <c r="W526" s="863"/>
    </row>
    <row r="527" spans="1:23" s="778" customFormat="1" x14ac:dyDescent="0.2">
      <c r="A527" s="218"/>
      <c r="B527" s="231" t="s">
        <v>2327</v>
      </c>
      <c r="C527" s="247">
        <f>include_yardpipe*yard_cost</f>
        <v>1945.4818219071321</v>
      </c>
      <c r="D527" s="765"/>
      <c r="E527" s="250" t="s">
        <v>417</v>
      </c>
      <c r="F527" s="169"/>
      <c r="G527" s="169"/>
      <c r="H527" s="169"/>
      <c r="I527" s="169"/>
      <c r="J527" s="169"/>
      <c r="K527" s="173"/>
      <c r="L527" s="169"/>
      <c r="N527" s="863"/>
      <c r="O527" s="863"/>
      <c r="P527" s="863"/>
      <c r="Q527" s="863"/>
      <c r="R527" s="863"/>
      <c r="S527" s="863"/>
      <c r="T527" s="863"/>
      <c r="U527" s="863"/>
      <c r="V527" s="863"/>
      <c r="W527" s="863"/>
    </row>
    <row r="528" spans="1:23" s="778" customFormat="1" x14ac:dyDescent="0.2">
      <c r="A528" s="218"/>
      <c r="B528" s="231" t="s">
        <v>2328</v>
      </c>
      <c r="C528" s="247">
        <f>IF(OR(ep_cells&lt;&gt;0,L51=1,L41=1,L107=1,L495=1),1,IF(component_level="",include_geo_low,IF(component_level=1,include_geo_medium,include_geo_high)))*geotech_cost</f>
        <v>0</v>
      </c>
      <c r="D528" s="765"/>
      <c r="E528" s="250" t="s">
        <v>417</v>
      </c>
      <c r="F528" s="169"/>
      <c r="G528" s="169"/>
      <c r="H528" s="169"/>
      <c r="I528" s="169"/>
      <c r="J528" s="169"/>
      <c r="K528" s="173"/>
      <c r="L528" s="169"/>
      <c r="N528" s="863"/>
      <c r="O528" s="863"/>
      <c r="P528" s="863"/>
      <c r="Q528" s="863"/>
      <c r="R528" s="863"/>
      <c r="S528" s="863"/>
      <c r="T528" s="863"/>
      <c r="U528" s="863"/>
      <c r="V528" s="863"/>
      <c r="W528" s="863"/>
    </row>
    <row r="529" spans="1:23" s="778" customFormat="1" x14ac:dyDescent="0.2">
      <c r="A529" s="218"/>
      <c r="B529" s="231" t="s">
        <v>2329</v>
      </c>
      <c r="C529" s="247">
        <f>IF(ss_cat2=1,include_standby_small,include_standby)*std_power_cost</f>
        <v>0</v>
      </c>
      <c r="D529" s="766"/>
      <c r="E529" s="250" t="s">
        <v>3417</v>
      </c>
      <c r="F529" s="169"/>
      <c r="G529" s="169"/>
      <c r="H529" s="169"/>
      <c r="I529" s="169"/>
      <c r="J529" s="169"/>
      <c r="K529" s="173"/>
      <c r="L529" s="169"/>
      <c r="N529" s="863"/>
      <c r="O529" s="863"/>
      <c r="P529" s="863"/>
      <c r="Q529" s="863"/>
      <c r="R529" s="863"/>
      <c r="S529" s="863"/>
      <c r="T529" s="863"/>
      <c r="U529" s="863"/>
      <c r="V529" s="863"/>
      <c r="W529" s="863"/>
    </row>
    <row r="530" spans="1:23" s="778" customFormat="1" x14ac:dyDescent="0.2">
      <c r="A530" s="218"/>
      <c r="B530" s="199" t="s">
        <v>2330</v>
      </c>
      <c r="C530" s="204">
        <f>process_cost*D530</f>
        <v>34592.383821736723</v>
      </c>
      <c r="D530" s="767">
        <f>elect_pct</f>
        <v>0.1</v>
      </c>
      <c r="E530" s="250" t="s">
        <v>1755</v>
      </c>
      <c r="F530" s="90"/>
      <c r="G530" s="90"/>
      <c r="H530" s="90"/>
      <c r="I530" s="90"/>
      <c r="J530" s="90"/>
      <c r="K530" s="317"/>
      <c r="L530" s="90"/>
      <c r="N530" s="863"/>
      <c r="O530" s="863"/>
      <c r="P530" s="863"/>
      <c r="Q530" s="863"/>
      <c r="R530" s="863"/>
      <c r="S530" s="863"/>
      <c r="T530" s="863"/>
      <c r="U530" s="863"/>
      <c r="V530" s="863"/>
      <c r="W530" s="863"/>
    </row>
    <row r="531" spans="1:23" s="778" customFormat="1" x14ac:dyDescent="0.2">
      <c r="A531" s="218"/>
      <c r="B531" s="231" t="s">
        <v>2331</v>
      </c>
      <c r="C531" s="247">
        <f t="shared" ref="C531:C537" si="79">direct_cost*D531</f>
        <v>0</v>
      </c>
      <c r="D531" s="761">
        <f>i_c_pct</f>
        <v>0</v>
      </c>
      <c r="E531" s="251"/>
      <c r="F531" s="169"/>
      <c r="G531" s="169"/>
      <c r="H531" s="169"/>
      <c r="I531" s="169"/>
      <c r="J531" s="169"/>
      <c r="K531" s="173"/>
      <c r="L531" s="169"/>
      <c r="N531" s="863"/>
      <c r="O531" s="863"/>
      <c r="P531" s="863"/>
      <c r="Q531" s="863"/>
      <c r="R531" s="863"/>
      <c r="S531" s="863"/>
      <c r="T531" s="863"/>
      <c r="U531" s="863"/>
      <c r="V531" s="863"/>
      <c r="W531" s="863"/>
    </row>
    <row r="532" spans="1:23" s="778" customFormat="1" x14ac:dyDescent="0.2">
      <c r="A532" s="218"/>
      <c r="B532" s="231" t="s">
        <v>2169</v>
      </c>
      <c r="C532" s="462">
        <f>IF(component_level="",include_conting_low,IF(component_level=1,include_conting_medium,include_conting_high))*(direct_cost+addon_cost+SUM(C523:C531,C533:C538))*D532</f>
        <v>0</v>
      </c>
      <c r="D532" s="761">
        <f>IF(component_level="",include_conting_low,IF(component_level=1,include_conting_medium,include_conting_high))*VLOOKUP(direct_cost,contingency_table_cl,3)*complexity</f>
        <v>0</v>
      </c>
      <c r="E532" s="250" t="s">
        <v>3427</v>
      </c>
      <c r="F532" s="169"/>
      <c r="G532" s="169"/>
      <c r="H532" s="169"/>
      <c r="I532" s="169"/>
      <c r="J532" s="169"/>
      <c r="K532" s="173"/>
      <c r="L532" s="169"/>
      <c r="N532" s="863"/>
      <c r="O532" s="863"/>
      <c r="P532" s="863"/>
      <c r="Q532" s="863"/>
      <c r="R532" s="863"/>
      <c r="S532" s="863"/>
      <c r="T532" s="863"/>
      <c r="U532" s="863"/>
      <c r="V532" s="863"/>
      <c r="W532" s="863"/>
    </row>
    <row r="533" spans="1:23" s="778" customFormat="1" x14ac:dyDescent="0.2">
      <c r="A533" s="218"/>
      <c r="B533" s="231" t="s">
        <v>2170</v>
      </c>
      <c r="C533" s="247">
        <f t="shared" si="79"/>
        <v>74342.873693465473</v>
      </c>
      <c r="D533" s="763">
        <f>CHOOSE(ss_cat2,eng_pct_small,eng_pct_medium,eng_pct_large)</f>
        <v>0.2</v>
      </c>
      <c r="E533" s="233"/>
      <c r="F533" s="169"/>
      <c r="G533" s="169"/>
      <c r="H533" s="169"/>
      <c r="I533" s="169"/>
      <c r="J533" s="169"/>
      <c r="K533" s="173"/>
      <c r="L533" s="169"/>
      <c r="N533" s="863"/>
      <c r="O533" s="863"/>
      <c r="P533" s="863"/>
      <c r="Q533" s="863"/>
      <c r="R533" s="863"/>
      <c r="S533" s="863"/>
      <c r="T533" s="863"/>
      <c r="U533" s="863"/>
      <c r="V533" s="863"/>
      <c r="W533" s="863"/>
    </row>
    <row r="534" spans="1:23" s="778" customFormat="1" x14ac:dyDescent="0.2">
      <c r="A534" s="218"/>
      <c r="B534" s="231" t="s">
        <v>570</v>
      </c>
      <c r="C534" s="247">
        <f t="shared" si="79"/>
        <v>37171.436846732737</v>
      </c>
      <c r="D534" s="761">
        <f>misc_pct</f>
        <v>0.1</v>
      </c>
      <c r="E534" s="233"/>
      <c r="F534" s="169"/>
      <c r="G534" s="169"/>
      <c r="H534" s="169"/>
      <c r="I534" s="169"/>
      <c r="J534" s="169"/>
      <c r="K534" s="173"/>
      <c r="L534" s="169"/>
      <c r="N534" s="863"/>
      <c r="O534" s="863"/>
      <c r="P534" s="863"/>
      <c r="Q534" s="863"/>
      <c r="R534" s="863"/>
      <c r="S534" s="863"/>
      <c r="T534" s="863"/>
      <c r="U534" s="863"/>
      <c r="V534" s="863"/>
      <c r="W534" s="863"/>
    </row>
    <row r="535" spans="1:23" s="778" customFormat="1" x14ac:dyDescent="0.2">
      <c r="A535" s="218"/>
      <c r="B535" s="231" t="s">
        <v>3342</v>
      </c>
      <c r="C535" s="247">
        <f t="shared" si="79"/>
        <v>7434.2873693465481</v>
      </c>
      <c r="D535" s="761">
        <f>legal_pct</f>
        <v>0.02</v>
      </c>
      <c r="E535" s="249"/>
      <c r="F535" s="169"/>
      <c r="G535" s="169"/>
      <c r="H535" s="169"/>
      <c r="I535" s="169"/>
      <c r="J535" s="169"/>
      <c r="K535" s="173"/>
      <c r="L535" s="169"/>
      <c r="N535" s="863"/>
      <c r="O535" s="863"/>
      <c r="P535" s="863"/>
      <c r="Q535" s="863"/>
      <c r="R535" s="863"/>
      <c r="S535" s="863"/>
      <c r="T535" s="863"/>
      <c r="U535" s="863"/>
      <c r="V535" s="863"/>
      <c r="W535" s="863"/>
    </row>
    <row r="536" spans="1:23" s="778" customFormat="1" x14ac:dyDescent="0.2">
      <c r="A536" s="218"/>
      <c r="B536" s="445" t="s">
        <v>3343</v>
      </c>
      <c r="C536" s="446">
        <f t="shared" si="79"/>
        <v>0</v>
      </c>
      <c r="D536" s="761">
        <f>tax_pct</f>
        <v>0</v>
      </c>
      <c r="E536" s="252"/>
      <c r="F536" s="169"/>
      <c r="G536" s="169"/>
      <c r="H536" s="169"/>
      <c r="I536" s="169"/>
      <c r="J536" s="169"/>
      <c r="K536" s="173"/>
      <c r="L536" s="169"/>
      <c r="N536" s="863"/>
      <c r="O536" s="863"/>
      <c r="P536" s="863"/>
      <c r="Q536" s="863"/>
      <c r="R536" s="863"/>
      <c r="S536" s="863"/>
      <c r="T536" s="863"/>
      <c r="U536" s="863"/>
      <c r="V536" s="863"/>
      <c r="W536" s="863"/>
    </row>
    <row r="537" spans="1:23" s="778" customFormat="1" x14ac:dyDescent="0.2">
      <c r="A537" s="218"/>
      <c r="B537" s="450" t="s">
        <v>3345</v>
      </c>
      <c r="C537" s="325">
        <f t="shared" si="79"/>
        <v>0</v>
      </c>
      <c r="D537" s="768">
        <f>IF(ss_cat2=1,finance_pct_small,finance_pct)</f>
        <v>0</v>
      </c>
      <c r="E537" s="252"/>
      <c r="F537" s="169"/>
      <c r="G537" s="169"/>
      <c r="H537" s="169"/>
      <c r="I537" s="169"/>
      <c r="J537" s="169"/>
      <c r="K537" s="173"/>
      <c r="L537" s="169"/>
      <c r="N537" s="863"/>
      <c r="O537" s="863"/>
      <c r="P537" s="863"/>
      <c r="Q537" s="863"/>
      <c r="R537" s="863"/>
      <c r="S537" s="863"/>
      <c r="T537" s="863"/>
      <c r="U537" s="863"/>
      <c r="V537" s="863"/>
      <c r="W537" s="863"/>
    </row>
    <row r="538" spans="1:23" s="778" customFormat="1" x14ac:dyDescent="0.2">
      <c r="A538" s="218"/>
      <c r="B538" s="447" t="s">
        <v>1756</v>
      </c>
      <c r="C538" s="448">
        <f>cm_cost</f>
        <v>7839.5443797988228</v>
      </c>
      <c r="D538" s="539"/>
      <c r="E538" s="250"/>
      <c r="F538" s="90"/>
      <c r="G538" s="90"/>
      <c r="H538" s="90"/>
      <c r="I538" s="90"/>
      <c r="J538" s="90"/>
      <c r="K538" s="90"/>
      <c r="L538" s="93"/>
      <c r="N538" s="863"/>
      <c r="O538" s="863"/>
      <c r="P538" s="863"/>
      <c r="Q538" s="863"/>
      <c r="R538" s="863"/>
      <c r="S538" s="863"/>
      <c r="T538" s="863"/>
      <c r="U538" s="863"/>
      <c r="V538" s="863"/>
      <c r="W538" s="863"/>
    </row>
    <row r="539" spans="1:23" s="778" customFormat="1" ht="18" customHeight="1" x14ac:dyDescent="0.25">
      <c r="A539" s="238"/>
      <c r="B539" s="223" t="s">
        <v>3372</v>
      </c>
      <c r="C539" s="253">
        <f>indirect_cost_mult*direct_cost+indirect_cost_add</f>
        <v>170617.78815276761</v>
      </c>
      <c r="D539" s="540"/>
      <c r="E539" s="239" t="s">
        <v>3373</v>
      </c>
      <c r="F539" s="171"/>
      <c r="G539" s="541"/>
      <c r="H539" s="171"/>
      <c r="I539" s="171"/>
      <c r="J539" s="171"/>
      <c r="K539" s="174"/>
      <c r="L539" s="169"/>
      <c r="N539" s="863"/>
      <c r="O539" s="863"/>
      <c r="P539" s="863"/>
      <c r="Q539" s="863"/>
      <c r="R539" s="863"/>
      <c r="S539" s="863"/>
      <c r="T539" s="863"/>
      <c r="U539" s="863"/>
      <c r="V539" s="863"/>
      <c r="W539" s="863"/>
    </row>
    <row r="540" spans="1:23" s="778" customFormat="1" ht="15.75" x14ac:dyDescent="0.25">
      <c r="A540" s="218"/>
      <c r="B540" s="243"/>
      <c r="C540" s="244"/>
      <c r="D540" s="252"/>
      <c r="E540" s="111"/>
      <c r="F540" s="169"/>
      <c r="G540" s="169"/>
      <c r="H540" s="169"/>
      <c r="I540" s="169"/>
      <c r="J540" s="169"/>
      <c r="K540" s="169"/>
      <c r="L540" s="169"/>
      <c r="N540" s="863"/>
      <c r="O540" s="863"/>
      <c r="P540" s="863"/>
      <c r="Q540" s="863"/>
      <c r="R540" s="863"/>
      <c r="S540" s="863"/>
      <c r="T540" s="863"/>
      <c r="U540" s="863"/>
      <c r="V540" s="863"/>
      <c r="W540" s="863"/>
    </row>
    <row r="541" spans="1:23" s="778" customFormat="1" ht="18" customHeight="1" x14ac:dyDescent="0.25">
      <c r="A541" s="254" t="s">
        <v>3375</v>
      </c>
      <c r="B541" s="255"/>
      <c r="C541" s="256"/>
      <c r="D541" s="257"/>
      <c r="E541" s="258"/>
      <c r="F541" s="168"/>
      <c r="G541" s="168"/>
      <c r="H541" s="168"/>
      <c r="I541" s="168"/>
      <c r="J541" s="168"/>
      <c r="K541" s="168"/>
      <c r="L541" s="230"/>
      <c r="N541" s="863"/>
      <c r="O541" s="863"/>
      <c r="P541" s="863"/>
      <c r="Q541" s="863"/>
      <c r="R541" s="863"/>
      <c r="S541" s="863"/>
      <c r="T541" s="863"/>
      <c r="U541" s="863"/>
      <c r="V541" s="863"/>
      <c r="W541" s="863"/>
    </row>
    <row r="542" spans="1:23" s="778" customFormat="1" ht="18" customHeight="1" x14ac:dyDescent="0.25">
      <c r="A542" s="789"/>
      <c r="B542" s="521" t="s">
        <v>1639</v>
      </c>
      <c r="C542" s="790" t="s">
        <v>1641</v>
      </c>
      <c r="D542" s="791" t="s">
        <v>594</v>
      </c>
      <c r="E542" s="111"/>
      <c r="F542" s="169"/>
      <c r="G542" s="169"/>
      <c r="H542" s="169"/>
      <c r="I542" s="169"/>
      <c r="J542" s="169"/>
      <c r="K542" s="169"/>
      <c r="L542" s="173"/>
      <c r="N542" s="863"/>
      <c r="O542" s="863"/>
      <c r="P542" s="863"/>
      <c r="Q542" s="863"/>
      <c r="R542" s="863"/>
      <c r="S542" s="863"/>
      <c r="T542" s="863"/>
      <c r="U542" s="863"/>
      <c r="V542" s="863"/>
      <c r="W542" s="863"/>
    </row>
    <row r="543" spans="1:23" s="778" customFormat="1" x14ac:dyDescent="0.2">
      <c r="A543" s="218"/>
      <c r="B543" s="902" t="s">
        <v>4430</v>
      </c>
      <c r="C543" s="260">
        <v>1</v>
      </c>
      <c r="D543" s="250" t="s">
        <v>3376</v>
      </c>
      <c r="E543" s="169"/>
      <c r="F543" s="169"/>
      <c r="G543" s="169"/>
      <c r="H543" s="169"/>
      <c r="I543" s="169"/>
      <c r="J543" s="169"/>
      <c r="K543" s="169"/>
      <c r="L543" s="173"/>
      <c r="N543" s="863"/>
      <c r="O543" s="863"/>
      <c r="P543" s="863"/>
      <c r="Q543" s="863"/>
      <c r="R543" s="863"/>
      <c r="S543" s="863"/>
      <c r="T543" s="863"/>
      <c r="U543" s="863"/>
      <c r="V543" s="863"/>
      <c r="W543" s="863"/>
    </row>
    <row r="544" spans="1:23" s="778" customFormat="1" x14ac:dyDescent="0.2">
      <c r="A544" s="218"/>
      <c r="B544" s="259"/>
      <c r="C544" s="793"/>
      <c r="D544" s="250"/>
      <c r="E544" s="169"/>
      <c r="F544" s="169"/>
      <c r="G544" s="169"/>
      <c r="H544" s="169"/>
      <c r="I544" s="169"/>
      <c r="J544" s="169"/>
      <c r="K544" s="169"/>
      <c r="L544" s="173"/>
      <c r="N544" s="863"/>
      <c r="O544" s="863"/>
      <c r="P544" s="863"/>
      <c r="Q544" s="863"/>
      <c r="R544" s="863"/>
      <c r="S544" s="863"/>
      <c r="T544" s="863"/>
      <c r="U544" s="863"/>
      <c r="V544" s="863"/>
      <c r="W544" s="863"/>
    </row>
    <row r="545" spans="1:23" s="778" customFormat="1" x14ac:dyDescent="0.2">
      <c r="A545" s="930"/>
      <c r="B545" s="99" t="s">
        <v>3951</v>
      </c>
      <c r="C545" s="792" t="s">
        <v>3156</v>
      </c>
      <c r="D545" s="172"/>
      <c r="E545" s="169"/>
      <c r="F545" s="169"/>
      <c r="G545" s="169"/>
      <c r="H545" s="169"/>
      <c r="I545" s="169"/>
      <c r="J545" s="169"/>
      <c r="K545" s="169"/>
      <c r="L545" s="173"/>
      <c r="N545" s="863"/>
      <c r="O545" s="863"/>
      <c r="P545" s="863"/>
      <c r="Q545" s="863"/>
      <c r="R545" s="863"/>
      <c r="S545" s="863"/>
      <c r="T545" s="863"/>
      <c r="U545" s="863"/>
      <c r="V545" s="863"/>
      <c r="W545" s="863"/>
    </row>
    <row r="546" spans="1:23" s="778" customFormat="1" x14ac:dyDescent="0.2">
      <c r="A546" s="930"/>
      <c r="B546" s="261" t="s">
        <v>3378</v>
      </c>
      <c r="C546" s="262">
        <f>direct_cost</f>
        <v>371714.36846732738</v>
      </c>
      <c r="D546" s="172"/>
      <c r="E546" s="169"/>
      <c r="F546" s="169"/>
      <c r="G546" s="169"/>
      <c r="H546" s="169"/>
      <c r="I546" s="169"/>
      <c r="J546" s="169"/>
      <c r="K546" s="169"/>
      <c r="L546" s="173"/>
      <c r="N546" s="863"/>
      <c r="O546" s="863"/>
      <c r="P546" s="863"/>
      <c r="Q546" s="863"/>
      <c r="R546" s="863"/>
      <c r="S546" s="863"/>
      <c r="T546" s="863"/>
      <c r="U546" s="863"/>
      <c r="V546" s="863"/>
      <c r="W546" s="863"/>
    </row>
    <row r="547" spans="1:23" s="778" customFormat="1" x14ac:dyDescent="0.2">
      <c r="A547" s="930"/>
      <c r="B547" s="261" t="s">
        <v>3379</v>
      </c>
      <c r="C547" s="262">
        <f>addon_cost</f>
        <v>136860.53858019356</v>
      </c>
      <c r="D547" s="263"/>
      <c r="E547" s="169"/>
      <c r="F547" s="169"/>
      <c r="G547" s="169"/>
      <c r="H547" s="169"/>
      <c r="I547" s="169"/>
      <c r="J547" s="169"/>
      <c r="K547" s="169"/>
      <c r="L547" s="173"/>
      <c r="N547" s="863"/>
      <c r="O547" s="863"/>
      <c r="P547" s="863"/>
      <c r="Q547" s="863"/>
      <c r="R547" s="863"/>
      <c r="S547" s="863"/>
      <c r="T547" s="863"/>
      <c r="U547" s="863"/>
      <c r="V547" s="863"/>
      <c r="W547" s="863"/>
    </row>
    <row r="548" spans="1:23" s="778" customFormat="1" ht="13.5" thickBot="1" x14ac:dyDescent="0.25">
      <c r="A548" s="930"/>
      <c r="B548" s="264" t="s">
        <v>3380</v>
      </c>
      <c r="C548" s="265">
        <f>indirect_cost</f>
        <v>170617.78815276761</v>
      </c>
      <c r="D548" s="172"/>
      <c r="E548" s="169"/>
      <c r="F548" s="169"/>
      <c r="G548" s="169"/>
      <c r="H548" s="169"/>
      <c r="I548" s="169"/>
      <c r="J548" s="169"/>
      <c r="K548" s="169"/>
      <c r="L548" s="173"/>
      <c r="N548" s="863"/>
      <c r="O548" s="863"/>
      <c r="P548" s="863"/>
      <c r="Q548" s="863"/>
      <c r="R548" s="863"/>
      <c r="S548" s="863"/>
      <c r="T548" s="863"/>
      <c r="U548" s="863"/>
      <c r="V548" s="863"/>
      <c r="W548" s="863"/>
    </row>
    <row r="549" spans="1:23" s="778" customFormat="1" ht="16.5" thickTop="1" x14ac:dyDescent="0.25">
      <c r="A549" s="96"/>
      <c r="B549" s="794" t="s">
        <v>3952</v>
      </c>
      <c r="C549" s="769">
        <f>(direct_cost*(1+SUM(cul_indir_mult_table))+SUM(cul_indir_add_table))*city_index</f>
        <v>679192.69520028867</v>
      </c>
      <c r="D549" s="225"/>
      <c r="E549" s="171"/>
      <c r="F549" s="171"/>
      <c r="G549" s="171"/>
      <c r="H549" s="171"/>
      <c r="I549" s="171"/>
      <c r="J549" s="171"/>
      <c r="K549" s="171"/>
      <c r="L549" s="174"/>
      <c r="N549" s="863"/>
      <c r="O549" s="863"/>
      <c r="P549" s="863"/>
      <c r="Q549" s="863"/>
      <c r="R549" s="863"/>
      <c r="S549" s="863"/>
      <c r="T549" s="863"/>
      <c r="U549" s="863"/>
      <c r="V549" s="863"/>
      <c r="W549" s="863"/>
    </row>
    <row r="550" spans="1:23" s="778" customFormat="1" x14ac:dyDescent="0.2">
      <c r="A550" s="90"/>
      <c r="B550" s="99"/>
      <c r="C550" s="319"/>
      <c r="D550" s="172"/>
      <c r="E550" s="169"/>
      <c r="F550" s="169"/>
      <c r="G550" s="169"/>
      <c r="H550" s="169"/>
      <c r="I550" s="169"/>
      <c r="J550" s="169"/>
      <c r="K550" s="169"/>
      <c r="L550" s="169"/>
      <c r="N550" s="863"/>
      <c r="O550" s="863"/>
      <c r="P550" s="863"/>
      <c r="Q550" s="863"/>
      <c r="R550" s="863"/>
      <c r="S550" s="863"/>
      <c r="T550" s="863"/>
      <c r="U550" s="863"/>
      <c r="V550" s="863"/>
      <c r="W550" s="863"/>
    </row>
    <row r="551" spans="1:23" s="778" customFormat="1" ht="15.75" x14ac:dyDescent="0.25">
      <c r="A551" s="795" t="s">
        <v>3953</v>
      </c>
      <c r="B551" s="310"/>
      <c r="C551" s="168"/>
      <c r="D551" s="229"/>
      <c r="E551" s="168"/>
      <c r="F551" s="168"/>
      <c r="G551" s="168"/>
      <c r="H551" s="168"/>
      <c r="I551" s="168"/>
      <c r="J551" s="168"/>
      <c r="K551" s="168"/>
      <c r="L551" s="230"/>
      <c r="N551" s="863"/>
      <c r="O551" s="863"/>
      <c r="P551" s="863"/>
      <c r="Q551" s="863"/>
      <c r="R551" s="863"/>
      <c r="S551" s="863"/>
      <c r="T551" s="863"/>
      <c r="U551" s="863"/>
      <c r="V551" s="863"/>
      <c r="W551" s="863"/>
    </row>
    <row r="552" spans="1:23" s="778" customFormat="1" x14ac:dyDescent="0.2">
      <c r="A552" s="908"/>
      <c r="B552" s="521" t="s">
        <v>1639</v>
      </c>
      <c r="C552" s="790" t="s">
        <v>1641</v>
      </c>
      <c r="D552" s="791" t="s">
        <v>594</v>
      </c>
      <c r="E552"/>
      <c r="F552" s="169"/>
      <c r="G552" s="169"/>
      <c r="H552" s="169"/>
      <c r="I552" s="169"/>
      <c r="J552" s="169"/>
      <c r="K552" s="169"/>
      <c r="L552" s="173"/>
      <c r="N552" s="863"/>
      <c r="O552" s="863"/>
      <c r="P552" s="863"/>
      <c r="Q552" s="863"/>
      <c r="R552" s="863"/>
      <c r="S552" s="863"/>
      <c r="T552" s="863"/>
      <c r="U552" s="863"/>
      <c r="V552" s="863"/>
      <c r="W552" s="863"/>
    </row>
    <row r="553" spans="1:23" s="778" customFormat="1" x14ac:dyDescent="0.2">
      <c r="A553" s="908"/>
      <c r="B553" s="902" t="s">
        <v>4431</v>
      </c>
      <c r="C553" s="260">
        <v>1</v>
      </c>
      <c r="D553" s="111" t="s">
        <v>4432</v>
      </c>
      <c r="E553"/>
      <c r="F553" s="169"/>
      <c r="G553" s="169"/>
      <c r="H553" s="169"/>
      <c r="I553" s="169"/>
      <c r="J553" s="169"/>
      <c r="K553" s="169"/>
      <c r="L553" s="173"/>
      <c r="N553" s="863"/>
      <c r="O553" s="863"/>
      <c r="P553" s="863"/>
      <c r="Q553" s="863"/>
      <c r="R553" s="863"/>
      <c r="S553" s="863"/>
      <c r="T553" s="863"/>
      <c r="U553" s="863"/>
      <c r="V553" s="863"/>
      <c r="W553" s="863"/>
    </row>
    <row r="554" spans="1:23" s="778" customFormat="1" x14ac:dyDescent="0.2">
      <c r="A554" s="908"/>
      <c r="B554" s="35"/>
      <c r="C554" s="169"/>
      <c r="D554" s="172"/>
      <c r="E554" s="169"/>
      <c r="F554" s="169"/>
      <c r="G554" s="169"/>
      <c r="H554" s="169"/>
      <c r="I554" s="169"/>
      <c r="J554" s="169"/>
      <c r="K554" s="169"/>
      <c r="L554" s="173"/>
      <c r="N554" s="863"/>
      <c r="O554" s="863"/>
      <c r="P554" s="863"/>
      <c r="Q554" s="863"/>
      <c r="R554" s="863"/>
      <c r="S554" s="863"/>
      <c r="T554" s="863"/>
      <c r="U554" s="863"/>
      <c r="V554" s="863"/>
      <c r="W554" s="863"/>
    </row>
    <row r="555" spans="1:23" s="778" customFormat="1" x14ac:dyDescent="0.2">
      <c r="A555" s="163"/>
      <c r="B555" s="311" t="s">
        <v>2341</v>
      </c>
      <c r="C555" s="1010" t="s">
        <v>2342</v>
      </c>
      <c r="D555" s="1010"/>
      <c r="E555" s="1010" t="s">
        <v>2343</v>
      </c>
      <c r="F555" s="1010"/>
      <c r="G555" s="312" t="s">
        <v>1419</v>
      </c>
      <c r="H555" s="313" t="s">
        <v>1836</v>
      </c>
      <c r="I555" s="99" t="s">
        <v>594</v>
      </c>
      <c r="J555" s="169"/>
      <c r="K555" s="169"/>
      <c r="L555" s="173"/>
      <c r="N555" s="863"/>
      <c r="O555" s="863"/>
      <c r="P555" s="863"/>
      <c r="Q555" s="863"/>
      <c r="R555" s="863"/>
      <c r="S555" s="863"/>
      <c r="T555" s="863"/>
      <c r="U555" s="863"/>
      <c r="V555" s="863"/>
      <c r="W555" s="863"/>
    </row>
    <row r="556" spans="1:23" x14ac:dyDescent="0.2">
      <c r="A556" s="186"/>
      <c r="B556" s="269" t="s">
        <v>3346</v>
      </c>
      <c r="C556" s="269"/>
      <c r="D556" s="269"/>
      <c r="E556" s="269"/>
      <c r="F556" s="269"/>
      <c r="G556" s="269"/>
      <c r="H556" s="339"/>
      <c r="I556" s="90"/>
      <c r="J556" s="90"/>
      <c r="K556" s="90"/>
      <c r="L556" s="317"/>
    </row>
    <row r="557" spans="1:23" x14ac:dyDescent="0.2">
      <c r="A557" s="190"/>
      <c r="B557" s="358" t="s">
        <v>1681</v>
      </c>
      <c r="C557" s="350">
        <f>Manager_LOE</f>
        <v>38.398611111111109</v>
      </c>
      <c r="D557" s="30" t="s">
        <v>3348</v>
      </c>
      <c r="E557" s="434">
        <f>VLOOKUP(design_flow,labor_table_cl,5)</f>
        <v>50.648663101604278</v>
      </c>
      <c r="F557" s="30" t="s">
        <v>3347</v>
      </c>
      <c r="G557" s="435">
        <f>E557*C557</f>
        <v>1944.8383177361852</v>
      </c>
      <c r="H557" s="436">
        <f>IF(C557=0,0,1)</f>
        <v>1</v>
      </c>
      <c r="I557" s="90"/>
      <c r="J557" s="90"/>
      <c r="K557" s="90"/>
      <c r="L557" s="317"/>
    </row>
    <row r="558" spans="1:23" x14ac:dyDescent="0.2">
      <c r="A558" s="190"/>
      <c r="B558" s="358" t="s">
        <v>1586</v>
      </c>
      <c r="C558" s="350">
        <f>Clerical_LOE</f>
        <v>38.398611111111109</v>
      </c>
      <c r="D558" s="30" t="s">
        <v>3348</v>
      </c>
      <c r="E558" s="434">
        <f>VLOOKUP(design_flow,labor_table_cl,4)</f>
        <v>34.161577540106947</v>
      </c>
      <c r="F558" s="30" t="s">
        <v>3347</v>
      </c>
      <c r="G558" s="435">
        <f>E558*C558</f>
        <v>1311.7571309046343</v>
      </c>
      <c r="H558" s="436">
        <f>IF(C558=0,0,1)</f>
        <v>1</v>
      </c>
      <c r="I558" s="90"/>
      <c r="J558" s="90"/>
      <c r="K558" s="90"/>
      <c r="L558" s="317"/>
    </row>
    <row r="559" spans="1:23" ht="27" customHeight="1" x14ac:dyDescent="0.2">
      <c r="A559" s="190"/>
      <c r="B559" s="358" t="s">
        <v>2319</v>
      </c>
      <c r="C559" s="350">
        <f>General_Oper_Labor</f>
        <v>349.625</v>
      </c>
      <c r="D559" s="30" t="s">
        <v>3348</v>
      </c>
      <c r="E559" s="434">
        <f>VLOOKUP(design_flow,labor_table_cl,6)</f>
        <v>32.90061497326203</v>
      </c>
      <c r="F559" s="30" t="s">
        <v>3347</v>
      </c>
      <c r="G559" s="435">
        <f>E559*C559</f>
        <v>11502.877510026738</v>
      </c>
      <c r="H559" s="436">
        <f>IF(C559=0,0,1)</f>
        <v>1</v>
      </c>
      <c r="I559" s="1013" t="s">
        <v>3113</v>
      </c>
      <c r="J559" s="1013"/>
      <c r="K559" s="1013"/>
      <c r="L559" s="1014"/>
    </row>
    <row r="560" spans="1:23" x14ac:dyDescent="0.2">
      <c r="A560" s="186"/>
      <c r="B560" s="269" t="s">
        <v>3349</v>
      </c>
      <c r="C560" s="269"/>
      <c r="D560" s="269"/>
      <c r="E560" s="269"/>
      <c r="F560" s="269"/>
      <c r="G560" s="269"/>
      <c r="H560" s="339"/>
      <c r="I560" s="90"/>
      <c r="J560" s="90"/>
      <c r="K560" s="90"/>
      <c r="L560" s="317"/>
    </row>
    <row r="561" spans="1:23" x14ac:dyDescent="0.2">
      <c r="A561" s="190"/>
      <c r="B561" s="358" t="s">
        <v>3350</v>
      </c>
      <c r="C561" s="551" t="s">
        <v>3351</v>
      </c>
      <c r="D561" s="358"/>
      <c r="E561" s="552"/>
      <c r="F561" s="358"/>
      <c r="G561" s="435">
        <f>pump_mtl</f>
        <v>0</v>
      </c>
      <c r="H561" s="436">
        <f t="shared" ref="H561:H568" si="80">IF(G561=0,0,1)</f>
        <v>0</v>
      </c>
      <c r="I561" s="90"/>
      <c r="J561" s="90"/>
      <c r="K561" s="90"/>
      <c r="L561" s="317"/>
    </row>
    <row r="562" spans="1:23" x14ac:dyDescent="0.2">
      <c r="A562" s="190"/>
      <c r="B562" s="358" t="s">
        <v>2595</v>
      </c>
      <c r="C562" s="551" t="s">
        <v>3351</v>
      </c>
      <c r="D562" s="358"/>
      <c r="E562" s="552"/>
      <c r="F562" s="358"/>
      <c r="G562" s="435">
        <f>back_pump_mtl</f>
        <v>0</v>
      </c>
      <c r="H562" s="436">
        <f t="shared" si="80"/>
        <v>0</v>
      </c>
      <c r="I562" s="90"/>
      <c r="J562" s="90"/>
      <c r="K562" s="90"/>
      <c r="L562" s="317"/>
    </row>
    <row r="563" spans="1:23" x14ac:dyDescent="0.2">
      <c r="A563" s="190"/>
      <c r="B563" s="358" t="s">
        <v>321</v>
      </c>
      <c r="C563" s="551" t="s">
        <v>3351</v>
      </c>
      <c r="D563" s="358"/>
      <c r="E563" s="552"/>
      <c r="F563" s="358"/>
      <c r="G563" s="435">
        <f>recycle_pump_mtl</f>
        <v>0</v>
      </c>
      <c r="H563" s="436">
        <f t="shared" si="80"/>
        <v>0</v>
      </c>
      <c r="I563" s="90"/>
      <c r="J563" s="90"/>
      <c r="K563" s="90"/>
      <c r="L563" s="317"/>
    </row>
    <row r="564" spans="1:23" x14ac:dyDescent="0.2">
      <c r="A564" s="190"/>
      <c r="B564" s="358" t="s">
        <v>3465</v>
      </c>
      <c r="C564" s="551" t="s">
        <v>3351</v>
      </c>
      <c r="D564" s="358"/>
      <c r="E564" s="552"/>
      <c r="F564" s="358"/>
      <c r="G564" s="435">
        <f>res_pump_mtl</f>
        <v>82.972499610981501</v>
      </c>
      <c r="H564" s="436">
        <f t="shared" si="80"/>
        <v>1</v>
      </c>
      <c r="I564" s="90"/>
      <c r="J564" s="90"/>
      <c r="K564" s="90"/>
      <c r="L564" s="317"/>
    </row>
    <row r="565" spans="1:23" x14ac:dyDescent="0.2">
      <c r="A565" s="190"/>
      <c r="B565" s="358" t="s">
        <v>320</v>
      </c>
      <c r="C565" s="551" t="s">
        <v>3351</v>
      </c>
      <c r="D565" s="358"/>
      <c r="E565" s="552"/>
      <c r="F565" s="358"/>
      <c r="G565" s="435">
        <f>blower_mtl</f>
        <v>142.80352460707297</v>
      </c>
      <c r="H565" s="436">
        <f t="shared" si="80"/>
        <v>1</v>
      </c>
      <c r="I565" s="90"/>
      <c r="J565" s="90"/>
      <c r="K565" s="90"/>
      <c r="L565" s="317"/>
    </row>
    <row r="566" spans="1:23" x14ac:dyDescent="0.2">
      <c r="A566" s="190"/>
      <c r="B566" s="358" t="s">
        <v>322</v>
      </c>
      <c r="C566" s="551" t="s">
        <v>3351</v>
      </c>
      <c r="D566" s="358"/>
      <c r="E566" s="552"/>
      <c r="F566" s="358"/>
      <c r="G566" s="435">
        <f>aeration_blower_mtl</f>
        <v>223.88014210459548</v>
      </c>
      <c r="H566" s="436">
        <f t="shared" si="80"/>
        <v>1</v>
      </c>
      <c r="I566" s="90"/>
      <c r="J566" s="90"/>
      <c r="K566" s="90"/>
      <c r="L566" s="317"/>
    </row>
    <row r="567" spans="1:23" x14ac:dyDescent="0.2">
      <c r="A567" s="190"/>
      <c r="B567" s="358" t="s">
        <v>331</v>
      </c>
      <c r="C567" s="551" t="s">
        <v>3351</v>
      </c>
      <c r="D567" s="358"/>
      <c r="E567" s="552"/>
      <c r="F567" s="358"/>
      <c r="G567" s="435">
        <f>filter_materials</f>
        <v>0</v>
      </c>
      <c r="H567" s="436">
        <f t="shared" si="80"/>
        <v>0</v>
      </c>
      <c r="I567" s="90"/>
      <c r="J567" s="90"/>
      <c r="K567" s="90"/>
      <c r="L567" s="317"/>
      <c r="N567" s="774"/>
      <c r="O567" s="774"/>
      <c r="P567" s="774"/>
      <c r="Q567" s="774"/>
      <c r="R567" s="774"/>
      <c r="S567" s="774"/>
      <c r="T567" s="774"/>
      <c r="U567" s="774"/>
      <c r="V567" s="774"/>
      <c r="W567" s="774"/>
    </row>
    <row r="568" spans="1:23" x14ac:dyDescent="0.2">
      <c r="A568" s="190"/>
      <c r="B568" s="358" t="s">
        <v>2596</v>
      </c>
      <c r="C568" s="551" t="s">
        <v>3351</v>
      </c>
      <c r="D568" s="358"/>
      <c r="E568" s="552"/>
      <c r="F568" s="358"/>
      <c r="G568" s="435">
        <f>post_filter_materials</f>
        <v>0</v>
      </c>
      <c r="H568" s="436">
        <f t="shared" si="80"/>
        <v>0</v>
      </c>
      <c r="I568" s="90"/>
      <c r="J568" s="90"/>
      <c r="K568" s="90"/>
      <c r="L568" s="317"/>
      <c r="N568" s="774"/>
      <c r="O568" s="774"/>
      <c r="P568" s="774"/>
      <c r="Q568" s="774"/>
      <c r="R568" s="774"/>
      <c r="S568" s="774"/>
      <c r="T568" s="774"/>
      <c r="U568" s="774"/>
      <c r="V568" s="774"/>
      <c r="W568" s="774"/>
    </row>
    <row r="569" spans="1:23" x14ac:dyDescent="0.2">
      <c r="A569" s="190"/>
      <c r="B569" s="358" t="s">
        <v>4180</v>
      </c>
      <c r="C569" s="350">
        <f>total_fp</f>
        <v>450</v>
      </c>
      <c r="D569" s="30" t="s">
        <v>2457</v>
      </c>
      <c r="E569" s="434">
        <f>G569/C569</f>
        <v>6.4790285359180011</v>
      </c>
      <c r="F569" s="30" t="s">
        <v>2346</v>
      </c>
      <c r="G569" s="435">
        <f>bldg_maint_cost</f>
        <v>2915.5628411631005</v>
      </c>
      <c r="H569" s="436">
        <f>IF(G569=0,0,1)</f>
        <v>1</v>
      </c>
      <c r="I569" s="90"/>
      <c r="J569" s="90"/>
      <c r="K569" s="90"/>
      <c r="L569" s="317"/>
      <c r="N569" s="774"/>
      <c r="O569" s="774"/>
      <c r="P569" s="774"/>
      <c r="Q569" s="774"/>
      <c r="R569" s="774"/>
      <c r="S569" s="774"/>
      <c r="T569" s="774"/>
      <c r="U569" s="774"/>
      <c r="V569" s="774"/>
      <c r="W569" s="774"/>
    </row>
    <row r="570" spans="1:23" x14ac:dyDescent="0.2">
      <c r="A570" s="186"/>
      <c r="B570" s="18" t="s">
        <v>593</v>
      </c>
      <c r="C570" s="18"/>
      <c r="D570" s="271"/>
      <c r="E570" s="18"/>
      <c r="F570" s="18"/>
      <c r="G570" s="18"/>
      <c r="H570" s="339"/>
      <c r="I570" s="90"/>
      <c r="J570" s="90"/>
      <c r="K570" s="90"/>
      <c r="L570" s="317"/>
      <c r="N570" s="774"/>
      <c r="O570" s="774"/>
      <c r="P570" s="774"/>
      <c r="Q570" s="774"/>
      <c r="R570" s="774"/>
      <c r="S570" s="774"/>
      <c r="T570" s="774"/>
      <c r="U570" s="774"/>
      <c r="V570" s="774"/>
      <c r="W570" s="774"/>
    </row>
    <row r="571" spans="1:23" x14ac:dyDescent="0.2">
      <c r="A571" s="190"/>
      <c r="B571" s="358" t="str">
        <f>"Acetic Acid"&amp;acetic_purchase</f>
        <v>Acetic Acid</v>
      </c>
      <c r="C571" s="350">
        <f>acetic_use</f>
        <v>5327.1750000000002</v>
      </c>
      <c r="D571" s="30" t="s">
        <v>3353</v>
      </c>
      <c r="E571" s="434">
        <f t="shared" ref="E571:E577" si="81">VLOOKUP(B571,chem_cost_cl,3,FALSE)</f>
        <v>0.25892298275361592</v>
      </c>
      <c r="F571" s="30" t="s">
        <v>3354</v>
      </c>
      <c r="G571" s="435">
        <f t="shared" ref="G571:G577" si="82">E571*C571</f>
        <v>1379.3280406504939</v>
      </c>
      <c r="H571" s="436">
        <f>IF(e_donor_type=1,1,0)</f>
        <v>1</v>
      </c>
      <c r="I571" s="90"/>
      <c r="J571" s="90"/>
      <c r="K571" s="90"/>
      <c r="L571" s="317"/>
      <c r="N571" s="774"/>
      <c r="O571" s="774"/>
      <c r="P571" s="774"/>
      <c r="Q571" s="774"/>
      <c r="R571" s="774"/>
      <c r="S571" s="774"/>
      <c r="T571" s="774"/>
      <c r="U571" s="774"/>
      <c r="V571" s="774"/>
      <c r="W571" s="774"/>
    </row>
    <row r="572" spans="1:23" x14ac:dyDescent="0.2">
      <c r="A572" s="190"/>
      <c r="B572" s="358" t="str">
        <f>"Ethanol"&amp;ethanol_purchase</f>
        <v>Ethanol</v>
      </c>
      <c r="C572" s="350">
        <f>ethanol_use</f>
        <v>0</v>
      </c>
      <c r="D572" s="30" t="s">
        <v>3635</v>
      </c>
      <c r="E572" s="434">
        <f t="shared" si="81"/>
        <v>4.5669105752706649</v>
      </c>
      <c r="F572" s="30" t="s">
        <v>3636</v>
      </c>
      <c r="G572" s="435">
        <f t="shared" si="82"/>
        <v>0</v>
      </c>
      <c r="H572" s="436">
        <f>IF(e_donor_type=2,1,0)</f>
        <v>0</v>
      </c>
      <c r="I572" s="90"/>
      <c r="J572" s="90"/>
      <c r="K572" s="90"/>
      <c r="L572" s="317"/>
      <c r="N572" s="774"/>
      <c r="O572" s="774"/>
      <c r="P572" s="774"/>
      <c r="Q572" s="774"/>
      <c r="R572" s="774"/>
      <c r="S572" s="774"/>
      <c r="T572" s="774"/>
      <c r="U572" s="774"/>
      <c r="V572" s="774"/>
      <c r="W572" s="774"/>
    </row>
    <row r="573" spans="1:23" x14ac:dyDescent="0.2">
      <c r="A573" s="190"/>
      <c r="B573" s="358" t="str">
        <f>"Ammonium Chloride"&amp;NH4Cl_purchase</f>
        <v>Ammonium Chloride</v>
      </c>
      <c r="C573" s="350">
        <f>NH4Cl_use</f>
        <v>0</v>
      </c>
      <c r="D573" s="30" t="s">
        <v>3353</v>
      </c>
      <c r="E573" s="434">
        <f t="shared" si="81"/>
        <v>0.98400176743500989</v>
      </c>
      <c r="F573" s="30" t="s">
        <v>3354</v>
      </c>
      <c r="G573" s="435">
        <f t="shared" si="82"/>
        <v>0</v>
      </c>
      <c r="H573" s="436">
        <f>IF(OR(nutrient_option=2,nutrient_option=4),1,0)</f>
        <v>0</v>
      </c>
      <c r="I573" s="90"/>
      <c r="J573" s="90"/>
      <c r="K573" s="90"/>
      <c r="L573" s="317"/>
      <c r="N573" s="774"/>
      <c r="O573" s="774"/>
      <c r="P573" s="774"/>
      <c r="Q573" s="774"/>
      <c r="R573" s="774"/>
      <c r="S573" s="774"/>
      <c r="T573" s="774"/>
      <c r="U573" s="774"/>
      <c r="V573" s="774"/>
      <c r="W573" s="774"/>
    </row>
    <row r="574" spans="1:23" x14ac:dyDescent="0.2">
      <c r="A574" s="190"/>
      <c r="B574" s="358" t="str">
        <f>"Phosphoric Acid "&amp;TEXT(H3PO4_pct,"0%")&amp;H3PO4_purchase</f>
        <v>Phosphoric Acid 75% - Small Qty</v>
      </c>
      <c r="C574" s="350">
        <f>H3PO4_use</f>
        <v>450.60838568771442</v>
      </c>
      <c r="D574" s="30" t="s">
        <v>3353</v>
      </c>
      <c r="E574" s="434">
        <f t="shared" si="81"/>
        <v>0.84674242280285039</v>
      </c>
      <c r="F574" s="30" t="s">
        <v>3354</v>
      </c>
      <c r="G574" s="435">
        <f t="shared" si="82"/>
        <v>381.54923623249658</v>
      </c>
      <c r="H574" s="436">
        <f>IF(OR(nutrient_option=3,nutrient_option=4),1,0)</f>
        <v>1</v>
      </c>
      <c r="I574" s="90"/>
      <c r="J574" s="90"/>
      <c r="K574" s="90"/>
      <c r="L574" s="317"/>
      <c r="N574" s="774"/>
      <c r="O574" s="774"/>
      <c r="P574" s="774"/>
      <c r="Q574" s="774"/>
      <c r="R574" s="774"/>
      <c r="S574" s="774"/>
      <c r="T574" s="774"/>
      <c r="U574" s="774"/>
      <c r="V574" s="774"/>
      <c r="W574" s="774"/>
    </row>
    <row r="575" spans="1:23" x14ac:dyDescent="0.2">
      <c r="A575" s="190"/>
      <c r="B575" s="358" t="str">
        <f>"Ferric Chloride"&amp;coag_purchase</f>
        <v>Ferric Chloride</v>
      </c>
      <c r="C575" s="350">
        <f>total_coag</f>
        <v>2663.5875000000005</v>
      </c>
      <c r="D575" s="30" t="s">
        <v>3353</v>
      </c>
      <c r="E575" s="434">
        <f t="shared" si="81"/>
        <v>0.16017416334156323</v>
      </c>
      <c r="F575" s="30" t="s">
        <v>3354</v>
      </c>
      <c r="G575" s="435">
        <f t="shared" si="82"/>
        <v>426.63789929954612</v>
      </c>
      <c r="H575" s="436">
        <f>IF(C575=0,0,1)</f>
        <v>1</v>
      </c>
      <c r="I575" s="315"/>
      <c r="J575" s="90"/>
      <c r="K575" s="90"/>
      <c r="L575" s="317"/>
      <c r="N575" s="774"/>
      <c r="O575" s="774"/>
      <c r="P575" s="774"/>
      <c r="Q575" s="774"/>
      <c r="R575" s="774"/>
      <c r="S575" s="774"/>
      <c r="T575" s="774"/>
      <c r="U575" s="774"/>
      <c r="V575" s="774"/>
      <c r="W575" s="774"/>
    </row>
    <row r="576" spans="1:23" x14ac:dyDescent="0.2">
      <c r="A576" s="190"/>
      <c r="B576" s="358" t="str">
        <f>"Polymers"&amp;polymer_purchase</f>
        <v>Polymers</v>
      </c>
      <c r="C576" s="350">
        <f>polymer_yr</f>
        <v>652.85798</v>
      </c>
      <c r="D576" s="30" t="s">
        <v>3353</v>
      </c>
      <c r="E576" s="434">
        <f t="shared" si="81"/>
        <v>0.74137399196238118</v>
      </c>
      <c r="F576" s="30" t="s">
        <v>3354</v>
      </c>
      <c r="G576" s="435">
        <f>E576*C576</f>
        <v>484.01192681709642</v>
      </c>
      <c r="H576" s="436">
        <f>IF(C576=0,0,1)</f>
        <v>1</v>
      </c>
      <c r="I576" s="315"/>
      <c r="J576" s="90"/>
      <c r="K576" s="90"/>
      <c r="L576" s="317"/>
      <c r="N576" s="774"/>
      <c r="O576" s="774"/>
      <c r="P576" s="774"/>
      <c r="Q576" s="774"/>
      <c r="R576" s="774"/>
      <c r="S576" s="774"/>
      <c r="T576" s="774"/>
      <c r="U576" s="774"/>
      <c r="V576" s="774"/>
      <c r="W576" s="774"/>
    </row>
    <row r="577" spans="1:23" x14ac:dyDescent="0.2">
      <c r="A577" s="190"/>
      <c r="B577" s="358" t="str">
        <f>"Hydrogen Peroxide"&amp;H2O2_purchase</f>
        <v>Hydrogen Peroxide - Small Qty</v>
      </c>
      <c r="C577" s="350">
        <f>H2O2_use</f>
        <v>0</v>
      </c>
      <c r="D577" s="30" t="s">
        <v>3353</v>
      </c>
      <c r="E577" s="434">
        <f t="shared" si="81"/>
        <v>0.47022883285981981</v>
      </c>
      <c r="F577" s="30" t="s">
        <v>3354</v>
      </c>
      <c r="G577" s="435">
        <f t="shared" si="82"/>
        <v>0</v>
      </c>
      <c r="H577" s="436">
        <f>IF(C577=0,0,1)</f>
        <v>0</v>
      </c>
      <c r="I577" s="315"/>
      <c r="J577" s="90"/>
      <c r="K577" s="90"/>
      <c r="L577" s="317"/>
      <c r="N577" s="774"/>
      <c r="O577" s="774"/>
      <c r="P577" s="774"/>
      <c r="Q577" s="774"/>
      <c r="R577" s="774"/>
      <c r="S577" s="774"/>
      <c r="T577" s="774"/>
      <c r="U577" s="774"/>
      <c r="V577" s="774"/>
      <c r="W577" s="774"/>
    </row>
    <row r="578" spans="1:23" x14ac:dyDescent="0.2">
      <c r="A578" s="186"/>
      <c r="B578" s="18" t="s">
        <v>2113</v>
      </c>
      <c r="C578" s="18"/>
      <c r="D578" s="271"/>
      <c r="E578" s="18"/>
      <c r="F578" s="18"/>
      <c r="G578" s="18"/>
      <c r="H578" s="339"/>
      <c r="I578" s="90"/>
      <c r="J578" s="90"/>
      <c r="K578" s="90"/>
      <c r="L578" s="317"/>
      <c r="N578" s="774"/>
      <c r="O578" s="774"/>
      <c r="P578" s="774"/>
      <c r="Q578" s="774"/>
      <c r="R578" s="774"/>
      <c r="S578" s="774"/>
      <c r="T578" s="774"/>
      <c r="U578" s="774"/>
      <c r="V578" s="774"/>
      <c r="W578" s="774"/>
    </row>
    <row r="579" spans="1:23" x14ac:dyDescent="0.2">
      <c r="A579" s="190"/>
      <c r="B579" s="358" t="s">
        <v>2778</v>
      </c>
      <c r="C579" s="350">
        <f>media_loss</f>
        <v>418.46014145816048</v>
      </c>
      <c r="D579" s="30" t="s">
        <v>3353</v>
      </c>
      <c r="E579" s="434">
        <f>IF(curve=1,replace_GAC_eq,VLOOKUP(C579,gac_cost_cl,3))</f>
        <v>2.096676479329342</v>
      </c>
      <c r="F579" s="30" t="s">
        <v>3354</v>
      </c>
      <c r="G579" s="435">
        <f>E579*C579</f>
        <v>877.37553613215437</v>
      </c>
      <c r="H579" s="436">
        <f>IF(C579=0,0,1)</f>
        <v>1</v>
      </c>
      <c r="I579" s="315"/>
      <c r="J579" s="90"/>
      <c r="K579" s="90"/>
      <c r="L579" s="317"/>
      <c r="N579" s="774"/>
      <c r="O579" s="774"/>
      <c r="P579" s="774"/>
      <c r="Q579" s="774"/>
      <c r="R579" s="774"/>
      <c r="S579" s="774"/>
      <c r="T579" s="774"/>
      <c r="U579" s="774"/>
      <c r="V579" s="774"/>
      <c r="W579" s="774"/>
    </row>
    <row r="580" spans="1:23" x14ac:dyDescent="0.2">
      <c r="A580" s="190"/>
      <c r="B580" s="358" t="s">
        <v>2780</v>
      </c>
      <c r="C580" s="350">
        <f>filter_sand_loss</f>
        <v>11.561060965210437</v>
      </c>
      <c r="D580" s="30" t="s">
        <v>2777</v>
      </c>
      <c r="E580" s="434">
        <f>VLOOKUP("sand",media_cost_cl,3)</f>
        <v>75.899652955911066</v>
      </c>
      <c r="F580" s="30" t="s">
        <v>2783</v>
      </c>
      <c r="G580" s="435">
        <f>E580*C580</f>
        <v>877.48051506160243</v>
      </c>
      <c r="H580" s="436">
        <f>IF(C580=0,0,1)</f>
        <v>1</v>
      </c>
      <c r="I580" s="315"/>
      <c r="J580" s="90"/>
      <c r="K580" s="90"/>
      <c r="L580" s="317"/>
      <c r="N580" s="774"/>
      <c r="O580" s="774"/>
      <c r="P580" s="774"/>
      <c r="Q580" s="774"/>
      <c r="R580" s="774"/>
      <c r="S580" s="774"/>
      <c r="T580" s="774"/>
      <c r="U580" s="774"/>
      <c r="V580" s="774"/>
      <c r="W580" s="774"/>
    </row>
    <row r="581" spans="1:23" x14ac:dyDescent="0.2">
      <c r="A581" s="190"/>
      <c r="B581" s="358" t="s">
        <v>2781</v>
      </c>
      <c r="C581" s="350">
        <f>filter_anthracite_loss</f>
        <v>387.29554233454974</v>
      </c>
      <c r="D581" s="30" t="s">
        <v>3353</v>
      </c>
      <c r="E581" s="434">
        <f>VLOOKUP("anthracite",media_cost_cl,3)</f>
        <v>0.59123254393035707</v>
      </c>
      <c r="F581" s="30" t="s">
        <v>3354</v>
      </c>
      <c r="G581" s="435">
        <f>E581*C581</f>
        <v>228.98172874734314</v>
      </c>
      <c r="H581" s="436">
        <f>IF(C581=0,0,1)</f>
        <v>1</v>
      </c>
      <c r="I581" s="315"/>
      <c r="J581" s="90"/>
      <c r="K581" s="90"/>
      <c r="L581" s="317"/>
      <c r="N581" s="774"/>
      <c r="O581" s="774"/>
      <c r="P581" s="774"/>
      <c r="Q581" s="774"/>
      <c r="R581" s="774"/>
      <c r="S581" s="774"/>
      <c r="T581" s="774"/>
      <c r="U581" s="774"/>
      <c r="V581" s="774"/>
      <c r="W581" s="774"/>
    </row>
    <row r="582" spans="1:23" x14ac:dyDescent="0.2">
      <c r="A582" s="190"/>
      <c r="B582" s="358" t="s">
        <v>2782</v>
      </c>
      <c r="C582" s="350">
        <f>filter_garnet_loss</f>
        <v>0</v>
      </c>
      <c r="D582" s="30" t="s">
        <v>3353</v>
      </c>
      <c r="E582" s="434">
        <f>VLOOKUP("garnet",media_cost_cl,3)</f>
        <v>0.59123254393035707</v>
      </c>
      <c r="F582" s="30" t="s">
        <v>3354</v>
      </c>
      <c r="G582" s="435">
        <f>E582*C582</f>
        <v>0</v>
      </c>
      <c r="H582" s="436">
        <f>IF(C582=0,0,1)</f>
        <v>0</v>
      </c>
      <c r="I582" s="315"/>
      <c r="J582" s="90"/>
      <c r="K582" s="90"/>
      <c r="L582" s="317"/>
      <c r="N582" s="774"/>
      <c r="O582" s="774"/>
      <c r="P582" s="774"/>
      <c r="Q582" s="774"/>
      <c r="R582" s="774"/>
      <c r="S582" s="774"/>
      <c r="T582" s="774"/>
      <c r="U582" s="774"/>
      <c r="V582" s="774"/>
      <c r="W582" s="774"/>
    </row>
    <row r="583" spans="1:23" x14ac:dyDescent="0.2">
      <c r="A583" s="190"/>
      <c r="B583" s="358" t="s">
        <v>2779</v>
      </c>
      <c r="C583" s="350">
        <f>filter_media_loss</f>
        <v>0</v>
      </c>
      <c r="D583" s="30" t="s">
        <v>3353</v>
      </c>
      <c r="E583" s="692" t="str">
        <f>IF(filter_media_loss=0,"NA",IF(curve=1,replace_filter_GAC_eq,VLOOKUP(C583,gac_cost_cl,3)))</f>
        <v>NA</v>
      </c>
      <c r="F583" s="30" t="s">
        <v>3354</v>
      </c>
      <c r="G583" s="435">
        <f>IF(C583=0,0,E583*C583)</f>
        <v>0</v>
      </c>
      <c r="H583" s="436">
        <f>IF(C583=0,0,1)</f>
        <v>0</v>
      </c>
      <c r="I583" s="315"/>
      <c r="J583" s="90"/>
      <c r="K583" s="90"/>
      <c r="L583" s="317"/>
    </row>
    <row r="584" spans="1:23" x14ac:dyDescent="0.2">
      <c r="A584" s="186"/>
      <c r="B584" s="18" t="s">
        <v>2698</v>
      </c>
      <c r="C584" s="18"/>
      <c r="D584" s="271"/>
      <c r="E584" s="18"/>
      <c r="F584" s="18"/>
      <c r="G584" s="18"/>
      <c r="H584" s="339"/>
      <c r="I584" s="90"/>
      <c r="J584" s="90"/>
      <c r="K584" s="90"/>
      <c r="L584" s="317"/>
    </row>
    <row r="585" spans="1:23" x14ac:dyDescent="0.2">
      <c r="A585" s="190"/>
      <c r="B585" s="349" t="s">
        <v>2699</v>
      </c>
      <c r="C585" s="649" t="s">
        <v>590</v>
      </c>
      <c r="D585" s="30"/>
      <c r="E585" s="434">
        <f>clo4_analysis_cost_cl</f>
        <v>11183.941281138788</v>
      </c>
      <c r="F585" s="30" t="s">
        <v>1696</v>
      </c>
      <c r="G585" s="435">
        <f>E585</f>
        <v>11183.941281138788</v>
      </c>
      <c r="H585" s="436">
        <f>IF(C585=0,0,1)</f>
        <v>1</v>
      </c>
      <c r="I585" s="315"/>
      <c r="J585" s="90"/>
      <c r="K585" s="90"/>
      <c r="L585" s="317"/>
    </row>
    <row r="586" spans="1:23" x14ac:dyDescent="0.2">
      <c r="A586" s="186"/>
      <c r="B586" s="18" t="s">
        <v>3355</v>
      </c>
      <c r="C586" s="18"/>
      <c r="D586" s="271"/>
      <c r="E586" s="18"/>
      <c r="F586" s="18"/>
      <c r="G586" s="18"/>
      <c r="H586" s="339"/>
      <c r="I586" s="90"/>
      <c r="J586" s="90"/>
      <c r="K586" s="90"/>
      <c r="L586" s="317"/>
    </row>
    <row r="587" spans="1:23" x14ac:dyDescent="0.2">
      <c r="A587" s="190"/>
      <c r="B587" s="358" t="s">
        <v>3357</v>
      </c>
      <c r="C587" s="350">
        <f>pump_energy</f>
        <v>0</v>
      </c>
      <c r="D587" s="30" t="s">
        <v>3358</v>
      </c>
      <c r="E587" s="434">
        <f>energy_cost_cl</f>
        <v>0.11001750924784216</v>
      </c>
      <c r="F587" s="30" t="s">
        <v>3359</v>
      </c>
      <c r="G587" s="435">
        <f>E587*C587*1000</f>
        <v>0</v>
      </c>
      <c r="H587" s="436">
        <f t="shared" ref="H587:H593" si="83">IF(C587=0,0,1)</f>
        <v>0</v>
      </c>
      <c r="I587" s="90"/>
      <c r="J587" s="90"/>
      <c r="K587" s="90"/>
      <c r="L587" s="317"/>
    </row>
    <row r="588" spans="1:23" x14ac:dyDescent="0.2">
      <c r="A588" s="190"/>
      <c r="B588" s="358" t="s">
        <v>3895</v>
      </c>
      <c r="C588" s="350">
        <f>recycle_pump_energy</f>
        <v>0</v>
      </c>
      <c r="D588" s="30" t="s">
        <v>3358</v>
      </c>
      <c r="E588" s="434">
        <f>energy_cost_cl</f>
        <v>0.11001750924784216</v>
      </c>
      <c r="F588" s="30" t="s">
        <v>3359</v>
      </c>
      <c r="G588" s="435">
        <f>E588*C588*1000</f>
        <v>0</v>
      </c>
      <c r="H588" s="436">
        <f t="shared" si="83"/>
        <v>0</v>
      </c>
      <c r="I588" s="90"/>
      <c r="J588" s="90"/>
      <c r="K588" s="90"/>
      <c r="L588" s="317"/>
    </row>
    <row r="589" spans="1:23" x14ac:dyDescent="0.2">
      <c r="A589" s="190"/>
      <c r="B589" s="358" t="s">
        <v>1834</v>
      </c>
      <c r="C589" s="350">
        <f>back_pump_energy</f>
        <v>0.65168478041561195</v>
      </c>
      <c r="D589" s="30" t="s">
        <v>3358</v>
      </c>
      <c r="E589" s="434">
        <f>energy_cost_cl</f>
        <v>0.11001750924784216</v>
      </c>
      <c r="F589" s="30" t="s">
        <v>3359</v>
      </c>
      <c r="G589" s="435">
        <f>IF(C589=0,"--",E589*C589*1000)</f>
        <v>71.696736356052568</v>
      </c>
      <c r="H589" s="436">
        <f t="shared" si="83"/>
        <v>1</v>
      </c>
      <c r="I589" s="90"/>
      <c r="J589" s="90"/>
      <c r="K589" s="90"/>
      <c r="L589" s="317"/>
    </row>
    <row r="590" spans="1:23" x14ac:dyDescent="0.2">
      <c r="A590" s="190"/>
      <c r="B590" s="358" t="s">
        <v>3466</v>
      </c>
      <c r="C590" s="350">
        <f>res_pump_energy</f>
        <v>3.437032064038343E-2</v>
      </c>
      <c r="D590" s="30" t="s">
        <v>3358</v>
      </c>
      <c r="E590" s="692">
        <f>IF(C590=0,"NA",energy_cost_cl)</f>
        <v>0.11001750924784216</v>
      </c>
      <c r="F590" s="30" t="str">
        <f>IF(C590=0,"","/kwh")</f>
        <v>/kwh</v>
      </c>
      <c r="G590" s="435">
        <f>IF(C590=0,"--",E590*C590*1000)</f>
        <v>3.7813370689046844</v>
      </c>
      <c r="H590" s="436">
        <f t="shared" si="83"/>
        <v>1</v>
      </c>
      <c r="I590" s="90"/>
      <c r="J590" s="90"/>
      <c r="K590" s="90"/>
      <c r="L590" s="317"/>
    </row>
    <row r="591" spans="1:23" x14ac:dyDescent="0.2">
      <c r="A591" s="190"/>
      <c r="B591" s="358" t="s">
        <v>3896</v>
      </c>
      <c r="C591" s="350">
        <f>blower_energy+bio_blower_energy+scour_blower_energy</f>
        <v>0.1957702283560688</v>
      </c>
      <c r="D591" s="30" t="s">
        <v>3358</v>
      </c>
      <c r="E591" s="434">
        <f>energy_cost_cl</f>
        <v>0.11001750924784216</v>
      </c>
      <c r="F591" s="30" t="s">
        <v>3359</v>
      </c>
      <c r="G591" s="435">
        <f>E591*C591*1000</f>
        <v>21.538152908615974</v>
      </c>
      <c r="H591" s="436">
        <f t="shared" si="83"/>
        <v>1</v>
      </c>
      <c r="I591" s="90"/>
      <c r="J591" s="90"/>
      <c r="K591" s="90"/>
      <c r="L591" s="317"/>
    </row>
    <row r="592" spans="1:23" x14ac:dyDescent="0.2">
      <c r="A592" s="190"/>
      <c r="B592" s="358" t="s">
        <v>1682</v>
      </c>
      <c r="C592" s="350">
        <f>lighting</f>
        <v>5.1838124999999992E-2</v>
      </c>
      <c r="D592" s="30" t="s">
        <v>3358</v>
      </c>
      <c r="E592" s="434">
        <f>energy_cost_cl</f>
        <v>0.11001750924784216</v>
      </c>
      <c r="F592" s="30" t="s">
        <v>3359</v>
      </c>
      <c r="G592" s="435">
        <f>E592*C592*1000</f>
        <v>5.7031013965782975</v>
      </c>
      <c r="H592" s="436">
        <f t="shared" si="83"/>
        <v>1</v>
      </c>
      <c r="I592" s="90"/>
      <c r="J592" s="90"/>
      <c r="K592" s="90"/>
      <c r="L592" s="317"/>
    </row>
    <row r="593" spans="1:23" x14ac:dyDescent="0.2">
      <c r="A593" s="190"/>
      <c r="B593" s="358" t="s">
        <v>1683</v>
      </c>
      <c r="C593" s="350">
        <f>ventilation</f>
        <v>0.29406099272727271</v>
      </c>
      <c r="D593" s="30" t="s">
        <v>3358</v>
      </c>
      <c r="E593" s="434">
        <f>energy_cost_cl</f>
        <v>0.11001750924784216</v>
      </c>
      <c r="F593" s="30" t="s">
        <v>3359</v>
      </c>
      <c r="G593" s="435">
        <f>E593*C593*1000</f>
        <v>32.351857986802372</v>
      </c>
      <c r="H593" s="436">
        <f t="shared" si="83"/>
        <v>1</v>
      </c>
      <c r="I593" s="90"/>
      <c r="J593" s="90"/>
      <c r="K593" s="90"/>
      <c r="L593" s="317"/>
    </row>
    <row r="594" spans="1:23" x14ac:dyDescent="0.2">
      <c r="A594" s="190"/>
      <c r="B594" s="349" t="s">
        <v>1684</v>
      </c>
      <c r="C594" s="437"/>
      <c r="D594" s="438"/>
      <c r="E594" s="349"/>
      <c r="F594" s="349"/>
      <c r="G594" s="439"/>
      <c r="H594" s="440"/>
      <c r="I594" s="90"/>
      <c r="J594" s="90"/>
      <c r="K594" s="90"/>
      <c r="L594" s="317"/>
    </row>
    <row r="595" spans="1:23" s="778" customFormat="1" x14ac:dyDescent="0.2">
      <c r="A595" s="178"/>
      <c r="B595" s="358" t="s">
        <v>3627</v>
      </c>
      <c r="C595" s="350">
        <f>cooling</f>
        <v>0</v>
      </c>
      <c r="D595" s="30" t="s">
        <v>3358</v>
      </c>
      <c r="E595" s="434">
        <f>energy_cost_cl</f>
        <v>0.11001750924784216</v>
      </c>
      <c r="F595" s="30" t="s">
        <v>3359</v>
      </c>
      <c r="G595" s="435">
        <f>E595*C595*1000</f>
        <v>0</v>
      </c>
      <c r="H595" s="638">
        <f>IF(G595=0,0,1)</f>
        <v>0</v>
      </c>
      <c r="I595" s="169"/>
      <c r="J595" s="169"/>
      <c r="K595" s="169"/>
      <c r="L595" s="173"/>
      <c r="N595" s="863"/>
      <c r="O595" s="863"/>
      <c r="P595" s="863"/>
      <c r="Q595" s="863"/>
      <c r="R595" s="863"/>
      <c r="S595" s="863"/>
      <c r="T595" s="863"/>
      <c r="U595" s="863"/>
      <c r="V595" s="863"/>
      <c r="W595" s="863"/>
    </row>
    <row r="596" spans="1:23" s="778" customFormat="1" x14ac:dyDescent="0.2">
      <c r="A596" s="178"/>
      <c r="B596" s="358" t="s">
        <v>3628</v>
      </c>
      <c r="C596" s="350">
        <f>cooling_hp</f>
        <v>0</v>
      </c>
      <c r="D596" s="30" t="s">
        <v>3358</v>
      </c>
      <c r="E596" s="434">
        <f>energy_cost_cl</f>
        <v>0.11001750924784216</v>
      </c>
      <c r="F596" s="30" t="s">
        <v>3359</v>
      </c>
      <c r="G596" s="435">
        <f>E596*C596*1000</f>
        <v>0</v>
      </c>
      <c r="H596" s="638">
        <f>IF(G596=0,0,1)</f>
        <v>0</v>
      </c>
      <c r="I596" s="169"/>
      <c r="J596" s="169"/>
      <c r="K596" s="169"/>
      <c r="L596" s="173"/>
      <c r="N596" s="863"/>
      <c r="O596" s="863"/>
      <c r="P596" s="863"/>
      <c r="Q596" s="863"/>
      <c r="R596" s="863"/>
      <c r="S596" s="863"/>
      <c r="T596" s="863"/>
      <c r="U596" s="863"/>
      <c r="V596" s="863"/>
      <c r="W596" s="863"/>
    </row>
    <row r="597" spans="1:23" x14ac:dyDescent="0.2">
      <c r="A597" s="190"/>
      <c r="B597" s="349" t="s">
        <v>3488</v>
      </c>
      <c r="C597" s="437"/>
      <c r="D597" s="438"/>
      <c r="E597" s="349"/>
      <c r="F597" s="349"/>
      <c r="G597" s="439"/>
      <c r="H597" s="441"/>
      <c r="I597" s="90"/>
      <c r="J597" s="90"/>
      <c r="K597" s="90"/>
      <c r="L597" s="317"/>
    </row>
    <row r="598" spans="1:23" s="778" customFormat="1" x14ac:dyDescent="0.2">
      <c r="A598" s="178"/>
      <c r="B598" s="358" t="s">
        <v>3629</v>
      </c>
      <c r="C598" s="350">
        <f>heating</f>
        <v>0</v>
      </c>
      <c r="D598" s="30" t="s">
        <v>3358</v>
      </c>
      <c r="E598" s="434">
        <f>energy_cost_cl</f>
        <v>0.11001750924784216</v>
      </c>
      <c r="F598" s="30" t="s">
        <v>3359</v>
      </c>
      <c r="G598" s="435">
        <f>E598*C598*1000</f>
        <v>0</v>
      </c>
      <c r="H598" s="638">
        <f t="shared" ref="H598:H603" si="84">IF(G598=0,0,1)</f>
        <v>0</v>
      </c>
      <c r="I598" s="169"/>
      <c r="J598" s="169"/>
      <c r="K598" s="169"/>
      <c r="L598" s="173"/>
      <c r="N598" s="863"/>
      <c r="O598" s="863"/>
      <c r="P598" s="863"/>
      <c r="Q598" s="863"/>
      <c r="R598" s="863"/>
      <c r="S598" s="863"/>
      <c r="T598" s="863"/>
      <c r="U598" s="863"/>
      <c r="V598" s="863"/>
      <c r="W598" s="863"/>
    </row>
    <row r="599" spans="1:23" s="778" customFormat="1" x14ac:dyDescent="0.2">
      <c r="A599" s="178"/>
      <c r="B599" s="358" t="s">
        <v>3630</v>
      </c>
      <c r="C599" s="350">
        <f>heating_hp</f>
        <v>0</v>
      </c>
      <c r="D599" s="30" t="s">
        <v>3358</v>
      </c>
      <c r="E599" s="434">
        <f>energy_cost_cl</f>
        <v>0.11001750924784216</v>
      </c>
      <c r="F599" s="30" t="s">
        <v>3359</v>
      </c>
      <c r="G599" s="435">
        <f>E599*C599*1000</f>
        <v>0</v>
      </c>
      <c r="H599" s="638">
        <f t="shared" si="84"/>
        <v>0</v>
      </c>
      <c r="I599" s="169"/>
      <c r="J599" s="169"/>
      <c r="K599" s="169"/>
      <c r="L599" s="173"/>
      <c r="N599" s="863"/>
      <c r="O599" s="863"/>
      <c r="P599" s="863"/>
      <c r="Q599" s="863"/>
      <c r="R599" s="863"/>
      <c r="S599" s="863"/>
      <c r="T599" s="863"/>
      <c r="U599" s="863"/>
      <c r="V599" s="863"/>
      <c r="W599" s="863"/>
    </row>
    <row r="600" spans="1:23" s="778" customFormat="1" x14ac:dyDescent="0.2">
      <c r="A600" s="178"/>
      <c r="B600" s="358" t="s">
        <v>3631</v>
      </c>
      <c r="C600" s="350">
        <f>heating_gas_non</f>
        <v>0</v>
      </c>
      <c r="D600" s="30" t="s">
        <v>3632</v>
      </c>
      <c r="E600" s="434">
        <f>gas_cost_cl</f>
        <v>0.57856140350877194</v>
      </c>
      <c r="F600" s="30" t="s">
        <v>3633</v>
      </c>
      <c r="G600" s="435">
        <f>E600*C600</f>
        <v>0</v>
      </c>
      <c r="H600" s="638">
        <f t="shared" si="84"/>
        <v>0</v>
      </c>
      <c r="I600" s="169"/>
      <c r="J600" s="169"/>
      <c r="K600" s="169"/>
      <c r="L600" s="173"/>
      <c r="N600" s="863"/>
      <c r="O600" s="863"/>
      <c r="P600" s="863"/>
      <c r="Q600" s="863"/>
      <c r="R600" s="863"/>
      <c r="S600" s="863"/>
      <c r="T600" s="863"/>
      <c r="U600" s="863"/>
      <c r="V600" s="863"/>
      <c r="W600" s="863"/>
    </row>
    <row r="601" spans="1:23" s="778" customFormat="1" x14ac:dyDescent="0.2">
      <c r="A601" s="178"/>
      <c r="B601" s="358" t="s">
        <v>3634</v>
      </c>
      <c r="C601" s="350">
        <f>heating_gas</f>
        <v>0</v>
      </c>
      <c r="D601" s="30" t="s">
        <v>3632</v>
      </c>
      <c r="E601" s="434">
        <f>gas_cost_cl</f>
        <v>0.57856140350877194</v>
      </c>
      <c r="F601" s="30" t="s">
        <v>3633</v>
      </c>
      <c r="G601" s="435">
        <f>E601*C601</f>
        <v>0</v>
      </c>
      <c r="H601" s="638">
        <f t="shared" si="84"/>
        <v>0</v>
      </c>
      <c r="I601" s="169"/>
      <c r="J601" s="169"/>
      <c r="K601" s="169"/>
      <c r="L601" s="173"/>
      <c r="N601" s="863"/>
      <c r="O601" s="863"/>
      <c r="P601" s="863"/>
      <c r="Q601" s="863"/>
      <c r="R601" s="863"/>
      <c r="S601" s="863"/>
      <c r="T601" s="863"/>
      <c r="U601" s="863"/>
      <c r="V601" s="863"/>
      <c r="W601" s="863"/>
    </row>
    <row r="602" spans="1:23" s="778" customFormat="1" x14ac:dyDescent="0.2">
      <c r="A602" s="178"/>
      <c r="B602" s="358" t="s">
        <v>3521</v>
      </c>
      <c r="C602" s="350">
        <f>heating_diesel_non</f>
        <v>0</v>
      </c>
      <c r="D602" s="30" t="s">
        <v>3635</v>
      </c>
      <c r="E602" s="434">
        <f>diesel_cost_cl</f>
        <v>3.8295007720020586</v>
      </c>
      <c r="F602" s="30" t="s">
        <v>3636</v>
      </c>
      <c r="G602" s="435">
        <f>E602*C602</f>
        <v>0</v>
      </c>
      <c r="H602" s="638">
        <f t="shared" si="84"/>
        <v>0</v>
      </c>
      <c r="I602" s="169"/>
      <c r="J602" s="169"/>
      <c r="K602" s="169"/>
      <c r="L602" s="173"/>
      <c r="N602" s="863"/>
      <c r="O602" s="863"/>
      <c r="P602" s="863"/>
      <c r="Q602" s="863"/>
      <c r="R602" s="863"/>
      <c r="S602" s="863"/>
      <c r="T602" s="863"/>
      <c r="U602" s="863"/>
      <c r="V602" s="863"/>
      <c r="W602" s="863"/>
    </row>
    <row r="603" spans="1:23" s="778" customFormat="1" x14ac:dyDescent="0.2">
      <c r="A603" s="273"/>
      <c r="B603" s="358" t="s">
        <v>3522</v>
      </c>
      <c r="C603" s="350">
        <f>heating_diesel</f>
        <v>0</v>
      </c>
      <c r="D603" s="30" t="s">
        <v>3635</v>
      </c>
      <c r="E603" s="434">
        <f>diesel_cost_cl</f>
        <v>3.8295007720020586</v>
      </c>
      <c r="F603" s="30" t="s">
        <v>3636</v>
      </c>
      <c r="G603" s="435">
        <f>E603*C603</f>
        <v>0</v>
      </c>
      <c r="H603" s="638">
        <f t="shared" si="84"/>
        <v>0</v>
      </c>
      <c r="I603" s="169"/>
      <c r="J603" s="169"/>
      <c r="K603" s="169"/>
      <c r="L603" s="173"/>
      <c r="N603" s="863"/>
      <c r="O603" s="863"/>
      <c r="P603" s="863"/>
      <c r="Q603" s="863"/>
      <c r="R603" s="863"/>
      <c r="S603" s="863"/>
      <c r="T603" s="863"/>
      <c r="U603" s="863"/>
      <c r="V603" s="863"/>
      <c r="W603" s="863"/>
    </row>
    <row r="604" spans="1:23" x14ac:dyDescent="0.2">
      <c r="A604" s="186"/>
      <c r="B604" s="18" t="s">
        <v>1618</v>
      </c>
      <c r="C604" s="18"/>
      <c r="D604" s="271"/>
      <c r="E604" s="18"/>
      <c r="F604" s="18"/>
      <c r="G604" s="18"/>
      <c r="H604" s="339"/>
      <c r="I604" s="90"/>
      <c r="J604" s="90"/>
      <c r="K604" s="90"/>
      <c r="L604" s="317"/>
    </row>
    <row r="605" spans="1:23" x14ac:dyDescent="0.2">
      <c r="A605" s="178"/>
      <c r="B605" s="358" t="s">
        <v>3467</v>
      </c>
      <c r="C605" s="350">
        <f>IF(res_s2_opt=2,res_flow_annual,0)</f>
        <v>0</v>
      </c>
      <c r="D605" s="30" t="s">
        <v>3635</v>
      </c>
      <c r="E605" s="692" t="str">
        <f>IF(res_s2_opt=2,G605/C605,"NA")</f>
        <v>NA</v>
      </c>
      <c r="F605" s="30" t="str">
        <f>IF(res_s2_opt=2,"/gal","")</f>
        <v/>
      </c>
      <c r="G605" s="435" t="str">
        <f>IF(res_s2_opt=2,POTW_fee,"--")</f>
        <v>--</v>
      </c>
      <c r="H605" s="436">
        <f>IF(res_s2_opt=2,1,0)</f>
        <v>0</v>
      </c>
      <c r="I605" s="90"/>
      <c r="J605" s="90"/>
      <c r="K605" s="90"/>
      <c r="L605" s="317"/>
    </row>
    <row r="606" spans="1:23" s="778" customFormat="1" ht="24.75" customHeight="1" x14ac:dyDescent="0.2">
      <c r="A606" s="178"/>
      <c r="B606" s="358" t="str">
        <f>IF(res_s2_opt=4,"Evaporation pond solids disposal",IF(res_holding="tanks","Holding tank solids disposal",IF(res_holding="basins","Holding basins solids disposal","")))</f>
        <v>Holding basins solids disposal</v>
      </c>
      <c r="C606" s="683">
        <f>IF(B606="","",res_solids*sol_disp_freq)</f>
        <v>1.1248615812075331</v>
      </c>
      <c r="D606" s="30" t="str">
        <f>IF(B606="","","ton/yr")</f>
        <v>ton/yr</v>
      </c>
      <c r="E606" s="434">
        <f>IF(B606="","",IF(C606&gt;0,G606/C606,0))</f>
        <v>112.15720840993785</v>
      </c>
      <c r="F606" s="30" t="str">
        <f>IF(B606="","","/ton")</f>
        <v>/ton</v>
      </c>
      <c r="G606" s="435">
        <f>IF(B606="","",sol_disposal_fee)</f>
        <v>126.16133479582552</v>
      </c>
      <c r="H606" s="436">
        <f>IF(B606="","",IF(C606=0,0,1))</f>
        <v>1</v>
      </c>
      <c r="I606" s="925" t="str">
        <f>IF(AND(res_solids&lt;&gt;0,solids_haz=1,solids_method=2),"Land application assumed to be zero cost, but labor cost for handling is still included in operator hours","")</f>
        <v/>
      </c>
      <c r="J606" s="144"/>
      <c r="K606" s="144"/>
      <c r="L606" s="926"/>
      <c r="N606" s="863"/>
      <c r="O606" s="863"/>
      <c r="P606" s="863"/>
      <c r="Q606" s="863"/>
      <c r="R606" s="863"/>
      <c r="S606" s="863"/>
      <c r="T606" s="863"/>
      <c r="U606" s="863"/>
      <c r="V606" s="863"/>
      <c r="W606" s="863"/>
    </row>
    <row r="607" spans="1:23" s="778" customFormat="1" x14ac:dyDescent="0.2">
      <c r="A607" s="798"/>
      <c r="B607" s="799" t="s">
        <v>570</v>
      </c>
      <c r="C607" s="800">
        <f>misc_pct</f>
        <v>0.1</v>
      </c>
      <c r="D607" s="801"/>
      <c r="E607" s="802"/>
      <c r="F607" s="799"/>
      <c r="G607" s="803">
        <f>SUMPRODUCT(G557:G606,H557:H606)*C607</f>
        <v>3422.5230650745602</v>
      </c>
      <c r="H607" s="804">
        <f>IF(C607=0,0,1)</f>
        <v>1</v>
      </c>
      <c r="I607" s="169"/>
      <c r="J607" s="169"/>
      <c r="K607" s="169"/>
      <c r="L607" s="173"/>
      <c r="N607" s="863"/>
      <c r="O607" s="863"/>
      <c r="P607" s="863"/>
      <c r="Q607" s="863"/>
      <c r="R607" s="863"/>
      <c r="S607" s="863"/>
      <c r="T607" s="863"/>
      <c r="U607" s="863"/>
      <c r="V607" s="863"/>
      <c r="W607" s="863"/>
    </row>
    <row r="608" spans="1:23" ht="15.75" x14ac:dyDescent="0.25">
      <c r="A608" s="96"/>
      <c r="B608" s="903" t="s">
        <v>4433</v>
      </c>
      <c r="C608" s="149"/>
      <c r="D608" s="497"/>
      <c r="E608" s="171"/>
      <c r="F608" s="796"/>
      <c r="G608" s="797">
        <f>SUMPRODUCT(G557:G607,H557:H607)*OM_City_Index</f>
        <v>37647.753715820159</v>
      </c>
      <c r="H608" s="149"/>
      <c r="I608" s="149"/>
      <c r="J608" s="149"/>
      <c r="K608" s="149"/>
      <c r="L608" s="318"/>
    </row>
    <row r="609" spans="1:12" x14ac:dyDescent="0.2">
      <c r="A609" s="90"/>
      <c r="B609" s="155"/>
      <c r="C609" s="90"/>
      <c r="D609" s="286"/>
      <c r="E609" s="90"/>
      <c r="F609" s="90"/>
      <c r="G609" s="90"/>
      <c r="H609" s="90"/>
      <c r="I609" s="90"/>
      <c r="J609" s="90"/>
      <c r="K609" s="90"/>
      <c r="L609" s="90"/>
    </row>
    <row r="610" spans="1:12" ht="15.75" x14ac:dyDescent="0.25">
      <c r="A610" s="254" t="s">
        <v>2560</v>
      </c>
      <c r="B610" s="167"/>
      <c r="C610" s="136"/>
      <c r="D610" s="287"/>
      <c r="E610" s="136"/>
      <c r="F610" s="136"/>
      <c r="G610" s="136"/>
      <c r="H610" s="136"/>
      <c r="I610" s="136"/>
      <c r="J610" s="136"/>
      <c r="K610" s="136"/>
      <c r="L610" s="495"/>
    </row>
    <row r="611" spans="1:12" ht="15.75" x14ac:dyDescent="0.25">
      <c r="A611" s="789"/>
      <c r="B611" s="521" t="s">
        <v>1639</v>
      </c>
      <c r="C611" s="790" t="s">
        <v>1641</v>
      </c>
      <c r="D611" s="791" t="s">
        <v>594</v>
      </c>
      <c r="E611" s="90"/>
      <c r="F611" s="90"/>
      <c r="G611" s="90"/>
      <c r="H611" s="90"/>
      <c r="I611" s="90"/>
      <c r="J611" s="90"/>
      <c r="K611" s="90"/>
      <c r="L611" s="317"/>
    </row>
    <row r="612" spans="1:12" x14ac:dyDescent="0.2">
      <c r="A612" s="93"/>
      <c r="B612" s="259" t="s">
        <v>2561</v>
      </c>
      <c r="C612" s="485">
        <v>7.0000000000000007E-2</v>
      </c>
      <c r="D612" s="250" t="s">
        <v>2568</v>
      </c>
      <c r="E612" s="90"/>
      <c r="F612" s="90"/>
      <c r="G612" s="90"/>
      <c r="H612" s="90"/>
      <c r="I612" s="90"/>
      <c r="J612" s="90"/>
      <c r="K612" s="90"/>
      <c r="L612" s="317"/>
    </row>
    <row r="613" spans="1:12" x14ac:dyDescent="0.2">
      <c r="A613" s="93"/>
      <c r="B613" s="259" t="s">
        <v>2562</v>
      </c>
      <c r="C613" s="486" t="s">
        <v>2569</v>
      </c>
      <c r="D613" s="250" t="s">
        <v>2568</v>
      </c>
      <c r="E613" s="90"/>
      <c r="F613" s="90"/>
      <c r="G613" s="90"/>
      <c r="H613" s="90"/>
      <c r="I613" s="90"/>
      <c r="J613" s="90"/>
      <c r="K613" s="90"/>
      <c r="L613" s="317"/>
    </row>
    <row r="614" spans="1:12" x14ac:dyDescent="0.2">
      <c r="A614" s="93"/>
      <c r="B614" s="902" t="s">
        <v>2563</v>
      </c>
      <c r="C614" s="487">
        <v>2.5299999999999998</v>
      </c>
      <c r="D614" s="250" t="s">
        <v>2568</v>
      </c>
      <c r="E614" s="90"/>
      <c r="F614" s="90"/>
      <c r="G614" s="90"/>
      <c r="H614" s="90"/>
      <c r="I614" s="90"/>
      <c r="J614" s="90"/>
      <c r="K614" s="90"/>
      <c r="L614" s="317"/>
    </row>
    <row r="615" spans="1:12" x14ac:dyDescent="0.2">
      <c r="A615" s="93"/>
      <c r="B615" s="482"/>
      <c r="C615" s="488"/>
      <c r="D615" s="250"/>
      <c r="E615" s="90"/>
      <c r="F615" s="90"/>
      <c r="G615" s="90"/>
      <c r="H615" s="90"/>
      <c r="I615" s="90"/>
      <c r="J615" s="90"/>
      <c r="K615" s="90"/>
      <c r="L615" s="317"/>
    </row>
    <row r="616" spans="1:12" x14ac:dyDescent="0.2">
      <c r="A616" s="93"/>
      <c r="B616" s="806" t="s">
        <v>3853</v>
      </c>
      <c r="C616" s="805" t="s">
        <v>1641</v>
      </c>
      <c r="D616" s="773" t="s">
        <v>1642</v>
      </c>
      <c r="E616" s="774"/>
      <c r="F616" s="90"/>
      <c r="G616" s="90"/>
      <c r="H616" s="90"/>
      <c r="I616" s="90"/>
      <c r="J616" s="90"/>
      <c r="K616" s="90"/>
      <c r="L616" s="317"/>
    </row>
    <row r="617" spans="1:12" x14ac:dyDescent="0.2">
      <c r="A617" s="93"/>
      <c r="B617" s="483" t="s">
        <v>2564</v>
      </c>
      <c r="C617" s="489">
        <f>ROUND((direct_for_UL+IF(build_UL=0,0,addon_cost+indirect_cost))/(total_direct_depreciation+IF(build_UL=0,0,(addon_cost+indirect_cost)/build_UL)),1)</f>
        <v>17.5</v>
      </c>
      <c r="D617" s="286" t="s">
        <v>208</v>
      </c>
      <c r="E617" s="90"/>
      <c r="F617" s="90"/>
      <c r="G617" s="90"/>
      <c r="H617" s="90"/>
      <c r="I617" s="90"/>
      <c r="J617" s="90"/>
      <c r="K617" s="90"/>
      <c r="L617" s="317"/>
    </row>
    <row r="618" spans="1:12" x14ac:dyDescent="0.2">
      <c r="A618" s="93"/>
      <c r="B618" s="484" t="s">
        <v>2565</v>
      </c>
      <c r="C618" s="490">
        <f>IF(source_select="ground water",(average_flow*1000/0.08558)^(1/1.0584),(average_flow*1000/0.14004)^(1/0.99703))/hh_size</f>
        <v>116.00269192351792</v>
      </c>
      <c r="D618" s="286" t="s">
        <v>2570</v>
      </c>
      <c r="E618" s="90"/>
      <c r="F618" s="90"/>
      <c r="G618" s="90"/>
      <c r="H618" s="90"/>
      <c r="I618" s="90"/>
      <c r="J618" s="90"/>
      <c r="K618" s="90"/>
      <c r="L618" s="317"/>
    </row>
    <row r="619" spans="1:12" x14ac:dyDescent="0.2">
      <c r="A619" s="830"/>
      <c r="B619" s="831" t="s">
        <v>4040</v>
      </c>
      <c r="C619" s="832">
        <f>-PMT(Discount_rate,useful_life,system_cost)</f>
        <v>68510.812897610755</v>
      </c>
      <c r="D619" s="491" t="s">
        <v>2571</v>
      </c>
      <c r="E619" s="90"/>
      <c r="F619" s="90"/>
      <c r="G619" s="90"/>
      <c r="H619" s="90"/>
      <c r="I619" s="90"/>
      <c r="J619" s="90"/>
      <c r="K619" s="90"/>
      <c r="L619" s="317"/>
    </row>
    <row r="620" spans="1:12" x14ac:dyDescent="0.2">
      <c r="A620" s="830"/>
      <c r="B620" s="833" t="s">
        <v>2146</v>
      </c>
      <c r="C620" s="834">
        <f>om_cost</f>
        <v>37647.753715820159</v>
      </c>
      <c r="D620" s="491" t="s">
        <v>2571</v>
      </c>
      <c r="E620" s="90"/>
      <c r="F620" s="90"/>
      <c r="G620" s="90"/>
      <c r="H620" s="90"/>
      <c r="I620" s="90"/>
      <c r="J620" s="90"/>
      <c r="K620" s="90"/>
      <c r="L620" s="317"/>
    </row>
    <row r="621" spans="1:12" ht="15.75" x14ac:dyDescent="0.25">
      <c r="A621" s="93"/>
      <c r="B621" s="835" t="s">
        <v>4041</v>
      </c>
      <c r="C621" s="836">
        <f>Annualized_Capital_Cost+om_cost</f>
        <v>106158.56661343091</v>
      </c>
      <c r="D621" s="491" t="s">
        <v>2571</v>
      </c>
      <c r="E621" s="905" t="str">
        <f>IF(ISERROR(OR(TAC_pct_cap,TAC_pct_OM)),"",TEXT(TAC_pct_cap,"0%")&amp;" annualized capital, "&amp;TEXT(TAC_pct_OM,"0%")&amp;" annual O&amp;M")</f>
        <v>65% annualized capital, 35% annual O&amp;M</v>
      </c>
      <c r="F621" s="90"/>
      <c r="G621" s="90"/>
      <c r="H621" s="90"/>
      <c r="I621" s="90"/>
      <c r="J621" s="90"/>
      <c r="K621" s="90"/>
      <c r="L621" s="317"/>
    </row>
    <row r="622" spans="1:12" x14ac:dyDescent="0.2">
      <c r="A622" s="93"/>
      <c r="B622" s="483" t="s">
        <v>2566</v>
      </c>
      <c r="C622" s="492">
        <f>Annualized_Cost/(average_flow*365*1000)</f>
        <v>8.3098682280572138</v>
      </c>
      <c r="D622" s="491" t="s">
        <v>2572</v>
      </c>
      <c r="E622" s="90"/>
      <c r="F622" s="90"/>
      <c r="G622" s="90"/>
      <c r="H622" s="90"/>
      <c r="I622" s="90"/>
      <c r="J622" s="90"/>
      <c r="K622" s="90"/>
      <c r="L622" s="317"/>
    </row>
    <row r="623" spans="1:12" x14ac:dyDescent="0.2">
      <c r="A623" s="96"/>
      <c r="B623" s="906" t="s">
        <v>2567</v>
      </c>
      <c r="C623" s="493">
        <f>Annualized_Cost/households</f>
        <v>915.13882008378425</v>
      </c>
      <c r="D623" s="494" t="s">
        <v>2573</v>
      </c>
      <c r="E623" s="149"/>
      <c r="F623" s="149"/>
      <c r="G623" s="149"/>
      <c r="H623" s="149"/>
      <c r="I623" s="149"/>
      <c r="J623" s="149"/>
      <c r="K623" s="149"/>
      <c r="L623" s="318"/>
    </row>
    <row r="624" spans="1:12" x14ac:dyDescent="0.2">
      <c r="A624" s="90"/>
      <c r="B624" s="155"/>
      <c r="C624" s="90"/>
      <c r="D624" s="286"/>
      <c r="E624" s="90"/>
      <c r="F624" s="90"/>
      <c r="G624" s="90"/>
      <c r="H624" s="90"/>
      <c r="I624" s="90"/>
      <c r="J624" s="90"/>
      <c r="K624" s="90"/>
      <c r="L624" s="90"/>
    </row>
    <row r="625" spans="1:23" x14ac:dyDescent="0.2">
      <c r="A625" s="99" t="s">
        <v>1157</v>
      </c>
      <c r="B625" s="90"/>
      <c r="C625" s="169"/>
      <c r="D625" s="286"/>
      <c r="E625" s="90"/>
      <c r="F625" s="90"/>
      <c r="G625" s="90"/>
      <c r="H625" s="90"/>
      <c r="I625" s="90"/>
      <c r="J625" s="90"/>
      <c r="K625" s="90"/>
      <c r="L625" s="90"/>
      <c r="N625" s="774"/>
      <c r="O625" s="774"/>
      <c r="P625" s="774"/>
      <c r="Q625" s="774"/>
      <c r="R625" s="774"/>
      <c r="S625" s="774"/>
      <c r="T625" s="774"/>
      <c r="U625" s="774"/>
      <c r="V625" s="774"/>
      <c r="W625" s="774"/>
    </row>
    <row r="626" spans="1:23" x14ac:dyDescent="0.2">
      <c r="A626" s="90"/>
      <c r="B626" s="5" t="s">
        <v>3649</v>
      </c>
      <c r="C626" s="248">
        <f>C523</f>
        <v>0</v>
      </c>
      <c r="D626" s="286"/>
      <c r="E626" s="90"/>
      <c r="F626" s="90"/>
      <c r="G626" s="90"/>
      <c r="H626" s="90"/>
      <c r="I626" s="90"/>
      <c r="J626" s="90"/>
      <c r="K626" s="90"/>
      <c r="L626" s="90"/>
      <c r="N626" s="774"/>
      <c r="O626" s="774"/>
      <c r="P626" s="774"/>
      <c r="Q626" s="774"/>
      <c r="R626" s="774"/>
      <c r="S626" s="774"/>
      <c r="T626" s="774"/>
      <c r="U626" s="774"/>
      <c r="V626" s="774"/>
      <c r="W626" s="774"/>
    </row>
    <row r="627" spans="1:23" x14ac:dyDescent="0.2">
      <c r="A627" s="90"/>
      <c r="B627" s="5" t="s">
        <v>3650</v>
      </c>
      <c r="C627" s="248">
        <f>C524</f>
        <v>0</v>
      </c>
      <c r="D627" s="286"/>
      <c r="E627" s="90"/>
      <c r="F627" s="90"/>
      <c r="G627" s="90"/>
      <c r="H627" s="90"/>
      <c r="I627" s="90"/>
      <c r="J627" s="90"/>
      <c r="K627" s="90"/>
      <c r="L627" s="90"/>
      <c r="N627" s="774"/>
      <c r="O627" s="774"/>
      <c r="P627" s="774"/>
      <c r="Q627" s="774"/>
      <c r="R627" s="774"/>
      <c r="S627" s="774"/>
      <c r="T627" s="774"/>
      <c r="U627" s="774"/>
      <c r="V627" s="774"/>
      <c r="W627" s="774"/>
    </row>
    <row r="628" spans="1:23" x14ac:dyDescent="0.2">
      <c r="A628" s="90"/>
      <c r="B628" s="821" t="s">
        <v>4020</v>
      </c>
      <c r="C628" s="130">
        <f>D525</f>
        <v>0</v>
      </c>
      <c r="D628" s="286"/>
      <c r="E628" s="90"/>
      <c r="F628" s="90"/>
      <c r="G628" s="90"/>
      <c r="H628" s="90"/>
      <c r="I628" s="90"/>
      <c r="J628" s="90"/>
      <c r="K628" s="90"/>
      <c r="L628" s="90"/>
      <c r="N628" s="774"/>
      <c r="O628" s="774"/>
      <c r="P628" s="774"/>
      <c r="Q628" s="774"/>
      <c r="R628" s="774"/>
      <c r="S628" s="774"/>
      <c r="T628" s="774"/>
      <c r="U628" s="774"/>
      <c r="V628" s="774"/>
      <c r="W628" s="774"/>
    </row>
    <row r="629" spans="1:23" x14ac:dyDescent="0.2">
      <c r="A629" s="90"/>
      <c r="B629" s="5" t="s">
        <v>411</v>
      </c>
      <c r="C629" s="248">
        <f>C526</f>
        <v>7291.7802197802193</v>
      </c>
      <c r="D629" s="286"/>
      <c r="E629" s="90"/>
      <c r="F629" s="90"/>
      <c r="G629" s="90"/>
      <c r="H629" s="90"/>
      <c r="I629" s="90"/>
      <c r="J629" s="90"/>
      <c r="K629" s="90"/>
      <c r="L629" s="90"/>
      <c r="N629" s="774"/>
      <c r="O629" s="774"/>
      <c r="P629" s="774"/>
      <c r="Q629" s="774"/>
      <c r="R629" s="774"/>
      <c r="S629" s="774"/>
      <c r="T629" s="774"/>
      <c r="U629" s="774"/>
      <c r="V629" s="774"/>
      <c r="W629" s="774"/>
    </row>
    <row r="630" spans="1:23" x14ac:dyDescent="0.2">
      <c r="A630" s="90"/>
      <c r="B630" s="5" t="s">
        <v>2327</v>
      </c>
      <c r="C630" s="248">
        <f>C527</f>
        <v>1945.4818219071321</v>
      </c>
      <c r="D630" s="286"/>
      <c r="E630" s="90"/>
      <c r="F630" s="90"/>
      <c r="G630" s="90"/>
      <c r="H630" s="90"/>
      <c r="I630" s="90"/>
      <c r="J630" s="90"/>
      <c r="K630" s="90"/>
      <c r="L630" s="90"/>
      <c r="N630" s="774"/>
      <c r="O630" s="774"/>
      <c r="P630" s="774"/>
      <c r="Q630" s="774"/>
      <c r="R630" s="774"/>
      <c r="S630" s="774"/>
      <c r="T630" s="774"/>
      <c r="U630" s="774"/>
      <c r="V630" s="774"/>
      <c r="W630" s="774"/>
    </row>
    <row r="631" spans="1:23" x14ac:dyDescent="0.2">
      <c r="A631" s="90"/>
      <c r="B631" s="5" t="s">
        <v>2328</v>
      </c>
      <c r="C631" s="39">
        <f>C528</f>
        <v>0</v>
      </c>
      <c r="D631" s="286"/>
      <c r="E631" s="90"/>
      <c r="F631" s="90"/>
      <c r="G631" s="90"/>
      <c r="H631" s="90"/>
      <c r="I631" s="90"/>
      <c r="J631" s="90"/>
      <c r="K631" s="90"/>
      <c r="L631" s="90"/>
      <c r="N631" s="774"/>
      <c r="O631" s="774"/>
      <c r="P631" s="774"/>
      <c r="Q631" s="774"/>
      <c r="R631" s="774"/>
      <c r="S631" s="774"/>
      <c r="T631" s="774"/>
      <c r="U631" s="774"/>
      <c r="V631" s="774"/>
      <c r="W631" s="774"/>
    </row>
    <row r="632" spans="1:23" x14ac:dyDescent="0.2">
      <c r="A632" s="90"/>
      <c r="B632" s="5" t="s">
        <v>2329</v>
      </c>
      <c r="C632" s="248">
        <f>C529</f>
        <v>0</v>
      </c>
      <c r="D632" s="286"/>
      <c r="E632" s="90"/>
      <c r="F632" s="90"/>
      <c r="G632" s="90"/>
      <c r="H632" s="90"/>
      <c r="I632" s="90"/>
      <c r="J632" s="90"/>
      <c r="K632" s="90"/>
      <c r="L632" s="90"/>
      <c r="N632" s="774"/>
      <c r="O632" s="774"/>
      <c r="P632" s="774"/>
      <c r="Q632" s="774"/>
      <c r="R632" s="774"/>
      <c r="S632" s="774"/>
      <c r="T632" s="774"/>
      <c r="U632" s="774"/>
      <c r="V632" s="774"/>
      <c r="W632" s="774"/>
    </row>
    <row r="633" spans="1:23" x14ac:dyDescent="0.2">
      <c r="A633" s="90"/>
      <c r="B633" s="5" t="s">
        <v>2330</v>
      </c>
      <c r="C633" s="451">
        <f>C530</f>
        <v>34592.383821736723</v>
      </c>
      <c r="D633" s="286"/>
      <c r="E633" s="90"/>
      <c r="F633" s="90"/>
      <c r="G633" s="90"/>
      <c r="H633" s="90"/>
      <c r="I633" s="90"/>
      <c r="J633" s="90"/>
      <c r="K633" s="90"/>
      <c r="L633" s="90"/>
      <c r="N633" s="774"/>
      <c r="O633" s="774"/>
      <c r="P633" s="774"/>
      <c r="Q633" s="774"/>
      <c r="R633" s="774"/>
      <c r="S633" s="774"/>
      <c r="T633" s="774"/>
      <c r="U633" s="774"/>
      <c r="V633" s="774"/>
      <c r="W633" s="774"/>
    </row>
    <row r="634" spans="1:23" x14ac:dyDescent="0.2">
      <c r="A634" s="90"/>
      <c r="B634" s="231" t="s">
        <v>2331</v>
      </c>
      <c r="C634" s="130">
        <f>D531</f>
        <v>0</v>
      </c>
      <c r="D634" s="286"/>
      <c r="E634" s="90"/>
      <c r="F634" s="90"/>
      <c r="G634" s="90"/>
      <c r="H634" s="90"/>
      <c r="I634" s="90"/>
      <c r="J634" s="90"/>
      <c r="K634" s="90"/>
      <c r="L634" s="90"/>
      <c r="N634" s="774"/>
      <c r="O634" s="774"/>
      <c r="P634" s="774"/>
      <c r="Q634" s="774"/>
      <c r="R634" s="774"/>
      <c r="S634" s="774"/>
      <c r="T634" s="774"/>
      <c r="U634" s="774"/>
      <c r="V634" s="774"/>
      <c r="W634" s="774"/>
    </row>
    <row r="635" spans="1:23" x14ac:dyDescent="0.2">
      <c r="A635" s="90"/>
      <c r="B635" s="5" t="s">
        <v>2169</v>
      </c>
      <c r="C635" s="451">
        <f>C532</f>
        <v>0</v>
      </c>
      <c r="D635" s="286"/>
      <c r="E635" s="90"/>
      <c r="F635" s="90"/>
      <c r="G635" s="90"/>
      <c r="H635" s="90"/>
      <c r="I635" s="90"/>
      <c r="J635" s="90"/>
      <c r="K635" s="90"/>
      <c r="L635" s="90"/>
      <c r="N635" s="774"/>
      <c r="O635" s="774"/>
      <c r="P635" s="774"/>
      <c r="Q635" s="774"/>
      <c r="R635" s="774"/>
      <c r="S635" s="774"/>
      <c r="T635" s="774"/>
      <c r="U635" s="774"/>
      <c r="V635" s="774"/>
      <c r="W635" s="774"/>
    </row>
    <row r="636" spans="1:23" x14ac:dyDescent="0.2">
      <c r="A636" s="90"/>
      <c r="B636" s="5" t="s">
        <v>2170</v>
      </c>
      <c r="C636" s="451">
        <f>C533</f>
        <v>74342.873693465473</v>
      </c>
      <c r="D636" s="286"/>
      <c r="E636" s="90"/>
      <c r="F636" s="90"/>
      <c r="G636" s="90"/>
      <c r="H636" s="90"/>
      <c r="I636" s="90"/>
      <c r="J636" s="90"/>
      <c r="K636" s="90"/>
      <c r="L636" s="90"/>
      <c r="N636" s="774"/>
      <c r="O636" s="774"/>
      <c r="P636" s="774"/>
      <c r="Q636" s="774"/>
      <c r="R636" s="774"/>
      <c r="S636" s="774"/>
      <c r="T636" s="774"/>
      <c r="U636" s="774"/>
      <c r="V636" s="774"/>
      <c r="W636" s="774"/>
    </row>
    <row r="637" spans="1:23" x14ac:dyDescent="0.2">
      <c r="A637" s="90"/>
      <c r="B637" s="5" t="s">
        <v>570</v>
      </c>
      <c r="C637" s="130">
        <f>D534</f>
        <v>0.1</v>
      </c>
      <c r="D637" s="286"/>
      <c r="E637" s="90"/>
      <c r="F637" s="90"/>
      <c r="G637" s="90"/>
      <c r="H637" s="90"/>
      <c r="I637" s="90"/>
      <c r="J637" s="90"/>
      <c r="K637" s="90"/>
      <c r="L637" s="90"/>
      <c r="N637" s="774"/>
      <c r="O637" s="774"/>
      <c r="P637" s="774"/>
      <c r="Q637" s="774"/>
      <c r="R637" s="774"/>
      <c r="S637" s="774"/>
      <c r="T637" s="774"/>
      <c r="U637" s="774"/>
      <c r="V637" s="774"/>
      <c r="W637" s="774"/>
    </row>
    <row r="638" spans="1:23" x14ac:dyDescent="0.2">
      <c r="A638" s="90"/>
      <c r="B638" s="5" t="s">
        <v>3342</v>
      </c>
      <c r="C638" s="130">
        <f>D535</f>
        <v>0.02</v>
      </c>
      <c r="D638" s="286"/>
      <c r="E638" s="90"/>
      <c r="F638" s="90"/>
      <c r="G638" s="90"/>
      <c r="H638" s="90"/>
      <c r="I638" s="90"/>
      <c r="J638" s="90"/>
      <c r="K638" s="90"/>
      <c r="L638" s="90"/>
      <c r="N638" s="774"/>
      <c r="O638" s="774"/>
      <c r="P638" s="774"/>
      <c r="Q638" s="774"/>
      <c r="R638" s="774"/>
      <c r="S638" s="774"/>
      <c r="T638" s="774"/>
      <c r="U638" s="774"/>
      <c r="V638" s="774"/>
      <c r="W638" s="774"/>
    </row>
    <row r="639" spans="1:23" x14ac:dyDescent="0.2">
      <c r="A639" s="90"/>
      <c r="B639" s="5" t="s">
        <v>3343</v>
      </c>
      <c r="C639" s="130">
        <f>D536</f>
        <v>0</v>
      </c>
      <c r="D639" s="286"/>
      <c r="E639" s="90"/>
      <c r="F639" s="90"/>
      <c r="G639" s="90"/>
      <c r="H639" s="90"/>
      <c r="I639" s="90"/>
      <c r="J639" s="90"/>
      <c r="K639" s="90"/>
      <c r="L639" s="90"/>
      <c r="N639" s="774"/>
      <c r="O639" s="774"/>
      <c r="P639" s="774"/>
      <c r="Q639" s="774"/>
      <c r="R639" s="774"/>
      <c r="S639" s="774"/>
      <c r="T639" s="774"/>
      <c r="U639" s="774"/>
      <c r="V639" s="774"/>
      <c r="W639" s="774"/>
    </row>
    <row r="640" spans="1:23" x14ac:dyDescent="0.2">
      <c r="A640" s="90"/>
      <c r="B640" s="5" t="s">
        <v>3345</v>
      </c>
      <c r="C640" s="130">
        <f>D537</f>
        <v>0</v>
      </c>
      <c r="D640" s="286"/>
      <c r="E640" s="90"/>
      <c r="F640" s="90"/>
      <c r="G640" s="90"/>
      <c r="H640" s="90"/>
      <c r="I640" s="90"/>
      <c r="J640" s="90"/>
      <c r="K640" s="90"/>
      <c r="L640" s="90"/>
      <c r="N640" s="774"/>
      <c r="O640" s="774"/>
      <c r="P640" s="774"/>
      <c r="Q640" s="774"/>
      <c r="R640" s="774"/>
      <c r="S640" s="774"/>
      <c r="T640" s="774"/>
      <c r="U640" s="774"/>
      <c r="V640" s="774"/>
      <c r="W640" s="774"/>
    </row>
    <row r="641" spans="1:23" x14ac:dyDescent="0.2">
      <c r="A641" s="90"/>
      <c r="B641" s="5" t="s">
        <v>1756</v>
      </c>
      <c r="C641" s="449">
        <f>C538</f>
        <v>7839.5443797988228</v>
      </c>
      <c r="D641" s="286"/>
      <c r="E641" s="90"/>
      <c r="F641" s="90"/>
      <c r="G641" s="90"/>
      <c r="H641" s="90"/>
      <c r="I641" s="90"/>
      <c r="J641" s="90"/>
      <c r="K641" s="90"/>
      <c r="L641" s="90"/>
      <c r="N641" s="774"/>
      <c r="O641" s="774"/>
      <c r="P641" s="774"/>
      <c r="Q641" s="774"/>
      <c r="R641" s="774"/>
      <c r="S641" s="774"/>
      <c r="T641" s="774"/>
      <c r="U641" s="774"/>
      <c r="V641" s="774"/>
      <c r="W641" s="774"/>
    </row>
    <row r="642" spans="1:23" x14ac:dyDescent="0.2">
      <c r="A642" s="90"/>
      <c r="B642" s="694" t="s">
        <v>3371</v>
      </c>
      <c r="C642" s="130">
        <f>SUM(cul_indir_mult_table)</f>
        <v>0.12000000000000001</v>
      </c>
      <c r="D642" s="286"/>
      <c r="E642" s="90"/>
      <c r="F642" s="90"/>
      <c r="G642" s="90"/>
      <c r="H642" s="90"/>
      <c r="I642" s="90"/>
      <c r="J642" s="90"/>
      <c r="K642" s="90"/>
      <c r="L642" s="90"/>
      <c r="N642" s="774"/>
      <c r="O642" s="774"/>
      <c r="P642" s="774"/>
      <c r="Q642" s="774"/>
      <c r="R642" s="774"/>
      <c r="S642" s="774"/>
      <c r="T642" s="774"/>
      <c r="U642" s="774"/>
      <c r="V642" s="774"/>
      <c r="W642" s="774"/>
    </row>
    <row r="643" spans="1:23" x14ac:dyDescent="0.2">
      <c r="A643" s="90"/>
      <c r="B643" s="694" t="s">
        <v>3374</v>
      </c>
      <c r="C643" s="248">
        <f>SUM(cul_indir_add_table)-addon_cost</f>
        <v>126012.06393668833</v>
      </c>
      <c r="D643" s="286"/>
      <c r="E643" s="90"/>
      <c r="F643" s="90"/>
      <c r="G643" s="90"/>
      <c r="H643" s="90"/>
      <c r="I643" s="90"/>
      <c r="J643" s="90"/>
      <c r="K643" s="90"/>
      <c r="L643" s="90"/>
      <c r="N643" s="774"/>
      <c r="O643" s="774"/>
      <c r="P643" s="774"/>
      <c r="Q643" s="774"/>
      <c r="R643" s="774"/>
      <c r="S643" s="774"/>
      <c r="T643" s="774"/>
      <c r="U643" s="774"/>
      <c r="V643" s="774"/>
      <c r="W643" s="774"/>
    </row>
    <row r="644" spans="1:23" x14ac:dyDescent="0.2">
      <c r="A644" s="90"/>
      <c r="B644" s="694"/>
      <c r="C644" s="248"/>
      <c r="D644" s="286"/>
      <c r="E644" s="90"/>
      <c r="F644" s="90"/>
      <c r="G644" s="90"/>
      <c r="H644" s="90"/>
      <c r="I644" s="90"/>
      <c r="J644" s="90"/>
      <c r="K644" s="90"/>
      <c r="L644" s="90"/>
      <c r="N644" s="774"/>
      <c r="O644" s="774"/>
      <c r="P644" s="774"/>
      <c r="Q644" s="774"/>
      <c r="R644" s="774"/>
      <c r="S644" s="774"/>
      <c r="T644" s="774"/>
      <c r="U644" s="774"/>
      <c r="V644" s="774"/>
      <c r="W644" s="774"/>
    </row>
    <row r="645" spans="1:23" x14ac:dyDescent="0.2">
      <c r="A645" s="90"/>
      <c r="B645" s="694"/>
      <c r="C645" s="248"/>
      <c r="D645" s="286"/>
      <c r="E645" s="90"/>
      <c r="F645" s="90"/>
      <c r="G645" s="90"/>
      <c r="H645" s="90"/>
      <c r="I645" s="90"/>
      <c r="J645" s="90"/>
      <c r="K645" s="90"/>
      <c r="L645" s="90"/>
      <c r="N645" s="774"/>
      <c r="O645" s="774"/>
      <c r="P645" s="774"/>
      <c r="Q645" s="774"/>
      <c r="R645" s="774"/>
      <c r="S645" s="774"/>
      <c r="T645" s="774"/>
      <c r="U645" s="774"/>
      <c r="V645" s="774"/>
      <c r="W645" s="774"/>
    </row>
    <row r="646" spans="1:23" x14ac:dyDescent="0.2">
      <c r="A646" s="90"/>
      <c r="B646" s="1" t="s">
        <v>3377</v>
      </c>
      <c r="C646" s="248">
        <f>C539+addon_cost</f>
        <v>307478.32673296117</v>
      </c>
      <c r="D646" s="286"/>
      <c r="E646" s="90"/>
      <c r="F646" s="90"/>
      <c r="G646" s="90"/>
      <c r="H646" s="90"/>
      <c r="I646" s="90"/>
      <c r="J646" s="90"/>
      <c r="K646" s="90"/>
      <c r="L646" s="90"/>
      <c r="N646" s="774"/>
      <c r="O646" s="774"/>
      <c r="P646" s="774"/>
      <c r="Q646" s="774"/>
      <c r="R646" s="774"/>
      <c r="S646" s="774"/>
      <c r="T646" s="774"/>
      <c r="U646" s="774"/>
      <c r="V646" s="774"/>
      <c r="W646" s="774"/>
    </row>
    <row r="647" spans="1:23" x14ac:dyDescent="0.2">
      <c r="A647" s="90"/>
      <c r="B647" s="1"/>
      <c r="C647" s="248"/>
      <c r="D647" s="286"/>
      <c r="E647" s="90"/>
      <c r="F647" s="90"/>
      <c r="G647" s="90"/>
      <c r="H647" s="90"/>
      <c r="I647" s="90"/>
      <c r="J647" s="90"/>
      <c r="K647" s="90"/>
      <c r="L647" s="90"/>
      <c r="N647" s="774"/>
      <c r="O647" s="774"/>
      <c r="P647" s="774"/>
      <c r="Q647" s="774"/>
      <c r="R647" s="774"/>
      <c r="S647" s="774"/>
      <c r="T647" s="774"/>
      <c r="U647" s="774"/>
      <c r="V647" s="774"/>
      <c r="W647" s="774"/>
    </row>
    <row r="648" spans="1:23" x14ac:dyDescent="0.2">
      <c r="A648" s="169"/>
      <c r="B648" s="316" t="s">
        <v>579</v>
      </c>
      <c r="C648" s="155" t="b">
        <f>INPUT!C19</f>
        <v>1</v>
      </c>
      <c r="D648" s="286"/>
      <c r="E648" s="90"/>
      <c r="F648" s="90"/>
      <c r="G648" s="90"/>
      <c r="H648" s="90"/>
      <c r="I648" s="90"/>
      <c r="J648" s="90"/>
      <c r="K648" s="90"/>
      <c r="L648" s="90"/>
      <c r="N648" s="774"/>
      <c r="O648" s="774"/>
      <c r="P648" s="774"/>
      <c r="Q648" s="774"/>
      <c r="R648" s="774"/>
      <c r="S648" s="774"/>
      <c r="T648" s="774"/>
      <c r="U648" s="774"/>
      <c r="V648" s="774"/>
      <c r="W648" s="774"/>
    </row>
    <row r="649" spans="1:23" x14ac:dyDescent="0.2">
      <c r="A649" s="90"/>
      <c r="B649" s="316" t="s">
        <v>1531</v>
      </c>
      <c r="C649" s="90" t="b">
        <f>IF(COUNTIF(use_column,"x")&gt;0,TRUE,FALSE)</f>
        <v>0</v>
      </c>
      <c r="D649" s="286"/>
      <c r="E649" s="90"/>
      <c r="F649" s="90"/>
      <c r="G649" s="90"/>
      <c r="H649" s="90"/>
      <c r="I649" s="90"/>
      <c r="J649" s="90"/>
      <c r="K649" s="90"/>
      <c r="L649" s="90"/>
      <c r="N649" s="774"/>
      <c r="O649" s="774"/>
      <c r="P649" s="774"/>
      <c r="Q649" s="774"/>
      <c r="R649" s="774"/>
      <c r="S649" s="774"/>
      <c r="T649" s="774"/>
      <c r="U649" s="774"/>
      <c r="V649" s="774"/>
      <c r="W649" s="774"/>
    </row>
    <row r="650" spans="1:23" x14ac:dyDescent="0.2">
      <c r="A650" s="90"/>
      <c r="B650" s="316" t="s">
        <v>2473</v>
      </c>
      <c r="C650" s="155" t="b">
        <f>IF(COUNTIF(use_column,"ec")+COUNTIF(use_column,"ep")&gt;0,TRUE,FALSE)</f>
        <v>0</v>
      </c>
      <c r="D650" s="286"/>
      <c r="E650" s="90"/>
      <c r="F650" s="90"/>
      <c r="G650" s="90"/>
      <c r="H650" s="90"/>
      <c r="I650" s="90"/>
      <c r="J650" s="90"/>
      <c r="K650" s="90"/>
      <c r="L650" s="90"/>
      <c r="N650" s="774"/>
      <c r="O650" s="774"/>
      <c r="P650" s="774"/>
      <c r="Q650" s="774"/>
      <c r="R650" s="774"/>
      <c r="S650" s="774"/>
      <c r="T650" s="774"/>
      <c r="U650" s="774"/>
      <c r="V650" s="774"/>
      <c r="W650" s="774"/>
    </row>
    <row r="651" spans="1:23" x14ac:dyDescent="0.2">
      <c r="A651" s="90"/>
      <c r="B651" s="155"/>
      <c r="C651" s="155"/>
      <c r="D651" s="286"/>
      <c r="E651" s="90"/>
      <c r="F651" s="90"/>
      <c r="G651" s="90"/>
      <c r="H651" s="90"/>
      <c r="I651" s="90"/>
      <c r="J651" s="90"/>
      <c r="K651" s="90"/>
      <c r="L651" s="90"/>
      <c r="N651" s="774"/>
      <c r="O651" s="774"/>
      <c r="P651" s="774"/>
      <c r="Q651" s="774"/>
      <c r="R651" s="774"/>
      <c r="S651" s="774"/>
      <c r="T651" s="774"/>
      <c r="U651" s="774"/>
      <c r="V651" s="774"/>
      <c r="W651" s="774"/>
    </row>
    <row r="652" spans="1:23" x14ac:dyDescent="0.2">
      <c r="A652" s="90"/>
      <c r="B652" s="155"/>
      <c r="C652" s="90"/>
      <c r="D652" s="286"/>
      <c r="E652" s="90"/>
      <c r="F652" s="90"/>
      <c r="G652" s="90"/>
      <c r="H652" s="90"/>
      <c r="I652" s="90"/>
      <c r="J652" s="90"/>
      <c r="K652" s="90"/>
      <c r="L652" s="90"/>
      <c r="N652" s="774"/>
      <c r="O652" s="774"/>
      <c r="P652" s="774"/>
      <c r="Q652" s="774"/>
      <c r="R652" s="774"/>
      <c r="S652" s="774"/>
      <c r="T652" s="774"/>
      <c r="U652" s="774"/>
      <c r="V652" s="774"/>
      <c r="W652" s="774"/>
    </row>
    <row r="653" spans="1:23" x14ac:dyDescent="0.2">
      <c r="A653" s="90"/>
      <c r="B653" s="155"/>
      <c r="C653" s="90"/>
      <c r="D653" s="286"/>
      <c r="E653" s="90"/>
      <c r="F653" s="90"/>
      <c r="G653" s="90"/>
      <c r="H653" s="90"/>
      <c r="I653" s="90"/>
      <c r="J653" s="90"/>
      <c r="K653" s="90"/>
      <c r="L653" s="90"/>
      <c r="N653" s="774"/>
      <c r="O653" s="774"/>
      <c r="P653" s="774"/>
      <c r="Q653" s="774"/>
      <c r="R653" s="774"/>
      <c r="S653" s="774"/>
      <c r="T653" s="774"/>
      <c r="U653" s="774"/>
      <c r="V653" s="774"/>
      <c r="W653" s="774"/>
    </row>
    <row r="654" spans="1:23" x14ac:dyDescent="0.2">
      <c r="A654" s="90"/>
      <c r="B654" s="155"/>
      <c r="C654" s="90"/>
      <c r="D654" s="286"/>
      <c r="E654" s="90"/>
      <c r="F654" s="90"/>
      <c r="G654" s="90"/>
      <c r="H654" s="90"/>
      <c r="I654" s="90"/>
      <c r="J654" s="90"/>
      <c r="K654" s="90"/>
      <c r="L654" s="90"/>
      <c r="N654" s="774"/>
      <c r="O654" s="774"/>
      <c r="P654" s="774"/>
      <c r="Q654" s="774"/>
      <c r="R654" s="774"/>
      <c r="S654" s="774"/>
      <c r="T654" s="774"/>
      <c r="U654" s="774"/>
      <c r="V654" s="774"/>
      <c r="W654" s="774"/>
    </row>
    <row r="655" spans="1:23" x14ac:dyDescent="0.2">
      <c r="A655" s="90"/>
      <c r="B655" s="155"/>
      <c r="C655" s="90"/>
      <c r="D655" s="286"/>
      <c r="E655" s="90"/>
      <c r="F655" s="90"/>
      <c r="G655" s="90"/>
      <c r="H655" s="90"/>
      <c r="I655" s="90"/>
      <c r="J655" s="90"/>
      <c r="K655" s="90"/>
      <c r="L655" s="90"/>
      <c r="N655" s="774"/>
      <c r="O655" s="774"/>
      <c r="P655" s="774"/>
      <c r="Q655" s="774"/>
      <c r="R655" s="774"/>
      <c r="S655" s="774"/>
      <c r="T655" s="774"/>
      <c r="U655" s="774"/>
      <c r="V655" s="774"/>
      <c r="W655" s="774"/>
    </row>
    <row r="656" spans="1:23" x14ac:dyDescent="0.2">
      <c r="A656" s="90"/>
      <c r="B656" s="155"/>
      <c r="C656" s="90"/>
      <c r="D656" s="286"/>
      <c r="E656" s="90"/>
      <c r="F656" s="90"/>
      <c r="G656" s="90"/>
      <c r="H656" s="90"/>
      <c r="I656" s="90"/>
      <c r="J656" s="90"/>
      <c r="K656" s="90"/>
      <c r="L656" s="90"/>
      <c r="N656" s="774"/>
      <c r="O656" s="774"/>
      <c r="P656" s="774"/>
      <c r="Q656" s="774"/>
      <c r="R656" s="774"/>
      <c r="S656" s="774"/>
      <c r="T656" s="774"/>
      <c r="U656" s="774"/>
      <c r="V656" s="774"/>
      <c r="W656" s="774"/>
    </row>
    <row r="657" spans="1:23" x14ac:dyDescent="0.2">
      <c r="A657" s="90"/>
      <c r="B657" s="155"/>
      <c r="C657" s="90"/>
      <c r="D657" s="286"/>
      <c r="E657" s="90"/>
      <c r="F657" s="90"/>
      <c r="G657" s="90"/>
      <c r="H657" s="90"/>
      <c r="I657" s="90"/>
      <c r="J657" s="90"/>
      <c r="K657" s="90"/>
      <c r="L657" s="90"/>
      <c r="N657" s="774"/>
      <c r="O657" s="774"/>
      <c r="P657" s="774"/>
      <c r="Q657" s="774"/>
      <c r="R657" s="774"/>
      <c r="S657" s="774"/>
      <c r="T657" s="774"/>
      <c r="U657" s="774"/>
      <c r="V657" s="774"/>
      <c r="W657" s="774"/>
    </row>
    <row r="658" spans="1:23" x14ac:dyDescent="0.2">
      <c r="A658" s="90"/>
      <c r="B658" s="155"/>
      <c r="C658" s="90"/>
      <c r="D658" s="286"/>
      <c r="E658" s="90"/>
      <c r="F658" s="90"/>
      <c r="G658" s="90"/>
      <c r="H658" s="90"/>
      <c r="I658" s="90"/>
      <c r="J658" s="90"/>
      <c r="K658" s="90"/>
      <c r="L658" s="90"/>
      <c r="N658" s="774"/>
      <c r="O658" s="774"/>
      <c r="P658" s="774"/>
      <c r="Q658" s="774"/>
      <c r="R658" s="774"/>
      <c r="S658" s="774"/>
      <c r="T658" s="774"/>
      <c r="U658" s="774"/>
      <c r="V658" s="774"/>
      <c r="W658" s="774"/>
    </row>
  </sheetData>
  <mergeCells count="20">
    <mergeCell ref="N32:P32"/>
    <mergeCell ref="Q32:S32"/>
    <mergeCell ref="T32:V32"/>
    <mergeCell ref="N31:V31"/>
    <mergeCell ref="W31:Y32"/>
    <mergeCell ref="M31:M33"/>
    <mergeCell ref="A31:A33"/>
    <mergeCell ref="B31:B33"/>
    <mergeCell ref="C31:D33"/>
    <mergeCell ref="E31:F33"/>
    <mergeCell ref="G31:H33"/>
    <mergeCell ref="C555:D555"/>
    <mergeCell ref="E555:F555"/>
    <mergeCell ref="D7:E7"/>
    <mergeCell ref="D8:E8"/>
    <mergeCell ref="I559:L559"/>
    <mergeCell ref="I31:I33"/>
    <mergeCell ref="J31:J33"/>
    <mergeCell ref="K31:K33"/>
    <mergeCell ref="L31:L33"/>
  </mergeCells>
  <phoneticPr fontId="0" type="noConversion"/>
  <conditionalFormatting sqref="G177:G181 G192:G195 A423:K426 A161:E164 A413:K416 A418:K421 I161:K164 G151:K154 A151:E154 A156:E159 I156:K159 G156:G159 G161:G164 I332 A48:E48 A69:E71 I69:K71 G69:G71 A146:E149 I146:K149 G146:G149 I48:K48 G51:G61 F38:F39 I166:K170 G166:G170 A172:E175 I172:K175 G172:G175 A177:E181 I177:K181 A183:E190 I183:K190 G183:G190 A192:E195 I192:K195 A316:E319 I316:K319 G316:G319 A321:E324 I321:K324 G321:G324 G427:G431 A427:E431 I427:K431 G501:G504 A501:E504 G506 A506:E506 I506:K506 K332 A444:E452 I444:K452 G444:G452 A166:E170 G48 A41:E46 G41:G46 M48 A36:E39 G36:K39 F36 A465:B468 A470:B474 A476:B477 A480:B482 A484:B488 A102:B103 A96:B97 A374:B376 A378:B380 A63:E66 G63:K66 M63:M66 A311:E314 G311:G314 I311:K314 I197:K200 I333:K336 G333:G336 A333:E336 G211:G241 I211:K241 A211:E241 I247:K280 G247:G280 A382:B384 C374:E384 A329:E331 I329:K331 G329:G331 F60:F61 F58 A51:E61 G58:K61 A408:K411 A137:B138 G374:G384 I374:K384 A141:L141 A197:G200 A107:K110 A286:K305 A490:B492 A122:L125 A495:B497 A459:B462 B495:K495 A499:H499 F494:F499 G494:H498 I494:L499 A73:E75 I73:K75 G73:G75 A79:E81 I79:K81 G79:G81 A90:B92 A85:K86 C101:K103 A98:K98 C121:K125 A118:K118 C140:L143 A139:L139 A112:K113 A117:B117 C116:K117 I433:K441 A433:E441 G433:G441 I41:K46 I51:K61 I501:K504 C459:E499 G459:K493 A326:K327 A386:B387 C396:E403 G396:G403 I396:K403 C89:K92 C95:K97 A405:K405 C136:L138 A137:A139 A141:B143 C204:G208 I204:K208 A205:B208 I243:K245 G243:G245 A243:E245 G282:G284 I282:K284 A282:E284 A307:K309 C343:E347 G343:G347 I343:K347 A344:B347 A397:B399 A401:E403 A247:E280 A454:E457 G454:K457">
    <cfRule type="expression" dxfId="4260" priority="336" stopIfTrue="1">
      <formula>IF(OR($L36=0,NOT(ISNUMBER($L36))),TRUE,FALSE)</formula>
    </cfRule>
  </conditionalFormatting>
  <conditionalFormatting sqref="L413:L416 L408:L411 L418:L421 L423:L426">
    <cfRule type="cellIs" dxfId="4259" priority="337" stopIfTrue="1" operator="equal">
      <formula>0</formula>
    </cfRule>
    <cfRule type="expression" dxfId="4258" priority="338" stopIfTrue="1">
      <formula>OR($L408="x",$L408="ec",$L408="ep")</formula>
    </cfRule>
  </conditionalFormatting>
  <conditionalFormatting sqref="L329:L336 L35:L48 L50:L75 L386 L78:L81 L84:L86 L89:L92 L95:L98 L101:L103 L106:L113 L116:L118 L121:L125 L396:L406 L136:L200 L204:L241 L243:L280 L282:L305 L307:L327 L343:L384 L427:L506">
    <cfRule type="cellIs" dxfId="4257" priority="342" stopIfTrue="1" operator="equal">
      <formula>0</formula>
    </cfRule>
    <cfRule type="cellIs" dxfId="4256" priority="343" stopIfTrue="1" operator="equal">
      <formula>"x"</formula>
    </cfRule>
  </conditionalFormatting>
  <conditionalFormatting sqref="L328">
    <cfRule type="cellIs" dxfId="4255" priority="344" stopIfTrue="1" operator="equal">
      <formula>"x"</formula>
    </cfRule>
  </conditionalFormatting>
  <conditionalFormatting sqref="B557:H559 B605:H606 B595:H596 B598:H603 B579:H583 B571:H577 B587:H593 B561:H569">
    <cfRule type="expression" dxfId="4254" priority="355" stopIfTrue="1">
      <formula>IF(OR($H557=0,NOT(ISNUMBER($H557))),TRUE,FALSE)</formula>
    </cfRule>
  </conditionalFormatting>
  <conditionalFormatting sqref="C20:C23 C25:C28">
    <cfRule type="expression" dxfId="4253" priority="347" stopIfTrue="1">
      <formula>NOT(ISNUMBER(C20))</formula>
    </cfRule>
  </conditionalFormatting>
  <conditionalFormatting sqref="F37">
    <cfRule type="expression" dxfId="4252" priority="364" stopIfTrue="1">
      <formula>IF(OR($L37=0,NOT(ISNUMBER($L37))),TRUE,FALSE)</formula>
    </cfRule>
  </conditionalFormatting>
  <conditionalFormatting sqref="F41:F46">
    <cfRule type="expression" dxfId="4251" priority="327" stopIfTrue="1">
      <formula>IF(OR($L41=0,NOT(ISNUMBER($L41))),TRUE,FALSE)</formula>
    </cfRule>
  </conditionalFormatting>
  <conditionalFormatting sqref="F51:F61">
    <cfRule type="expression" dxfId="4250" priority="326" stopIfTrue="1">
      <formula>IF(OR($L51=0,NOT(ISNUMBER($L51))),TRUE,FALSE)</formula>
    </cfRule>
  </conditionalFormatting>
  <conditionalFormatting sqref="F73:F75">
    <cfRule type="expression" dxfId="4249" priority="325" stopIfTrue="1">
      <formula>IF(OR($L73=0,NOT(ISNUMBER($L73))),TRUE,FALSE)</formula>
    </cfRule>
  </conditionalFormatting>
  <conditionalFormatting sqref="F69:F71">
    <cfRule type="expression" dxfId="4248" priority="324" stopIfTrue="1">
      <formula>IF(OR($L69=0,NOT(ISNUMBER($L69))),TRUE,FALSE)</formula>
    </cfRule>
  </conditionalFormatting>
  <conditionalFormatting sqref="F79:F81">
    <cfRule type="expression" dxfId="4247" priority="323" stopIfTrue="1">
      <formula>IF(OR($L79=0,NOT(ISNUMBER($L79))),TRUE,FALSE)</formula>
    </cfRule>
  </conditionalFormatting>
  <conditionalFormatting sqref="F146:F149">
    <cfRule type="expression" dxfId="4246" priority="319" stopIfTrue="1">
      <formula>IF(OR($L146=0,NOT(ISNUMBER($L146))),TRUE,FALSE)</formula>
    </cfRule>
  </conditionalFormatting>
  <conditionalFormatting sqref="F151:F154">
    <cfRule type="expression" dxfId="4245" priority="318" stopIfTrue="1">
      <formula>IF(OR($L151=0,NOT(ISNUMBER($L151))),TRUE,FALSE)</formula>
    </cfRule>
  </conditionalFormatting>
  <conditionalFormatting sqref="F156:F159">
    <cfRule type="expression" dxfId="4244" priority="317" stopIfTrue="1">
      <formula>IF(OR($L156=0,NOT(ISNUMBER($L156))),TRUE,FALSE)</formula>
    </cfRule>
  </conditionalFormatting>
  <conditionalFormatting sqref="F161:F164">
    <cfRule type="expression" dxfId="4243" priority="316" stopIfTrue="1">
      <formula>IF(OR($L161=0,NOT(ISNUMBER($L161))),TRUE,FALSE)</formula>
    </cfRule>
  </conditionalFormatting>
  <conditionalFormatting sqref="F166:F170">
    <cfRule type="expression" dxfId="4242" priority="315" stopIfTrue="1">
      <formula>IF(OR($L166=0,NOT(ISNUMBER($L166))),TRUE,FALSE)</formula>
    </cfRule>
  </conditionalFormatting>
  <conditionalFormatting sqref="F172:F175">
    <cfRule type="expression" dxfId="4241" priority="314" stopIfTrue="1">
      <formula>IF(OR($L172=0,NOT(ISNUMBER($L172))),TRUE,FALSE)</formula>
    </cfRule>
  </conditionalFormatting>
  <conditionalFormatting sqref="F177:F181">
    <cfRule type="expression" dxfId="4240" priority="313" stopIfTrue="1">
      <formula>IF(OR($L177=0,NOT(ISNUMBER($L177))),TRUE,FALSE)</formula>
    </cfRule>
  </conditionalFormatting>
  <conditionalFormatting sqref="F183:F190">
    <cfRule type="expression" dxfId="4239" priority="312" stopIfTrue="1">
      <formula>IF(OR($L183=0,NOT(ISNUMBER($L183))),TRUE,FALSE)</formula>
    </cfRule>
  </conditionalFormatting>
  <conditionalFormatting sqref="F192:F195">
    <cfRule type="expression" dxfId="4238" priority="311" stopIfTrue="1">
      <formula>IF(OR($L192=0,NOT(ISNUMBER($L192))),TRUE,FALSE)</formula>
    </cfRule>
  </conditionalFormatting>
  <conditionalFormatting sqref="F211:F241 F243:F245">
    <cfRule type="expression" dxfId="4237" priority="310" stopIfTrue="1">
      <formula>IF(OR($L211=0,NOT(ISNUMBER($L211))),TRUE,FALSE)</formula>
    </cfRule>
  </conditionalFormatting>
  <conditionalFormatting sqref="F282:F284 F247:F280">
    <cfRule type="expression" dxfId="4236" priority="309" stopIfTrue="1">
      <formula>IF(OR($L247=0,NOT(ISNUMBER($L247))),TRUE,FALSE)</formula>
    </cfRule>
  </conditionalFormatting>
  <conditionalFormatting sqref="F311:F314">
    <cfRule type="expression" dxfId="4235" priority="307" stopIfTrue="1">
      <formula>IF(OR($L311=0,NOT(ISNUMBER($L311))),TRUE,FALSE)</formula>
    </cfRule>
  </conditionalFormatting>
  <conditionalFormatting sqref="F316:F319">
    <cfRule type="expression" dxfId="4234" priority="306" stopIfTrue="1">
      <formula>IF(OR($L316=0,NOT(ISNUMBER($L316))),TRUE,FALSE)</formula>
    </cfRule>
  </conditionalFormatting>
  <conditionalFormatting sqref="F321:F324">
    <cfRule type="expression" dxfId="4233" priority="305" stopIfTrue="1">
      <formula>IF(OR($L321=0,NOT(ISNUMBER($L321))),TRUE,FALSE)</formula>
    </cfRule>
  </conditionalFormatting>
  <conditionalFormatting sqref="F329:F331">
    <cfRule type="expression" dxfId="4232" priority="303" stopIfTrue="1">
      <formula>IF(OR($L329=0,NOT(ISNUMBER($L329))),TRUE,FALSE)</formula>
    </cfRule>
  </conditionalFormatting>
  <conditionalFormatting sqref="F333:F336 F343:F347">
    <cfRule type="expression" dxfId="4231" priority="302" stopIfTrue="1">
      <formula>IF(OR($L333=0,NOT(ISNUMBER($L333))),TRUE,FALSE)</formula>
    </cfRule>
  </conditionalFormatting>
  <conditionalFormatting sqref="F374:F384 F396:F403">
    <cfRule type="expression" dxfId="4230" priority="301" stopIfTrue="1">
      <formula>IF(OR($L374=0,NOT(ISNUMBER($L374))),TRUE,FALSE)</formula>
    </cfRule>
  </conditionalFormatting>
  <conditionalFormatting sqref="F501:F504">
    <cfRule type="expression" dxfId="4229" priority="297" stopIfTrue="1">
      <formula>IF(OR($L501=0,NOT(ISNUMBER($L501))),TRUE,FALSE)</formula>
    </cfRule>
  </conditionalFormatting>
  <conditionalFormatting sqref="F506">
    <cfRule type="expression" dxfId="4228" priority="296" stopIfTrue="1">
      <formula>IF(OR($L506=0,NOT(ISNUMBER($L506))),TRUE,FALSE)</formula>
    </cfRule>
  </conditionalFormatting>
  <conditionalFormatting sqref="H41:H46">
    <cfRule type="expression" dxfId="4227" priority="295" stopIfTrue="1">
      <formula>IF(OR($L41=0,NOT(ISNUMBER($L41))),TRUE,FALSE)</formula>
    </cfRule>
  </conditionalFormatting>
  <conditionalFormatting sqref="H48">
    <cfRule type="expression" dxfId="4226" priority="294" stopIfTrue="1">
      <formula>IF(OR($L48=0,NOT(ISNUMBER($L48))),TRUE,FALSE)</formula>
    </cfRule>
  </conditionalFormatting>
  <conditionalFormatting sqref="H51:H61">
    <cfRule type="expression" dxfId="4225" priority="293" stopIfTrue="1">
      <formula>IF(OR($L51=0,NOT(ISNUMBER($L51))),TRUE,FALSE)</formula>
    </cfRule>
  </conditionalFormatting>
  <conditionalFormatting sqref="H69:H71">
    <cfRule type="expression" dxfId="4224" priority="291" stopIfTrue="1">
      <formula>IF(OR($L69=0,NOT(ISNUMBER($L69))),TRUE,FALSE)</formula>
    </cfRule>
  </conditionalFormatting>
  <conditionalFormatting sqref="H73:H75">
    <cfRule type="expression" dxfId="4223" priority="290" stopIfTrue="1">
      <formula>IF(OR($L73=0,NOT(ISNUMBER($L73))),TRUE,FALSE)</formula>
    </cfRule>
  </conditionalFormatting>
  <conditionalFormatting sqref="H79:H81">
    <cfRule type="expression" dxfId="4222" priority="289" stopIfTrue="1">
      <formula>IF(OR($L79=0,NOT(ISNUMBER($L79))),TRUE,FALSE)</formula>
    </cfRule>
  </conditionalFormatting>
  <conditionalFormatting sqref="H146:H149">
    <cfRule type="expression" dxfId="4221" priority="285" stopIfTrue="1">
      <formula>IF(OR($L146=0,NOT(ISNUMBER($L146))),TRUE,FALSE)</formula>
    </cfRule>
  </conditionalFormatting>
  <conditionalFormatting sqref="H156:H159">
    <cfRule type="expression" dxfId="4220" priority="284" stopIfTrue="1">
      <formula>IF(OR($L156=0,NOT(ISNUMBER($L156))),TRUE,FALSE)</formula>
    </cfRule>
  </conditionalFormatting>
  <conditionalFormatting sqref="H161:H164">
    <cfRule type="expression" dxfId="4219" priority="283" stopIfTrue="1">
      <formula>IF(OR($L161=0,NOT(ISNUMBER($L161))),TRUE,FALSE)</formula>
    </cfRule>
  </conditionalFormatting>
  <conditionalFormatting sqref="H166:H170">
    <cfRule type="expression" dxfId="4218" priority="282" stopIfTrue="1">
      <formula>IF(OR($L166=0,NOT(ISNUMBER($L166))),TRUE,FALSE)</formula>
    </cfRule>
  </conditionalFormatting>
  <conditionalFormatting sqref="H172:H175">
    <cfRule type="expression" dxfId="4217" priority="281" stopIfTrue="1">
      <formula>IF(OR($L172=0,NOT(ISNUMBER($L172))),TRUE,FALSE)</formula>
    </cfRule>
  </conditionalFormatting>
  <conditionalFormatting sqref="H177:H181">
    <cfRule type="expression" dxfId="4216" priority="280" stopIfTrue="1">
      <formula>IF(OR($L177=0,NOT(ISNUMBER($L177))),TRUE,FALSE)</formula>
    </cfRule>
  </conditionalFormatting>
  <conditionalFormatting sqref="H183:H190">
    <cfRule type="expression" dxfId="4215" priority="279" stopIfTrue="1">
      <formula>IF(OR($L183=0,NOT(ISNUMBER($L183))),TRUE,FALSE)</formula>
    </cfRule>
  </conditionalFormatting>
  <conditionalFormatting sqref="H192:H195">
    <cfRule type="expression" dxfId="4214" priority="278" stopIfTrue="1">
      <formula>IF(OR($L192=0,NOT(ISNUMBER($L192))),TRUE,FALSE)</formula>
    </cfRule>
  </conditionalFormatting>
  <conditionalFormatting sqref="H197:H200 H204:H208">
    <cfRule type="expression" dxfId="4213" priority="277" stopIfTrue="1">
      <formula>IF(OR($L197=0,NOT(ISNUMBER($L197))),TRUE,FALSE)</formula>
    </cfRule>
  </conditionalFormatting>
  <conditionalFormatting sqref="H211:H241 H243:H245">
    <cfRule type="expression" dxfId="4212" priority="276" stopIfTrue="1">
      <formula>IF(OR($L211=0,NOT(ISNUMBER($L211))),TRUE,FALSE)</formula>
    </cfRule>
  </conditionalFormatting>
  <conditionalFormatting sqref="H282:H284 H247:H280">
    <cfRule type="expression" dxfId="4211" priority="275" stopIfTrue="1">
      <formula>IF(OR($L247=0,NOT(ISNUMBER($L247))),TRUE,FALSE)</formula>
    </cfRule>
  </conditionalFormatting>
  <conditionalFormatting sqref="H311:H314">
    <cfRule type="expression" dxfId="4210" priority="273" stopIfTrue="1">
      <formula>IF(OR($L311=0,NOT(ISNUMBER($L311))),TRUE,FALSE)</formula>
    </cfRule>
  </conditionalFormatting>
  <conditionalFormatting sqref="H316:H319">
    <cfRule type="expression" dxfId="4209" priority="272" stopIfTrue="1">
      <formula>IF(OR($L316=0,NOT(ISNUMBER($L316))),TRUE,FALSE)</formula>
    </cfRule>
  </conditionalFormatting>
  <conditionalFormatting sqref="H321:H324">
    <cfRule type="expression" dxfId="4208" priority="271" stopIfTrue="1">
      <formula>IF(OR($L321=0,NOT(ISNUMBER($L321))),TRUE,FALSE)</formula>
    </cfRule>
  </conditionalFormatting>
  <conditionalFormatting sqref="H329:H331">
    <cfRule type="expression" dxfId="4207" priority="269" stopIfTrue="1">
      <formula>IF(OR($L329=0,NOT(ISNUMBER($L329))),TRUE,FALSE)</formula>
    </cfRule>
  </conditionalFormatting>
  <conditionalFormatting sqref="H333:H336 H343:H347">
    <cfRule type="expression" dxfId="4206" priority="268" stopIfTrue="1">
      <formula>IF(OR($L333=0,NOT(ISNUMBER($L333))),TRUE,FALSE)</formula>
    </cfRule>
  </conditionalFormatting>
  <conditionalFormatting sqref="H374:H384 H396:H403">
    <cfRule type="expression" dxfId="4205" priority="267" stopIfTrue="1">
      <formula>IF(OR($L374=0,NOT(ISNUMBER($L374))),TRUE,FALSE)</formula>
    </cfRule>
  </conditionalFormatting>
  <conditionalFormatting sqref="H444:H452">
    <cfRule type="expression" dxfId="4204" priority="261" stopIfTrue="1">
      <formula>IF(OR($L444=0,NOT(ISNUMBER($L444))),TRUE,FALSE)</formula>
    </cfRule>
  </conditionalFormatting>
  <conditionalFormatting sqref="H433:H441">
    <cfRule type="expression" dxfId="4203" priority="260" stopIfTrue="1">
      <formula>IF(OR($L433=0,NOT(ISNUMBER($L433))),TRUE,FALSE)</formula>
    </cfRule>
  </conditionalFormatting>
  <conditionalFormatting sqref="H501:H504">
    <cfRule type="expression" dxfId="4202" priority="258" stopIfTrue="1">
      <formula>IF(OR($L501=0,NOT(ISNUMBER($L501))),TRUE,FALSE)</formula>
    </cfRule>
  </conditionalFormatting>
  <conditionalFormatting sqref="H506">
    <cfRule type="expression" dxfId="4201" priority="257" stopIfTrue="1">
      <formula>IF(OR($L506=0,NOT(ISNUMBER($L506))),TRUE,FALSE)</formula>
    </cfRule>
  </conditionalFormatting>
  <conditionalFormatting sqref="G607:H607">
    <cfRule type="expression" dxfId="4200" priority="256" stopIfTrue="1">
      <formula>IF(OR($H607=0,NOT(ISNUMBER($H607))),TRUE,FALSE)</formula>
    </cfRule>
  </conditionalFormatting>
  <conditionalFormatting sqref="F90:F92">
    <cfRule type="expression" dxfId="4199" priority="255" stopIfTrue="1">
      <formula>IF(OR($L90=0,NOT(ISNUMBER($L90))),TRUE,FALSE)</formula>
    </cfRule>
  </conditionalFormatting>
  <conditionalFormatting sqref="F96:F98">
    <cfRule type="expression" dxfId="4198" priority="254" stopIfTrue="1">
      <formula>IF(OR($L96=0,NOT(ISNUMBER($L96))),TRUE,FALSE)</formula>
    </cfRule>
  </conditionalFormatting>
  <conditionalFormatting sqref="H90:H92">
    <cfRule type="expression" dxfId="4197" priority="253" stopIfTrue="1">
      <formula>IF(OR($L90=0,NOT(ISNUMBER($L90))),TRUE,FALSE)</formula>
    </cfRule>
  </conditionalFormatting>
  <conditionalFormatting sqref="H96:H98">
    <cfRule type="expression" dxfId="4196" priority="252" stopIfTrue="1">
      <formula>IF(OR($L96=0,NOT(ISNUMBER($L96))),TRUE,FALSE)</formula>
    </cfRule>
  </conditionalFormatting>
  <conditionalFormatting sqref="A350:K352 C354:K372 A370:B372 A366:B368 A362:B364 A354:B356 A358:B360 A107:K107 A495:K495 A307:K309">
    <cfRule type="expression" dxfId="4195" priority="251" stopIfTrue="1">
      <formula>IF(OR($L107=0,NOT(ISNUMBER($L107))),TRUE,FALSE)</formula>
    </cfRule>
  </conditionalFormatting>
  <conditionalFormatting sqref="L465:L468 L470:L474 L476:L477 L479:L482 L484:L488 L490:L491 L349:L372 L377:L384 L396:L403 L307:L309 L107 L495">
    <cfRule type="cellIs" dxfId="4194" priority="249" stopIfTrue="1" operator="equal">
      <formula>0</formula>
    </cfRule>
    <cfRule type="cellIs" dxfId="4193" priority="250" stopIfTrue="1" operator="equal">
      <formula>"x"</formula>
    </cfRule>
  </conditionalFormatting>
  <conditionalFormatting sqref="A350:A352 A370:A372 A366:A368 A362:A364 A354:A356 A358:A360">
    <cfRule type="expression" dxfId="4192" priority="248" stopIfTrue="1">
      <formula>IF(OR($L350=0,NOT(ISNUMBER($L350))),TRUE,FALSE)</formula>
    </cfRule>
  </conditionalFormatting>
  <conditionalFormatting sqref="A378:K380 A382:K384">
    <cfRule type="expression" dxfId="4191" priority="247" stopIfTrue="1">
      <formula>IF(OR($L378=0,NOT(ISNUMBER($L378))),TRUE,FALSE)</formula>
    </cfRule>
  </conditionalFormatting>
  <conditionalFormatting sqref="A378:A380 A382:A384">
    <cfRule type="expression" dxfId="4190" priority="244" stopIfTrue="1">
      <formula>IF(OR($L378=0,NOT(ISNUMBER($L378))),TRUE,FALSE)</formula>
    </cfRule>
  </conditionalFormatting>
  <conditionalFormatting sqref="A476:K477 A490:K491 A480:B482 D470:K474 A470:B474 A484:B488 D484:K488 A465:K468 C479:K482">
    <cfRule type="expression" dxfId="4189" priority="243" stopIfTrue="1">
      <formula>IF(OR($L465=0,NOT(ISNUMBER($L465))),TRUE,FALSE)</formula>
    </cfRule>
  </conditionalFormatting>
  <conditionalFormatting sqref="A479:B479">
    <cfRule type="expression" dxfId="4188" priority="240" stopIfTrue="1">
      <formula>IF(OR($L479=0,NOT(ISNUMBER($L479))),TRUE,FALSE)</formula>
    </cfRule>
  </conditionalFormatting>
  <conditionalFormatting sqref="A479:B479">
    <cfRule type="expression" dxfId="4187" priority="239" stopIfTrue="1">
      <formula>IF(OR($L479=0,NOT(ISNUMBER($L479))),TRUE,FALSE)</formula>
    </cfRule>
  </conditionalFormatting>
  <conditionalFormatting sqref="H598:H603">
    <cfRule type="expression" dxfId="4186" priority="238" stopIfTrue="1">
      <formula>IF(OR($H598=0,NOT(ISNUMBER($H598))),TRUE,FALSE)</formula>
    </cfRule>
  </conditionalFormatting>
  <conditionalFormatting sqref="H598:H603">
    <cfRule type="expression" dxfId="4185" priority="237" stopIfTrue="1">
      <formula>IF(OR($H598=0,NOT(ISNUMBER($H598))),TRUE,FALSE)</formula>
    </cfRule>
  </conditionalFormatting>
  <conditionalFormatting sqref="H595:H596">
    <cfRule type="expression" dxfId="4184" priority="236" stopIfTrue="1">
      <formula>IF(OR($H595=0,NOT(ISNUMBER($H595))),TRUE,FALSE)</formula>
    </cfRule>
  </conditionalFormatting>
  <conditionalFormatting sqref="H595:H596">
    <cfRule type="expression" dxfId="4183" priority="235" stopIfTrue="1">
      <formula>IF(OR($H595=0,NOT(ISNUMBER($H595))),TRUE,FALSE)</formula>
    </cfRule>
  </conditionalFormatting>
  <conditionalFormatting sqref="C585:H585">
    <cfRule type="expression" dxfId="4182" priority="234" stopIfTrue="1">
      <formula>IF(OR($H585=0,NOT(ISNUMBER($H585))),TRUE,FALSE)</formula>
    </cfRule>
  </conditionalFormatting>
  <conditionalFormatting sqref="H585">
    <cfRule type="expression" dxfId="4181" priority="233" stopIfTrue="1">
      <formula>IF(OR($H585=0,NOT(ISNUMBER($H585))),TRUE,FALSE)</formula>
    </cfRule>
  </conditionalFormatting>
  <conditionalFormatting sqref="B63:B66">
    <cfRule type="expression" dxfId="4180" priority="232" stopIfTrue="1">
      <formula>IF(OR($L63=0,NOT(ISNUMBER($L63))),TRUE,FALSE)</formula>
    </cfRule>
  </conditionalFormatting>
  <conditionalFormatting sqref="D63:D66">
    <cfRule type="expression" dxfId="4179" priority="231" stopIfTrue="1">
      <formula>IF(OR($L63=0,NOT(ISNUMBER($L63))),TRUE,FALSE)</formula>
    </cfRule>
  </conditionalFormatting>
  <conditionalFormatting sqref="C397:K403 A397:B399 A401:B403">
    <cfRule type="expression" dxfId="4178" priority="222" stopIfTrue="1">
      <formula>IF(OR($L397=0,NOT(ISNUMBER($L397))),TRUE,FALSE)</formula>
    </cfRule>
  </conditionalFormatting>
  <conditionalFormatting sqref="A397:A399 A401:A403">
    <cfRule type="expression" dxfId="4177" priority="221" stopIfTrue="1">
      <formula>IF(OR($L397=0,NOT(ISNUMBER($L397))),TRUE,FALSE)</formula>
    </cfRule>
  </conditionalFormatting>
  <conditionalFormatting sqref="F59">
    <cfRule type="expression" dxfId="4176" priority="220" stopIfTrue="1">
      <formula>IF(OR($L59=0,NOT(ISNUMBER($L59))),TRUE,FALSE)</formula>
    </cfRule>
  </conditionalFormatting>
  <conditionalFormatting sqref="I42:J42">
    <cfRule type="expression" dxfId="4175" priority="189" stopIfTrue="1">
      <formula>IF(OR($L42=0,NOT(ISNUMBER($L42))),TRUE,FALSE)</formula>
    </cfRule>
  </conditionalFormatting>
  <conditionalFormatting sqref="I52:J52">
    <cfRule type="expression" dxfId="4174" priority="188" stopIfTrue="1">
      <formula>IF(OR($L52=0,NOT(ISNUMBER($L52))),TRUE,FALSE)</formula>
    </cfRule>
  </conditionalFormatting>
  <conditionalFormatting sqref="I385:K385 G385 C385:E385">
    <cfRule type="expression" dxfId="4173" priority="161" stopIfTrue="1">
      <formula>IF(OR($L385=0,NOT(ISNUMBER($L385))),TRUE,FALSE)</formula>
    </cfRule>
  </conditionalFormatting>
  <conditionalFormatting sqref="L385">
    <cfRule type="cellIs" dxfId="4172" priority="162" stopIfTrue="1" operator="equal">
      <formula>0</formula>
    </cfRule>
    <cfRule type="cellIs" dxfId="4171" priority="163" stopIfTrue="1" operator="equal">
      <formula>"x"</formula>
    </cfRule>
  </conditionalFormatting>
  <conditionalFormatting sqref="F385">
    <cfRule type="expression" dxfId="4170" priority="160" stopIfTrue="1">
      <formula>IF(OR($L385=0,NOT(ISNUMBER($L385))),TRUE,FALSE)</formula>
    </cfRule>
  </conditionalFormatting>
  <conditionalFormatting sqref="H385">
    <cfRule type="expression" dxfId="4169" priority="159" stopIfTrue="1">
      <formula>IF(OR($L385=0,NOT(ISNUMBER($L385))),TRUE,FALSE)</formula>
    </cfRule>
  </conditionalFormatting>
  <conditionalFormatting sqref="L385">
    <cfRule type="cellIs" dxfId="4168" priority="157" stopIfTrue="1" operator="equal">
      <formula>0</formula>
    </cfRule>
    <cfRule type="cellIs" dxfId="4167" priority="158" stopIfTrue="1" operator="equal">
      <formula>"x"</formula>
    </cfRule>
  </conditionalFormatting>
  <conditionalFormatting sqref="H386">
    <cfRule type="expression" dxfId="4166" priority="146" stopIfTrue="1">
      <formula>IF(OR($L386=0,NOT(ISNUMBER($L386))),TRUE,FALSE)</formula>
    </cfRule>
  </conditionalFormatting>
  <conditionalFormatting sqref="A386:B387">
    <cfRule type="expression" dxfId="4165" priority="156" stopIfTrue="1">
      <formula>IF(OR($L386=0,NOT(ISNUMBER($L386))),TRUE,FALSE)</formula>
    </cfRule>
  </conditionalFormatting>
  <conditionalFormatting sqref="A386:A387">
    <cfRule type="expression" dxfId="4164" priority="155" stopIfTrue="1">
      <formula>IF(OR($L386=0,NOT(ISNUMBER($L386))),TRUE,FALSE)</formula>
    </cfRule>
  </conditionalFormatting>
  <conditionalFormatting sqref="I387:K387 G387 C387:E387">
    <cfRule type="expression" dxfId="4163" priority="152" stopIfTrue="1">
      <formula>IF(OR($L387=0,NOT(ISNUMBER($L387))),TRUE,FALSE)</formula>
    </cfRule>
  </conditionalFormatting>
  <conditionalFormatting sqref="L387">
    <cfRule type="cellIs" dxfId="4162" priority="153" stopIfTrue="1" operator="equal">
      <formula>0</formula>
    </cfRule>
    <cfRule type="cellIs" dxfId="4161" priority="154" stopIfTrue="1" operator="equal">
      <formula>"x"</formula>
    </cfRule>
  </conditionalFormatting>
  <conditionalFormatting sqref="F387">
    <cfRule type="expression" dxfId="4160" priority="151" stopIfTrue="1">
      <formula>IF(OR($L387=0,NOT(ISNUMBER($L387))),TRUE,FALSE)</formula>
    </cfRule>
  </conditionalFormatting>
  <conditionalFormatting sqref="H387">
    <cfRule type="expression" dxfId="4159" priority="149" stopIfTrue="1">
      <formula>IF(OR($L387=0,NOT(ISNUMBER($L387))),TRUE,FALSE)</formula>
    </cfRule>
  </conditionalFormatting>
  <conditionalFormatting sqref="I386:K386 G386 C386:E386">
    <cfRule type="expression" dxfId="4158" priority="148" stopIfTrue="1">
      <formula>IF(OR($L386=0,NOT(ISNUMBER($L386))),TRUE,FALSE)</formula>
    </cfRule>
  </conditionalFormatting>
  <conditionalFormatting sqref="F386">
    <cfRule type="expression" dxfId="4157" priority="147" stopIfTrue="1">
      <formula>IF(OR($L386=0,NOT(ISNUMBER($L386))),TRUE,FALSE)</formula>
    </cfRule>
  </conditionalFormatting>
  <conditionalFormatting sqref="C24">
    <cfRule type="expression" dxfId="4156" priority="145" stopIfTrue="1">
      <formula>NOT(ISNUMBER(C24))</formula>
    </cfRule>
  </conditionalFormatting>
  <conditionalFormatting sqref="A77:B77 A76:D76">
    <cfRule type="expression" dxfId="4155" priority="142" stopIfTrue="1">
      <formula>IF(OR($L76=0,NOT(ISNUMBER($L76))),TRUE,FALSE)</formula>
    </cfRule>
  </conditionalFormatting>
  <conditionalFormatting sqref="L76">
    <cfRule type="cellIs" dxfId="4154" priority="143" stopIfTrue="1" operator="equal">
      <formula>0</formula>
    </cfRule>
    <cfRule type="cellIs" dxfId="4153" priority="144" stopIfTrue="1" operator="equal">
      <formula>"x"</formula>
    </cfRule>
  </conditionalFormatting>
  <conditionalFormatting sqref="C105">
    <cfRule type="expression" dxfId="4152" priority="76" stopIfTrue="1">
      <formula>IF(OR($L105=0,NOT(ISNUMBER($L105))),TRUE,FALSE)</formula>
    </cfRule>
  </conditionalFormatting>
  <conditionalFormatting sqref="C77:D77">
    <cfRule type="expression" dxfId="4151" priority="136" stopIfTrue="1">
      <formula>IF(OR($L77=0,NOT(ISNUMBER($L77))),TRUE,FALSE)</formula>
    </cfRule>
  </conditionalFormatting>
  <conditionalFormatting sqref="E76:K76">
    <cfRule type="expression" dxfId="4150" priority="139" stopIfTrue="1">
      <formula>IF(OR($L76=0,NOT(ISNUMBER($L76))),TRUE,FALSE)</formula>
    </cfRule>
  </conditionalFormatting>
  <conditionalFormatting sqref="C83:D83">
    <cfRule type="expression" dxfId="4149" priority="128" stopIfTrue="1">
      <formula>IF(OR($L83=0,NOT(ISNUMBER($L83))),TRUE,FALSE)</formula>
    </cfRule>
  </conditionalFormatting>
  <conditionalFormatting sqref="L77">
    <cfRule type="cellIs" dxfId="4148" priority="137" stopIfTrue="1" operator="equal">
      <formula>0</formula>
    </cfRule>
    <cfRule type="cellIs" dxfId="4147" priority="138" stopIfTrue="1" operator="equal">
      <formula>"x"</formula>
    </cfRule>
  </conditionalFormatting>
  <conditionalFormatting sqref="E77:K77">
    <cfRule type="expression" dxfId="4146" priority="135" stopIfTrue="1">
      <formula>IF(OR($L77=0,NOT(ISNUMBER($L77))),TRUE,FALSE)</formula>
    </cfRule>
  </conditionalFormatting>
  <conditionalFormatting sqref="A83:B83 A82:D82">
    <cfRule type="expression" dxfId="4145" priority="132" stopIfTrue="1">
      <formula>IF(OR($L82=0,NOT(ISNUMBER($L82))),TRUE,FALSE)</formula>
    </cfRule>
  </conditionalFormatting>
  <conditionalFormatting sqref="L82">
    <cfRule type="cellIs" dxfId="4144" priority="133" stopIfTrue="1" operator="equal">
      <formula>0</formula>
    </cfRule>
    <cfRule type="cellIs" dxfId="4143" priority="134" stopIfTrue="1" operator="equal">
      <formula>"x"</formula>
    </cfRule>
  </conditionalFormatting>
  <conditionalFormatting sqref="C119">
    <cfRule type="expression" dxfId="4142" priority="75" stopIfTrue="1">
      <formula>IF(OR($L119=0,NOT(ISNUMBER($L119))),TRUE,FALSE)</formula>
    </cfRule>
  </conditionalFormatting>
  <conditionalFormatting sqref="E82:K82">
    <cfRule type="expression" dxfId="4141" priority="131" stopIfTrue="1">
      <formula>IF(OR($L82=0,NOT(ISNUMBER($L82))),TRUE,FALSE)</formula>
    </cfRule>
  </conditionalFormatting>
  <conditionalFormatting sqref="L83">
    <cfRule type="cellIs" dxfId="4140" priority="129" stopIfTrue="1" operator="equal">
      <formula>0</formula>
    </cfRule>
    <cfRule type="cellIs" dxfId="4139" priority="130" stopIfTrue="1" operator="equal">
      <formula>"x"</formula>
    </cfRule>
  </conditionalFormatting>
  <conditionalFormatting sqref="E83:K83">
    <cfRule type="expression" dxfId="4138" priority="127" stopIfTrue="1">
      <formula>IF(OR($L83=0,NOT(ISNUMBER($L83))),TRUE,FALSE)</formula>
    </cfRule>
  </conditionalFormatting>
  <conditionalFormatting sqref="C88:D88">
    <cfRule type="expression" dxfId="4137" priority="120" stopIfTrue="1">
      <formula>IF(OR($L88=0,NOT(ISNUMBER($L88))),TRUE,FALSE)</formula>
    </cfRule>
  </conditionalFormatting>
  <conditionalFormatting sqref="A88:B88 A87:D87">
    <cfRule type="expression" dxfId="4136" priority="124" stopIfTrue="1">
      <formula>IF(OR($L87=0,NOT(ISNUMBER($L87))),TRUE,FALSE)</formula>
    </cfRule>
  </conditionalFormatting>
  <conditionalFormatting sqref="L87">
    <cfRule type="cellIs" dxfId="4135" priority="125" stopIfTrue="1" operator="equal">
      <formula>0</formula>
    </cfRule>
    <cfRule type="cellIs" dxfId="4134" priority="126" stopIfTrue="1" operator="equal">
      <formula>"x"</formula>
    </cfRule>
  </conditionalFormatting>
  <conditionalFormatting sqref="E87:K87">
    <cfRule type="expression" dxfId="4133" priority="123" stopIfTrue="1">
      <formula>IF(OR($L87=0,NOT(ISNUMBER($L87))),TRUE,FALSE)</formula>
    </cfRule>
  </conditionalFormatting>
  <conditionalFormatting sqref="L88">
    <cfRule type="cellIs" dxfId="4132" priority="121" stopIfTrue="1" operator="equal">
      <formula>0</formula>
    </cfRule>
    <cfRule type="cellIs" dxfId="4131" priority="122" stopIfTrue="1" operator="equal">
      <formula>"x"</formula>
    </cfRule>
  </conditionalFormatting>
  <conditionalFormatting sqref="E88:K88">
    <cfRule type="expression" dxfId="4130" priority="119" stopIfTrue="1">
      <formula>IF(OR($L88=0,NOT(ISNUMBER($L88))),TRUE,FALSE)</formula>
    </cfRule>
  </conditionalFormatting>
  <conditionalFormatting sqref="D94">
    <cfRule type="expression" dxfId="4129" priority="112" stopIfTrue="1">
      <formula>IF(OR($L94=0,NOT(ISNUMBER($L94))),TRUE,FALSE)</formula>
    </cfRule>
  </conditionalFormatting>
  <conditionalFormatting sqref="A94:B94 A93:D93">
    <cfRule type="expression" dxfId="4128" priority="116" stopIfTrue="1">
      <formula>IF(OR($L93=0,NOT(ISNUMBER($L93))),TRUE,FALSE)</formula>
    </cfRule>
  </conditionalFormatting>
  <conditionalFormatting sqref="L93">
    <cfRule type="cellIs" dxfId="4127" priority="117" stopIfTrue="1" operator="equal">
      <formula>0</formula>
    </cfRule>
    <cfRule type="cellIs" dxfId="4126" priority="118" stopIfTrue="1" operator="equal">
      <formula>"x"</formula>
    </cfRule>
  </conditionalFormatting>
  <conditionalFormatting sqref="E93:K93">
    <cfRule type="expression" dxfId="4125" priority="115" stopIfTrue="1">
      <formula>IF(OR($L93=0,NOT(ISNUMBER($L93))),TRUE,FALSE)</formula>
    </cfRule>
  </conditionalFormatting>
  <conditionalFormatting sqref="L94">
    <cfRule type="cellIs" dxfId="4124" priority="113" stopIfTrue="1" operator="equal">
      <formula>0</formula>
    </cfRule>
    <cfRule type="cellIs" dxfId="4123" priority="114" stopIfTrue="1" operator="equal">
      <formula>"x"</formula>
    </cfRule>
  </conditionalFormatting>
  <conditionalFormatting sqref="E94:K94">
    <cfRule type="expression" dxfId="4122" priority="111" stopIfTrue="1">
      <formula>IF(OR($L94=0,NOT(ISNUMBER($L94))),TRUE,FALSE)</formula>
    </cfRule>
  </conditionalFormatting>
  <conditionalFormatting sqref="C120">
    <cfRule type="expression" dxfId="4121" priority="74" stopIfTrue="1">
      <formula>IF(OR($L120=0,NOT(ISNUMBER($L120))),TRUE,FALSE)</formula>
    </cfRule>
  </conditionalFormatting>
  <conditionalFormatting sqref="C100:D100">
    <cfRule type="expression" dxfId="4120" priority="104" stopIfTrue="1">
      <formula>IF(OR($L100=0,NOT(ISNUMBER($L100))),TRUE,FALSE)</formula>
    </cfRule>
  </conditionalFormatting>
  <conditionalFormatting sqref="A100:B100 A99:D99">
    <cfRule type="expression" dxfId="4119" priority="108" stopIfTrue="1">
      <formula>IF(OR($L99=0,NOT(ISNUMBER($L99))),TRUE,FALSE)</formula>
    </cfRule>
  </conditionalFormatting>
  <conditionalFormatting sqref="L99">
    <cfRule type="cellIs" dxfId="4118" priority="109" stopIfTrue="1" operator="equal">
      <formula>0</formula>
    </cfRule>
    <cfRule type="cellIs" dxfId="4117" priority="110" stopIfTrue="1" operator="equal">
      <formula>"x"</formula>
    </cfRule>
  </conditionalFormatting>
  <conditionalFormatting sqref="E99:K99">
    <cfRule type="expression" dxfId="4116" priority="107" stopIfTrue="1">
      <formula>IF(OR($L99=0,NOT(ISNUMBER($L99))),TRUE,FALSE)</formula>
    </cfRule>
  </conditionalFormatting>
  <conditionalFormatting sqref="L100">
    <cfRule type="cellIs" dxfId="4115" priority="105" stopIfTrue="1" operator="equal">
      <formula>0</formula>
    </cfRule>
    <cfRule type="cellIs" dxfId="4114" priority="106" stopIfTrue="1" operator="equal">
      <formula>"x"</formula>
    </cfRule>
  </conditionalFormatting>
  <conditionalFormatting sqref="E100:K100">
    <cfRule type="expression" dxfId="4113" priority="103" stopIfTrue="1">
      <formula>IF(OR($L100=0,NOT(ISNUMBER($L100))),TRUE,FALSE)</formula>
    </cfRule>
  </conditionalFormatting>
  <conditionalFormatting sqref="D105">
    <cfRule type="expression" dxfId="4112" priority="96" stopIfTrue="1">
      <formula>IF(OR($L105=0,NOT(ISNUMBER($L105))),TRUE,FALSE)</formula>
    </cfRule>
  </conditionalFormatting>
  <conditionalFormatting sqref="A104:B105 D104">
    <cfRule type="expression" dxfId="4111" priority="100" stopIfTrue="1">
      <formula>IF(OR($L104=0,NOT(ISNUMBER($L104))),TRUE,FALSE)</formula>
    </cfRule>
  </conditionalFormatting>
  <conditionalFormatting sqref="L104">
    <cfRule type="cellIs" dxfId="4110" priority="101" stopIfTrue="1" operator="equal">
      <formula>0</formula>
    </cfRule>
    <cfRule type="cellIs" dxfId="4109" priority="102" stopIfTrue="1" operator="equal">
      <formula>"x"</formula>
    </cfRule>
  </conditionalFormatting>
  <conditionalFormatting sqref="E104:K104">
    <cfRule type="expression" dxfId="4108" priority="99" stopIfTrue="1">
      <formula>IF(OR($L104=0,NOT(ISNUMBER($L104))),TRUE,FALSE)</formula>
    </cfRule>
  </conditionalFormatting>
  <conditionalFormatting sqref="L105">
    <cfRule type="cellIs" dxfId="4107" priority="97" stopIfTrue="1" operator="equal">
      <formula>0</formula>
    </cfRule>
    <cfRule type="cellIs" dxfId="4106" priority="98" stopIfTrue="1" operator="equal">
      <formula>"x"</formula>
    </cfRule>
  </conditionalFormatting>
  <conditionalFormatting sqref="E105:K105">
    <cfRule type="expression" dxfId="4105" priority="95" stopIfTrue="1">
      <formula>IF(OR($L105=0,NOT(ISNUMBER($L105))),TRUE,FALSE)</formula>
    </cfRule>
  </conditionalFormatting>
  <conditionalFormatting sqref="C115:D115">
    <cfRule type="expression" dxfId="4104" priority="88" stopIfTrue="1">
      <formula>IF(OR($L115=0,NOT(ISNUMBER($L115))),TRUE,FALSE)</formula>
    </cfRule>
  </conditionalFormatting>
  <conditionalFormatting sqref="A115:B115 A114:D114">
    <cfRule type="expression" dxfId="4103" priority="92" stopIfTrue="1">
      <formula>IF(OR($L114=0,NOT(ISNUMBER($L114))),TRUE,FALSE)</formula>
    </cfRule>
  </conditionalFormatting>
  <conditionalFormatting sqref="L114">
    <cfRule type="cellIs" dxfId="4102" priority="93" stopIfTrue="1" operator="equal">
      <formula>0</formula>
    </cfRule>
    <cfRule type="cellIs" dxfId="4101" priority="94" stopIfTrue="1" operator="equal">
      <formula>"x"</formula>
    </cfRule>
  </conditionalFormatting>
  <conditionalFormatting sqref="E114:K114">
    <cfRule type="expression" dxfId="4100" priority="91" stopIfTrue="1">
      <formula>IF(OR($L114=0,NOT(ISNUMBER($L114))),TRUE,FALSE)</formula>
    </cfRule>
  </conditionalFormatting>
  <conditionalFormatting sqref="L115">
    <cfRule type="cellIs" dxfId="4099" priority="89" stopIfTrue="1" operator="equal">
      <formula>0</formula>
    </cfRule>
    <cfRule type="cellIs" dxfId="4098" priority="90" stopIfTrue="1" operator="equal">
      <formula>"x"</formula>
    </cfRule>
  </conditionalFormatting>
  <conditionalFormatting sqref="E115:K115">
    <cfRule type="expression" dxfId="4097" priority="87" stopIfTrue="1">
      <formula>IF(OR($L115=0,NOT(ISNUMBER($L115))),TRUE,FALSE)</formula>
    </cfRule>
  </conditionalFormatting>
  <conditionalFormatting sqref="D120">
    <cfRule type="expression" dxfId="4096" priority="80" stopIfTrue="1">
      <formula>IF(OR($L120=0,NOT(ISNUMBER($L120))),TRUE,FALSE)</formula>
    </cfRule>
  </conditionalFormatting>
  <conditionalFormatting sqref="A119:B120 D119">
    <cfRule type="expression" dxfId="4095" priority="84" stopIfTrue="1">
      <formula>IF(OR($L119=0,NOT(ISNUMBER($L119))),TRUE,FALSE)</formula>
    </cfRule>
  </conditionalFormatting>
  <conditionalFormatting sqref="L119">
    <cfRule type="cellIs" dxfId="4094" priority="85" stopIfTrue="1" operator="equal">
      <formula>0</formula>
    </cfRule>
    <cfRule type="cellIs" dxfId="4093" priority="86" stopIfTrue="1" operator="equal">
      <formula>"x"</formula>
    </cfRule>
  </conditionalFormatting>
  <conditionalFormatting sqref="E119:K119">
    <cfRule type="expression" dxfId="4092" priority="83" stopIfTrue="1">
      <formula>IF(OR($L119=0,NOT(ISNUMBER($L119))),TRUE,FALSE)</formula>
    </cfRule>
  </conditionalFormatting>
  <conditionalFormatting sqref="L120">
    <cfRule type="cellIs" dxfId="4091" priority="81" stopIfTrue="1" operator="equal">
      <formula>0</formula>
    </cfRule>
    <cfRule type="cellIs" dxfId="4090" priority="82" stopIfTrue="1" operator="equal">
      <formula>"x"</formula>
    </cfRule>
  </conditionalFormatting>
  <conditionalFormatting sqref="E120:K120">
    <cfRule type="expression" dxfId="4089" priority="79" stopIfTrue="1">
      <formula>IF(OR($L120=0,NOT(ISNUMBER($L120))),TRUE,FALSE)</formula>
    </cfRule>
  </conditionalFormatting>
  <conditionalFormatting sqref="C94">
    <cfRule type="expression" dxfId="4088" priority="78" stopIfTrue="1">
      <formula>IF(OR($L94=0,NOT(ISNUMBER($L94))),TRUE,FALSE)</formula>
    </cfRule>
  </conditionalFormatting>
  <conditionalFormatting sqref="C104">
    <cfRule type="expression" dxfId="4087" priority="77" stopIfTrue="1">
      <formula>IF(OR($L104=0,NOT(ISNUMBER($L104))),TRUE,FALSE)</formula>
    </cfRule>
  </conditionalFormatting>
  <conditionalFormatting sqref="A132:A133">
    <cfRule type="expression" dxfId="4086" priority="50" stopIfTrue="1">
      <formula>IF(OR($L132=0,NOT(ISNUMBER($L132))),TRUE,FALSE)</formula>
    </cfRule>
  </conditionalFormatting>
  <conditionalFormatting sqref="H201:H203">
    <cfRule type="expression" dxfId="4085" priority="46" stopIfTrue="1">
      <formula>IF(OR($L201=0,NOT(ISNUMBER($L201))),TRUE,FALSE)</formula>
    </cfRule>
  </conditionalFormatting>
  <conditionalFormatting sqref="H242">
    <cfRule type="expression" dxfId="4084" priority="41" stopIfTrue="1">
      <formula>IF(OR($L242=0,NOT(ISNUMBER($L242))),TRUE,FALSE)</formula>
    </cfRule>
  </conditionalFormatting>
  <conditionalFormatting sqref="H281">
    <cfRule type="expression" dxfId="4083" priority="36" stopIfTrue="1">
      <formula>IF(OR($L281=0,NOT(ISNUMBER($L281))),TRUE,FALSE)</formula>
    </cfRule>
  </conditionalFormatting>
  <conditionalFormatting sqref="A341:A342">
    <cfRule type="expression" dxfId="4082" priority="22" stopIfTrue="1">
      <formula>IF(OR($L341=0,NOT(ISNUMBER($L341))),TRUE,FALSE)</formula>
    </cfRule>
  </conditionalFormatting>
  <conditionalFormatting sqref="A389:A391">
    <cfRule type="expression" dxfId="4081" priority="13" stopIfTrue="1">
      <formula>IF(OR($L389=0,NOT(ISNUMBER($L389))),TRUE,FALSE)</formula>
    </cfRule>
  </conditionalFormatting>
  <conditionalFormatting sqref="B127:K128">
    <cfRule type="expression" dxfId="4080" priority="71" stopIfTrue="1">
      <formula>IF(OR($L127=0,NOT(ISNUMBER($L127))),TRUE,FALSE)</formula>
    </cfRule>
  </conditionalFormatting>
  <conditionalFormatting sqref="L126:L128">
    <cfRule type="cellIs" dxfId="4079" priority="72" stopIfTrue="1" operator="equal">
      <formula>0</formula>
    </cfRule>
    <cfRule type="cellIs" dxfId="4078" priority="73" stopIfTrue="1" operator="equal">
      <formula>"x"</formula>
    </cfRule>
  </conditionalFormatting>
  <conditionalFormatting sqref="C130:D130">
    <cfRule type="expression" dxfId="4077" priority="64" stopIfTrue="1">
      <formula>IF(OR($L130=0,NOT(ISNUMBER($L130))),TRUE,FALSE)</formula>
    </cfRule>
  </conditionalFormatting>
  <conditionalFormatting sqref="A130:B130 A129:D129">
    <cfRule type="expression" dxfId="4076" priority="68" stopIfTrue="1">
      <formula>IF(OR($L129=0,NOT(ISNUMBER($L129))),TRUE,FALSE)</formula>
    </cfRule>
  </conditionalFormatting>
  <conditionalFormatting sqref="L129">
    <cfRule type="cellIs" dxfId="4075" priority="69" stopIfTrue="1" operator="equal">
      <formula>0</formula>
    </cfRule>
    <cfRule type="cellIs" dxfId="4074" priority="70" stopIfTrue="1" operator="equal">
      <formula>"x"</formula>
    </cfRule>
  </conditionalFormatting>
  <conditionalFormatting sqref="E129:K129">
    <cfRule type="expression" dxfId="4073" priority="67" stopIfTrue="1">
      <formula>IF(OR($L129=0,NOT(ISNUMBER($L129))),TRUE,FALSE)</formula>
    </cfRule>
  </conditionalFormatting>
  <conditionalFormatting sqref="L130">
    <cfRule type="cellIs" dxfId="4072" priority="65" stopIfTrue="1" operator="equal">
      <formula>0</formula>
    </cfRule>
    <cfRule type="cellIs" dxfId="4071" priority="66" stopIfTrue="1" operator="equal">
      <formula>"x"</formula>
    </cfRule>
  </conditionalFormatting>
  <conditionalFormatting sqref="E130:K130">
    <cfRule type="expression" dxfId="4070" priority="63" stopIfTrue="1">
      <formula>IF(OR($L130=0,NOT(ISNUMBER($L130))),TRUE,FALSE)</formula>
    </cfRule>
  </conditionalFormatting>
  <conditionalFormatting sqref="A127:A128">
    <cfRule type="expression" dxfId="4069" priority="62" stopIfTrue="1">
      <formula>IF(OR($L127=0,NOT(ISNUMBER($L127))),TRUE,FALSE)</formula>
    </cfRule>
  </conditionalFormatting>
  <conditionalFormatting sqref="B132:K133">
    <cfRule type="expression" dxfId="4068" priority="59" stopIfTrue="1">
      <formula>IF(OR($L132=0,NOT(ISNUMBER($L132))),TRUE,FALSE)</formula>
    </cfRule>
  </conditionalFormatting>
  <conditionalFormatting sqref="L131:L133">
    <cfRule type="cellIs" dxfId="4067" priority="60" stopIfTrue="1" operator="equal">
      <formula>0</formula>
    </cfRule>
    <cfRule type="cellIs" dxfId="4066" priority="61" stopIfTrue="1" operator="equal">
      <formula>"x"</formula>
    </cfRule>
  </conditionalFormatting>
  <conditionalFormatting sqref="C135:D135">
    <cfRule type="expression" dxfId="4065" priority="52" stopIfTrue="1">
      <formula>IF(OR($L135=0,NOT(ISNUMBER($L135))),TRUE,FALSE)</formula>
    </cfRule>
  </conditionalFormatting>
  <conditionalFormatting sqref="A135:B135 A134:D134">
    <cfRule type="expression" dxfId="4064" priority="56" stopIfTrue="1">
      <formula>IF(OR($L134=0,NOT(ISNUMBER($L134))),TRUE,FALSE)</formula>
    </cfRule>
  </conditionalFormatting>
  <conditionalFormatting sqref="L134">
    <cfRule type="cellIs" dxfId="4063" priority="57" stopIfTrue="1" operator="equal">
      <formula>0</formula>
    </cfRule>
    <cfRule type="cellIs" dxfId="4062" priority="58" stopIfTrue="1" operator="equal">
      <formula>"x"</formula>
    </cfRule>
  </conditionalFormatting>
  <conditionalFormatting sqref="E134:K134">
    <cfRule type="expression" dxfId="4061" priority="55" stopIfTrue="1">
      <formula>IF(OR($L134=0,NOT(ISNUMBER($L134))),TRUE,FALSE)</formula>
    </cfRule>
  </conditionalFormatting>
  <conditionalFormatting sqref="L135">
    <cfRule type="cellIs" dxfId="4060" priority="53" stopIfTrue="1" operator="equal">
      <formula>0</formula>
    </cfRule>
    <cfRule type="cellIs" dxfId="4059" priority="54" stopIfTrue="1" operator="equal">
      <formula>"x"</formula>
    </cfRule>
  </conditionalFormatting>
  <conditionalFormatting sqref="E135:K135">
    <cfRule type="expression" dxfId="4058" priority="51" stopIfTrue="1">
      <formula>IF(OR($L135=0,NOT(ISNUMBER($L135))),TRUE,FALSE)</formula>
    </cfRule>
  </conditionalFormatting>
  <conditionalFormatting sqref="A202:B203 C201:G203 I201:K203">
    <cfRule type="expression" dxfId="4057" priority="47" stopIfTrue="1">
      <formula>IF(OR($L201=0,NOT(ISNUMBER($L201))),TRUE,FALSE)</formula>
    </cfRule>
  </conditionalFormatting>
  <conditionalFormatting sqref="L201:L203">
    <cfRule type="cellIs" dxfId="4056" priority="48" stopIfTrue="1" operator="equal">
      <formula>0</formula>
    </cfRule>
    <cfRule type="cellIs" dxfId="4055" priority="49" stopIfTrue="1" operator="equal">
      <formula>"x"</formula>
    </cfRule>
  </conditionalFormatting>
  <conditionalFormatting sqref="A242:E242 I242:K242 G242">
    <cfRule type="expression" dxfId="4054" priority="43" stopIfTrue="1">
      <formula>IF(OR($L242=0,NOT(ISNUMBER($L242))),TRUE,FALSE)</formula>
    </cfRule>
  </conditionalFormatting>
  <conditionalFormatting sqref="L242">
    <cfRule type="cellIs" dxfId="4053" priority="44" stopIfTrue="1" operator="equal">
      <formula>0</formula>
    </cfRule>
    <cfRule type="cellIs" dxfId="4052" priority="45" stopIfTrue="1" operator="equal">
      <formula>"x"</formula>
    </cfRule>
  </conditionalFormatting>
  <conditionalFormatting sqref="F242">
    <cfRule type="expression" dxfId="4051" priority="42" stopIfTrue="1">
      <formula>IF(OR($L242=0,NOT(ISNUMBER($L242))),TRUE,FALSE)</formula>
    </cfRule>
  </conditionalFormatting>
  <conditionalFormatting sqref="A281:E281 G281 I281:K281">
    <cfRule type="expression" dxfId="4050" priority="38" stopIfTrue="1">
      <formula>IF(OR($L281=0,NOT(ISNUMBER($L281))),TRUE,FALSE)</formula>
    </cfRule>
  </conditionalFormatting>
  <conditionalFormatting sqref="L281">
    <cfRule type="cellIs" dxfId="4049" priority="39" stopIfTrue="1" operator="equal">
      <formula>0</formula>
    </cfRule>
    <cfRule type="cellIs" dxfId="4048" priority="40" stopIfTrue="1" operator="equal">
      <formula>"x"</formula>
    </cfRule>
  </conditionalFormatting>
  <conditionalFormatting sqref="F281">
    <cfRule type="expression" dxfId="4047" priority="37" stopIfTrue="1">
      <formula>IF(OR($L281=0,NOT(ISNUMBER($L281))),TRUE,FALSE)</formula>
    </cfRule>
  </conditionalFormatting>
  <conditionalFormatting sqref="A306:K306">
    <cfRule type="expression" dxfId="4046" priority="33" stopIfTrue="1">
      <formula>IF(OR($L306=0,NOT(ISNUMBER($L306))),TRUE,FALSE)</formula>
    </cfRule>
  </conditionalFormatting>
  <conditionalFormatting sqref="L306">
    <cfRule type="cellIs" dxfId="4045" priority="34" stopIfTrue="1" operator="equal">
      <formula>0</formula>
    </cfRule>
    <cfRule type="cellIs" dxfId="4044" priority="35" stopIfTrue="1" operator="equal">
      <formula>"x"</formula>
    </cfRule>
  </conditionalFormatting>
  <conditionalFormatting sqref="A306:K306">
    <cfRule type="expression" dxfId="4043" priority="32" stopIfTrue="1">
      <formula>IF(OR($L306=0,NOT(ISNUMBER($L306))),TRUE,FALSE)</formula>
    </cfRule>
  </conditionalFormatting>
  <conditionalFormatting sqref="L306">
    <cfRule type="cellIs" dxfId="4042" priority="30" stopIfTrue="1" operator="equal">
      <formula>0</formula>
    </cfRule>
    <cfRule type="cellIs" dxfId="4041" priority="31" stopIfTrue="1" operator="equal">
      <formula>"x"</formula>
    </cfRule>
  </conditionalFormatting>
  <conditionalFormatting sqref="B341:K342">
    <cfRule type="expression" dxfId="4040" priority="27" stopIfTrue="1">
      <formula>IF(OR($L341=0,NOT(ISNUMBER($L341))),TRUE,FALSE)</formula>
    </cfRule>
  </conditionalFormatting>
  <conditionalFormatting sqref="L340:L342">
    <cfRule type="cellIs" dxfId="4039" priority="28" stopIfTrue="1" operator="equal">
      <formula>0</formula>
    </cfRule>
    <cfRule type="cellIs" dxfId="4038" priority="29" stopIfTrue="1" operator="equal">
      <formula>"x"</formula>
    </cfRule>
  </conditionalFormatting>
  <conditionalFormatting sqref="B338:K339">
    <cfRule type="expression" dxfId="4037" priority="24" stopIfTrue="1">
      <formula>IF(OR($L338=0,NOT(ISNUMBER($L338))),TRUE,FALSE)</formula>
    </cfRule>
  </conditionalFormatting>
  <conditionalFormatting sqref="L337:L339">
    <cfRule type="cellIs" dxfId="4036" priority="25" stopIfTrue="1" operator="equal">
      <formula>0</formula>
    </cfRule>
    <cfRule type="cellIs" dxfId="4035" priority="26" stopIfTrue="1" operator="equal">
      <formula>"x"</formula>
    </cfRule>
  </conditionalFormatting>
  <conditionalFormatting sqref="A338:A339">
    <cfRule type="expression" dxfId="4034" priority="23" stopIfTrue="1">
      <formula>IF(OR($L338=0,NOT(ISNUMBER($L338))),TRUE,FALSE)</formula>
    </cfRule>
  </conditionalFormatting>
  <conditionalFormatting sqref="A389:B391 C388:E391 G388:G391 I388:K391">
    <cfRule type="expression" dxfId="4033" priority="19" stopIfTrue="1">
      <formula>IF(OR($L388=0,NOT(ISNUMBER($L388))),TRUE,FALSE)</formula>
    </cfRule>
  </conditionalFormatting>
  <conditionalFormatting sqref="L388:L391">
    <cfRule type="cellIs" dxfId="4032" priority="20" stopIfTrue="1" operator="equal">
      <formula>0</formula>
    </cfRule>
    <cfRule type="cellIs" dxfId="4031" priority="21" stopIfTrue="1" operator="equal">
      <formula>"x"</formula>
    </cfRule>
  </conditionalFormatting>
  <conditionalFormatting sqref="F388:F391">
    <cfRule type="expression" dxfId="4030" priority="18" stopIfTrue="1">
      <formula>IF(OR($L388=0,NOT(ISNUMBER($L388))),TRUE,FALSE)</formula>
    </cfRule>
  </conditionalFormatting>
  <conditionalFormatting sqref="H388:H391">
    <cfRule type="expression" dxfId="4029" priority="17" stopIfTrue="1">
      <formula>IF(OR($L388=0,NOT(ISNUMBER($L388))),TRUE,FALSE)</formula>
    </cfRule>
  </conditionalFormatting>
  <conditionalFormatting sqref="L388:L391">
    <cfRule type="cellIs" dxfId="4028" priority="15" stopIfTrue="1" operator="equal">
      <formula>0</formula>
    </cfRule>
    <cfRule type="cellIs" dxfId="4027" priority="16" stopIfTrue="1" operator="equal">
      <formula>"x"</formula>
    </cfRule>
  </conditionalFormatting>
  <conditionalFormatting sqref="A389:K391">
    <cfRule type="expression" dxfId="4026" priority="14" stopIfTrue="1">
      <formula>IF(OR($L389=0,NOT(ISNUMBER($L389))),TRUE,FALSE)</formula>
    </cfRule>
  </conditionalFormatting>
  <conditionalFormatting sqref="B393:B395 C392:E395 G392:G395 I392:K395">
    <cfRule type="expression" dxfId="4025" priority="10" stopIfTrue="1">
      <formula>IF(OR($L392=0,NOT(ISNUMBER($L392))),TRUE,FALSE)</formula>
    </cfRule>
  </conditionalFormatting>
  <conditionalFormatting sqref="L392:L395">
    <cfRule type="cellIs" dxfId="4024" priority="11" stopIfTrue="1" operator="equal">
      <formula>0</formula>
    </cfRule>
    <cfRule type="cellIs" dxfId="4023" priority="12" stopIfTrue="1" operator="equal">
      <formula>"x"</formula>
    </cfRule>
  </conditionalFormatting>
  <conditionalFormatting sqref="F392:F395">
    <cfRule type="expression" dxfId="4022" priority="9" stopIfTrue="1">
      <formula>IF(OR($L392=0,NOT(ISNUMBER($L392))),TRUE,FALSE)</formula>
    </cfRule>
  </conditionalFormatting>
  <conditionalFormatting sqref="H392:H395">
    <cfRule type="expression" dxfId="4021" priority="8" stopIfTrue="1">
      <formula>IF(OR($L392=0,NOT(ISNUMBER($L392))),TRUE,FALSE)</formula>
    </cfRule>
  </conditionalFormatting>
  <conditionalFormatting sqref="L392:L395">
    <cfRule type="cellIs" dxfId="4020" priority="6" stopIfTrue="1" operator="equal">
      <formula>0</formula>
    </cfRule>
    <cfRule type="cellIs" dxfId="4019" priority="7" stopIfTrue="1" operator="equal">
      <formula>"x"</formula>
    </cfRule>
  </conditionalFormatting>
  <conditionalFormatting sqref="B393:K395">
    <cfRule type="expression" dxfId="4018" priority="5" stopIfTrue="1">
      <formula>IF(OR($L393=0,NOT(ISNUMBER($L393))),TRUE,FALSE)</formula>
    </cfRule>
  </conditionalFormatting>
  <conditionalFormatting sqref="A393:A395">
    <cfRule type="expression" dxfId="4017" priority="3" stopIfTrue="1">
      <formula>IF(OR($L393=0,NOT(ISNUMBER($L393))),TRUE,FALSE)</formula>
    </cfRule>
  </conditionalFormatting>
  <conditionalFormatting sqref="A393:A395">
    <cfRule type="expression" dxfId="4016" priority="2" stopIfTrue="1">
      <formula>IF(OR($L393=0,NOT(ISNUMBER($L393))),TRUE,FALSE)</formula>
    </cfRule>
  </conditionalFormatting>
  <conditionalFormatting sqref="A393:A395">
    <cfRule type="expression" dxfId="4015" priority="1" stopIfTrue="1">
      <formula>IF(OR($L393=0,NOT(ISNUMBER($L393))),TRUE,FALSE)</formula>
    </cfRule>
  </conditionalFormatting>
  <dataValidations disablePrompts="1" count="3">
    <dataValidation type="decimal" operator="greaterThan" allowBlank="1" showInputMessage="1" showErrorMessage="1" sqref="C614:C616 C618:C620" xr:uid="{00000000-0002-0000-0400-000000000000}">
      <formula1>0</formula1>
    </dataValidation>
    <dataValidation type="decimal" operator="greaterThanOrEqual" allowBlank="1" showInputMessage="1" showErrorMessage="1" sqref="C612" xr:uid="{00000000-0002-0000-0400-000001000000}">
      <formula1>0</formula1>
    </dataValidation>
    <dataValidation type="list" allowBlank="1" showInputMessage="1" showErrorMessage="1" sqref="C613" xr:uid="{00000000-0002-0000-0400-000002000000}">
      <formula1>"ground water,surface water"</formula1>
    </dataValidation>
  </dataValidations>
  <hyperlinks>
    <hyperlink ref="D20" location="link_dcc" display="Details" xr:uid="{00000000-0004-0000-0400-000000000000}"/>
    <hyperlink ref="D21" location="link_aoc" display="Details" xr:uid="{00000000-0004-0000-0400-000001000000}"/>
    <hyperlink ref="D22" location="link_icc" display="Details" xr:uid="{00000000-0004-0000-0400-000002000000}"/>
    <hyperlink ref="D23" location="link_tcc" display="Details" xr:uid="{00000000-0004-0000-0400-000003000000}"/>
    <hyperlink ref="D25" location="link_omc" display="Details" xr:uid="{00000000-0004-0000-0400-000004000000}"/>
    <hyperlink ref="D26" location="link_annc" display="Details" xr:uid="{00000000-0004-0000-0400-000005000000}"/>
    <hyperlink ref="B464" location="link_dcc" display="Details" xr:uid="{00000000-0004-0000-0400-000006000000}"/>
    <hyperlink ref="D66" location="link_omc" display="Details" xr:uid="{00000000-0004-0000-0400-000007000000}"/>
    <hyperlink ref="D64" location="link_tcc" display="Details" xr:uid="{00000000-0004-0000-0400-000008000000}"/>
    <hyperlink ref="D63" location="link_icc" display="Details" xr:uid="{00000000-0004-0000-0400-000009000000}"/>
    <hyperlink ref="D65" location="link_aoc" display="Details" xr:uid="{00000000-0004-0000-0400-00000A000000}"/>
    <hyperlink ref="D24" location="link_annc" display="Details" xr:uid="{00000000-0004-0000-0400-00000C000000}"/>
  </hyperlinks>
  <pageMargins left="0.75" right="0.75" top="1" bottom="1" header="0.5" footer="0.5"/>
  <pageSetup scale="5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142875</xdr:colOff>
                    <xdr:row>2</xdr:row>
                    <xdr:rowOff>9525</xdr:rowOff>
                  </from>
                  <to>
                    <xdr:col>7</xdr:col>
                    <xdr:colOff>514350</xdr:colOff>
                    <xdr:row>6</xdr:row>
                    <xdr:rowOff>38100</xdr:rowOff>
                  </to>
                </anchor>
              </controlPr>
            </control>
          </mc:Choice>
        </mc:AlternateContent>
        <mc:AlternateContent xmlns:mc="http://schemas.openxmlformats.org/markup-compatibility/2006">
          <mc:Choice Requires="x14">
            <control shapeId="1073" r:id="rId5" name="cmdCompSelect">
              <controlPr defaultSize="0" print="0" autoFill="0" autoPict="0" macro="[0]!Sheet4.cmdCompSelect_Click">
                <anchor moveWithCells="1" sizeWithCells="1">
                  <from>
                    <xdr:col>5</xdr:col>
                    <xdr:colOff>142875</xdr:colOff>
                    <xdr:row>7</xdr:row>
                    <xdr:rowOff>0</xdr:rowOff>
                  </from>
                  <to>
                    <xdr:col>7</xdr:col>
                    <xdr:colOff>485775</xdr:colOff>
                    <xdr:row>11</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346"/>
  <sheetViews>
    <sheetView zoomScaleNormal="100" workbookViewId="0">
      <pane ySplit="4" topLeftCell="A5" activePane="bottomLeft" state="frozen"/>
      <selection activeCell="C508" sqref="C508"/>
      <selection pane="bottomLeft" activeCell="A24" sqref="A24"/>
    </sheetView>
  </sheetViews>
  <sheetFormatPr defaultRowHeight="12.75" x14ac:dyDescent="0.2"/>
  <cols>
    <col min="1" max="1" width="70.85546875" customWidth="1"/>
    <col min="2" max="2" width="30" customWidth="1"/>
    <col min="3" max="3" width="14.28515625" customWidth="1"/>
    <col min="4" max="4" width="39.5703125" style="694" customWidth="1"/>
    <col min="5" max="5" width="18.7109375" customWidth="1"/>
    <col min="6" max="6" width="17.42578125" customWidth="1"/>
    <col min="7" max="7" width="43" bestFit="1" customWidth="1"/>
    <col min="8" max="8" width="15.28515625" customWidth="1"/>
    <col min="9" max="9" width="12.42578125" customWidth="1"/>
    <col min="10" max="10" width="14.42578125" customWidth="1"/>
  </cols>
  <sheetData>
    <row r="1" spans="1:6" x14ac:dyDescent="0.2">
      <c r="A1" s="1" t="s">
        <v>1593</v>
      </c>
      <c r="B1" s="694"/>
      <c r="C1" s="694"/>
      <c r="E1" s="694"/>
    </row>
    <row r="2" spans="1:6" x14ac:dyDescent="0.2">
      <c r="A2" s="725" t="s">
        <v>3846</v>
      </c>
      <c r="B2" s="694"/>
      <c r="C2" s="726"/>
      <c r="E2" s="694"/>
    </row>
    <row r="3" spans="1:6" x14ac:dyDescent="0.2">
      <c r="A3" s="1"/>
      <c r="B3" s="694"/>
      <c r="C3" s="726"/>
      <c r="E3" s="694"/>
    </row>
    <row r="4" spans="1:6" x14ac:dyDescent="0.2">
      <c r="A4" s="193" t="s">
        <v>1639</v>
      </c>
      <c r="B4" s="193" t="s">
        <v>1640</v>
      </c>
      <c r="C4" s="194" t="s">
        <v>1641</v>
      </c>
      <c r="D4" s="193" t="s">
        <v>1642</v>
      </c>
      <c r="E4" s="193" t="s">
        <v>594</v>
      </c>
    </row>
    <row r="5" spans="1:6" ht="25.5" x14ac:dyDescent="0.2">
      <c r="A5" s="139" t="s">
        <v>2449</v>
      </c>
      <c r="B5" s="3" t="s">
        <v>1464</v>
      </c>
      <c r="C5" s="140">
        <v>1</v>
      </c>
      <c r="D5" s="720" t="s">
        <v>2450</v>
      </c>
      <c r="E5" s="7" t="s">
        <v>3957</v>
      </c>
    </row>
    <row r="6" spans="1:6" x14ac:dyDescent="0.2">
      <c r="A6" s="139"/>
      <c r="B6" s="3"/>
      <c r="C6" s="138"/>
    </row>
    <row r="7" spans="1:6" x14ac:dyDescent="0.2">
      <c r="A7" s="2" t="s">
        <v>1987</v>
      </c>
      <c r="B7" s="314"/>
      <c r="C7" s="314"/>
      <c r="D7" s="63"/>
      <c r="E7" s="7"/>
    </row>
    <row r="8" spans="1:6" x14ac:dyDescent="0.2">
      <c r="A8" t="s">
        <v>258</v>
      </c>
      <c r="B8" s="3" t="s">
        <v>3231</v>
      </c>
      <c r="C8" s="385">
        <v>0</v>
      </c>
      <c r="E8" s="7" t="s">
        <v>3878</v>
      </c>
    </row>
    <row r="9" spans="1:6" x14ac:dyDescent="0.2">
      <c r="A9" t="s">
        <v>1984</v>
      </c>
      <c r="B9" s="3" t="s">
        <v>1985</v>
      </c>
      <c r="C9" s="51">
        <v>0.1</v>
      </c>
      <c r="E9" s="7" t="s">
        <v>1986</v>
      </c>
    </row>
    <row r="10" spans="1:6" x14ac:dyDescent="0.2">
      <c r="B10" s="3"/>
      <c r="E10" s="7"/>
    </row>
    <row r="11" spans="1:6" x14ac:dyDescent="0.2">
      <c r="A11" s="2" t="s">
        <v>272</v>
      </c>
    </row>
    <row r="12" spans="1:6" x14ac:dyDescent="0.2">
      <c r="A12" s="5" t="s">
        <v>1969</v>
      </c>
      <c r="B12" s="3" t="s">
        <v>1286</v>
      </c>
      <c r="C12" s="127">
        <v>1</v>
      </c>
      <c r="D12" s="694" t="s">
        <v>606</v>
      </c>
      <c r="E12" s="7" t="s">
        <v>1287</v>
      </c>
    </row>
    <row r="13" spans="1:6" x14ac:dyDescent="0.2">
      <c r="A13" s="5" t="s">
        <v>1970</v>
      </c>
      <c r="B13" s="3" t="s">
        <v>1288</v>
      </c>
      <c r="C13" s="127">
        <v>0</v>
      </c>
      <c r="D13" s="694" t="s">
        <v>606</v>
      </c>
      <c r="E13" s="7" t="s">
        <v>1289</v>
      </c>
    </row>
    <row r="14" spans="1:6" x14ac:dyDescent="0.2">
      <c r="A14" s="694" t="s">
        <v>4184</v>
      </c>
      <c r="B14" s="3" t="s">
        <v>1290</v>
      </c>
      <c r="C14" s="127">
        <v>8</v>
      </c>
      <c r="D14" s="694" t="s">
        <v>1308</v>
      </c>
      <c r="E14" s="7"/>
      <c r="F14" s="933"/>
    </row>
    <row r="15" spans="1:6" x14ac:dyDescent="0.2">
      <c r="A15" s="694" t="s">
        <v>4185</v>
      </c>
      <c r="B15" s="3" t="s">
        <v>4186</v>
      </c>
      <c r="C15" s="127">
        <v>8</v>
      </c>
      <c r="D15" s="694" t="s">
        <v>1308</v>
      </c>
      <c r="E15" s="7"/>
      <c r="F15" s="933"/>
    </row>
    <row r="16" spans="1:6" x14ac:dyDescent="0.2">
      <c r="A16" t="s">
        <v>850</v>
      </c>
      <c r="B16" s="3" t="s">
        <v>1224</v>
      </c>
      <c r="C16" s="347">
        <v>1</v>
      </c>
      <c r="D16" s="694" t="s">
        <v>2764</v>
      </c>
      <c r="E16" s="7" t="s">
        <v>1629</v>
      </c>
    </row>
    <row r="17" spans="1:5" x14ac:dyDescent="0.2">
      <c r="A17" t="s">
        <v>851</v>
      </c>
      <c r="B17" s="3" t="s">
        <v>1225</v>
      </c>
      <c r="C17" s="347">
        <v>10</v>
      </c>
      <c r="D17" s="694" t="s">
        <v>2764</v>
      </c>
      <c r="E17" s="7" t="s">
        <v>1629</v>
      </c>
    </row>
    <row r="18" spans="1:5" x14ac:dyDescent="0.2">
      <c r="A18" t="s">
        <v>268</v>
      </c>
      <c r="B18" s="3" t="s">
        <v>269</v>
      </c>
      <c r="C18" s="51">
        <v>30</v>
      </c>
      <c r="D18" s="694" t="s">
        <v>1285</v>
      </c>
      <c r="E18" s="7" t="s">
        <v>270</v>
      </c>
    </row>
    <row r="19" spans="1:5" x14ac:dyDescent="0.2">
      <c r="A19" s="5"/>
      <c r="B19" s="408"/>
      <c r="C19" s="410"/>
      <c r="E19" s="7"/>
    </row>
    <row r="20" spans="1:5" x14ac:dyDescent="0.2">
      <c r="A20" s="2" t="s">
        <v>257</v>
      </c>
      <c r="B20" s="3"/>
      <c r="E20" s="7"/>
    </row>
    <row r="21" spans="1:5" x14ac:dyDescent="0.2">
      <c r="A21" t="s">
        <v>3363</v>
      </c>
      <c r="B21" s="3" t="s">
        <v>1335</v>
      </c>
      <c r="C21" s="127">
        <v>24</v>
      </c>
      <c r="D21" s="694" t="s">
        <v>605</v>
      </c>
      <c r="E21" s="7"/>
    </row>
    <row r="22" spans="1:5" x14ac:dyDescent="0.2">
      <c r="A22" t="s">
        <v>3362</v>
      </c>
      <c r="B22" s="3" t="s">
        <v>390</v>
      </c>
      <c r="C22" s="127">
        <v>14</v>
      </c>
      <c r="D22" s="694" t="s">
        <v>605</v>
      </c>
      <c r="E22" s="7" t="s">
        <v>391</v>
      </c>
    </row>
    <row r="23" spans="1:5" x14ac:dyDescent="0.2">
      <c r="A23" t="s">
        <v>1337</v>
      </c>
      <c r="B23" s="3" t="s">
        <v>1243</v>
      </c>
      <c r="C23" s="127">
        <v>53</v>
      </c>
      <c r="D23" s="694" t="s">
        <v>605</v>
      </c>
      <c r="E23" s="7" t="s">
        <v>288</v>
      </c>
    </row>
    <row r="24" spans="1:5" x14ac:dyDescent="0.2">
      <c r="A24" s="5" t="s">
        <v>2403</v>
      </c>
      <c r="B24" s="3" t="s">
        <v>1697</v>
      </c>
      <c r="C24" s="127">
        <v>1</v>
      </c>
      <c r="D24" s="694" t="s">
        <v>605</v>
      </c>
      <c r="E24" s="7"/>
    </row>
    <row r="25" spans="1:5" x14ac:dyDescent="0.2">
      <c r="A25" t="s">
        <v>1309</v>
      </c>
      <c r="B25" s="3" t="s">
        <v>1310</v>
      </c>
      <c r="C25" s="127">
        <v>1.5</v>
      </c>
      <c r="D25" s="694" t="s">
        <v>605</v>
      </c>
      <c r="E25" s="7" t="s">
        <v>1321</v>
      </c>
    </row>
    <row r="26" spans="1:5" x14ac:dyDescent="0.2">
      <c r="A26" t="s">
        <v>3174</v>
      </c>
      <c r="B26" s="3" t="s">
        <v>595</v>
      </c>
      <c r="C26" s="127">
        <v>0</v>
      </c>
      <c r="D26" s="694" t="s">
        <v>605</v>
      </c>
      <c r="E26" s="7" t="s">
        <v>2192</v>
      </c>
    </row>
    <row r="27" spans="1:5" x14ac:dyDescent="0.2">
      <c r="A27" t="s">
        <v>37</v>
      </c>
      <c r="B27" s="3" t="s">
        <v>38</v>
      </c>
      <c r="C27" s="127">
        <v>2.5</v>
      </c>
      <c r="E27" s="7" t="s">
        <v>1598</v>
      </c>
    </row>
    <row r="28" spans="1:5" x14ac:dyDescent="0.2">
      <c r="A28" s="123" t="s">
        <v>2165</v>
      </c>
      <c r="B28" s="3" t="s">
        <v>2166</v>
      </c>
      <c r="C28" s="127">
        <v>2</v>
      </c>
      <c r="D28" s="721" t="s">
        <v>605</v>
      </c>
      <c r="E28" s="7"/>
    </row>
    <row r="29" spans="1:5" x14ac:dyDescent="0.2">
      <c r="A29" s="123" t="s">
        <v>2167</v>
      </c>
      <c r="B29" s="3" t="s">
        <v>2168</v>
      </c>
      <c r="C29" s="127">
        <v>12</v>
      </c>
      <c r="D29" s="721" t="s">
        <v>605</v>
      </c>
      <c r="E29" s="7"/>
    </row>
    <row r="30" spans="1:5" x14ac:dyDescent="0.2">
      <c r="A30" t="s">
        <v>1596</v>
      </c>
      <c r="B30" s="3" t="s">
        <v>1597</v>
      </c>
      <c r="C30" s="127">
        <v>4</v>
      </c>
      <c r="D30" s="721" t="s">
        <v>605</v>
      </c>
      <c r="E30" s="7" t="s">
        <v>1598</v>
      </c>
    </row>
    <row r="31" spans="1:5" x14ac:dyDescent="0.2">
      <c r="A31" t="s">
        <v>445</v>
      </c>
      <c r="B31" s="3" t="s">
        <v>1599</v>
      </c>
      <c r="C31" s="127">
        <v>5</v>
      </c>
      <c r="D31" s="721" t="s">
        <v>605</v>
      </c>
      <c r="E31" s="7" t="s">
        <v>1598</v>
      </c>
    </row>
    <row r="32" spans="1:5" x14ac:dyDescent="0.2">
      <c r="A32" t="s">
        <v>443</v>
      </c>
      <c r="B32" s="3" t="s">
        <v>441</v>
      </c>
      <c r="C32" s="127">
        <v>5</v>
      </c>
      <c r="D32" s="721" t="s">
        <v>605</v>
      </c>
      <c r="E32" s="7" t="s">
        <v>1598</v>
      </c>
    </row>
    <row r="33" spans="1:5" x14ac:dyDescent="0.2">
      <c r="A33" t="s">
        <v>444</v>
      </c>
      <c r="B33" s="3" t="s">
        <v>442</v>
      </c>
      <c r="C33" s="127">
        <v>10</v>
      </c>
      <c r="D33" s="721" t="s">
        <v>605</v>
      </c>
      <c r="E33" s="7" t="s">
        <v>1598</v>
      </c>
    </row>
    <row r="34" spans="1:5" x14ac:dyDescent="0.2">
      <c r="A34" t="s">
        <v>279</v>
      </c>
      <c r="B34" s="3" t="s">
        <v>280</v>
      </c>
      <c r="C34" s="127">
        <v>0.3</v>
      </c>
      <c r="D34" s="721" t="s">
        <v>281</v>
      </c>
      <c r="E34" s="7" t="s">
        <v>2952</v>
      </c>
    </row>
    <row r="35" spans="1:5" x14ac:dyDescent="0.2">
      <c r="A35" t="s">
        <v>2320</v>
      </c>
      <c r="B35" s="3" t="s">
        <v>2321</v>
      </c>
      <c r="C35" s="127">
        <v>0.5</v>
      </c>
      <c r="D35" s="721"/>
      <c r="E35" s="7" t="s">
        <v>2322</v>
      </c>
    </row>
    <row r="36" spans="1:5" x14ac:dyDescent="0.2">
      <c r="A36" t="s">
        <v>2323</v>
      </c>
      <c r="B36" s="3" t="s">
        <v>2324</v>
      </c>
      <c r="C36" s="127">
        <v>0.4</v>
      </c>
      <c r="D36" s="721"/>
      <c r="E36" s="7"/>
    </row>
    <row r="37" spans="1:5" x14ac:dyDescent="0.2">
      <c r="A37" t="s">
        <v>2325</v>
      </c>
      <c r="B37" s="3" t="s">
        <v>2326</v>
      </c>
      <c r="C37" s="127">
        <v>0.4</v>
      </c>
      <c r="D37" s="721"/>
      <c r="E37" s="7"/>
    </row>
    <row r="38" spans="1:5" x14ac:dyDescent="0.2">
      <c r="A38" t="s">
        <v>848</v>
      </c>
      <c r="B38" s="3" t="s">
        <v>427</v>
      </c>
      <c r="C38" s="516">
        <v>0.5</v>
      </c>
      <c r="D38" s="721"/>
      <c r="E38" s="7" t="s">
        <v>2395</v>
      </c>
    </row>
    <row r="39" spans="1:5" x14ac:dyDescent="0.2">
      <c r="A39" t="s">
        <v>1284</v>
      </c>
      <c r="B39" s="3" t="s">
        <v>608</v>
      </c>
      <c r="C39" s="348">
        <v>0.5</v>
      </c>
      <c r="E39" s="7"/>
    </row>
    <row r="40" spans="1:5" x14ac:dyDescent="0.2">
      <c r="A40" t="s">
        <v>428</v>
      </c>
      <c r="B40" s="3" t="s">
        <v>429</v>
      </c>
      <c r="C40" s="348">
        <v>0.7</v>
      </c>
      <c r="D40" s="721"/>
      <c r="E40" s="7"/>
    </row>
    <row r="41" spans="1:5" x14ac:dyDescent="0.2">
      <c r="A41" s="5" t="s">
        <v>2399</v>
      </c>
      <c r="B41" s="3" t="s">
        <v>2396</v>
      </c>
      <c r="C41" s="347">
        <v>4</v>
      </c>
      <c r="D41" s="721" t="s">
        <v>3506</v>
      </c>
      <c r="E41" s="7" t="s">
        <v>2397</v>
      </c>
    </row>
    <row r="42" spans="1:5" x14ac:dyDescent="0.2">
      <c r="A42" s="5" t="s">
        <v>2400</v>
      </c>
      <c r="B42" s="3" t="s">
        <v>431</v>
      </c>
      <c r="C42" s="347">
        <v>7</v>
      </c>
      <c r="D42" s="721" t="s">
        <v>3506</v>
      </c>
      <c r="E42" s="7" t="s">
        <v>2398</v>
      </c>
    </row>
    <row r="43" spans="1:5" x14ac:dyDescent="0.2">
      <c r="B43" s="20"/>
      <c r="E43" s="7"/>
    </row>
    <row r="44" spans="1:5" x14ac:dyDescent="0.2">
      <c r="A44" s="2" t="s">
        <v>70</v>
      </c>
      <c r="B44" s="3"/>
      <c r="C44" s="26"/>
      <c r="D44" s="695"/>
      <c r="E44" s="7"/>
    </row>
    <row r="45" spans="1:5" x14ac:dyDescent="0.2">
      <c r="A45" s="302" t="s">
        <v>1967</v>
      </c>
      <c r="B45" s="3" t="s">
        <v>71</v>
      </c>
      <c r="C45" s="384">
        <v>1</v>
      </c>
      <c r="D45" s="722" t="s">
        <v>606</v>
      </c>
      <c r="E45" s="7"/>
    </row>
    <row r="46" spans="1:5" x14ac:dyDescent="0.2">
      <c r="A46" s="302" t="s">
        <v>1968</v>
      </c>
      <c r="B46" s="3" t="s">
        <v>72</v>
      </c>
      <c r="C46" s="384">
        <v>2</v>
      </c>
      <c r="D46" s="722" t="s">
        <v>606</v>
      </c>
      <c r="E46" s="7"/>
    </row>
    <row r="47" spans="1:5" x14ac:dyDescent="0.2">
      <c r="A47" s="5" t="s">
        <v>239</v>
      </c>
      <c r="B47" s="3" t="s">
        <v>240</v>
      </c>
      <c r="C47" s="206">
        <v>2</v>
      </c>
      <c r="D47" s="694" t="s">
        <v>3506</v>
      </c>
      <c r="E47" s="7"/>
    </row>
    <row r="48" spans="1:5" x14ac:dyDescent="0.2">
      <c r="A48" s="5" t="s">
        <v>241</v>
      </c>
      <c r="B48" s="3" t="s">
        <v>242</v>
      </c>
      <c r="C48" s="206">
        <v>10</v>
      </c>
      <c r="D48" s="694" t="s">
        <v>3506</v>
      </c>
      <c r="E48" s="7" t="s">
        <v>541</v>
      </c>
    </row>
    <row r="49" spans="1:5" x14ac:dyDescent="0.2">
      <c r="A49" s="5" t="s">
        <v>243</v>
      </c>
      <c r="B49" s="3" t="s">
        <v>244</v>
      </c>
      <c r="C49" s="206">
        <v>3</v>
      </c>
      <c r="D49" s="694" t="s">
        <v>3506</v>
      </c>
      <c r="E49" s="7" t="s">
        <v>541</v>
      </c>
    </row>
    <row r="50" spans="1:5" x14ac:dyDescent="0.2">
      <c r="A50" s="5" t="s">
        <v>245</v>
      </c>
      <c r="B50" s="3" t="s">
        <v>246</v>
      </c>
      <c r="C50" s="206">
        <v>30</v>
      </c>
      <c r="D50" s="694" t="s">
        <v>3506</v>
      </c>
      <c r="E50" s="7"/>
    </row>
    <row r="51" spans="1:5" x14ac:dyDescent="0.2">
      <c r="A51" s="5" t="s">
        <v>247</v>
      </c>
      <c r="B51" s="3" t="s">
        <v>248</v>
      </c>
      <c r="C51" s="206">
        <v>3</v>
      </c>
      <c r="D51" s="694" t="s">
        <v>3506</v>
      </c>
      <c r="E51" s="7"/>
    </row>
    <row r="52" spans="1:5" x14ac:dyDescent="0.2">
      <c r="A52" s="5" t="s">
        <v>249</v>
      </c>
      <c r="B52" s="3" t="s">
        <v>250</v>
      </c>
      <c r="C52" s="206">
        <v>30</v>
      </c>
      <c r="D52" s="694" t="s">
        <v>3506</v>
      </c>
      <c r="E52" s="7"/>
    </row>
    <row r="53" spans="1:5" x14ac:dyDescent="0.2">
      <c r="A53" s="5" t="s">
        <v>251</v>
      </c>
      <c r="B53" s="3" t="s">
        <v>252</v>
      </c>
      <c r="C53" s="206">
        <v>3</v>
      </c>
      <c r="D53" s="694" t="s">
        <v>3506</v>
      </c>
      <c r="E53" s="7"/>
    </row>
    <row r="54" spans="1:5" x14ac:dyDescent="0.2">
      <c r="A54" t="s">
        <v>253</v>
      </c>
      <c r="B54" s="3" t="s">
        <v>254</v>
      </c>
      <c r="C54" s="124">
        <v>5</v>
      </c>
      <c r="D54" s="721" t="s">
        <v>605</v>
      </c>
      <c r="E54" s="7" t="s">
        <v>1598</v>
      </c>
    </row>
    <row r="55" spans="1:5" x14ac:dyDescent="0.2">
      <c r="A55" t="s">
        <v>255</v>
      </c>
      <c r="B55" s="3" t="s">
        <v>256</v>
      </c>
      <c r="C55" s="124">
        <v>5</v>
      </c>
      <c r="D55" s="721" t="s">
        <v>605</v>
      </c>
      <c r="E55" s="7" t="s">
        <v>1598</v>
      </c>
    </row>
    <row r="56" spans="1:5" x14ac:dyDescent="0.2">
      <c r="A56" t="s">
        <v>1875</v>
      </c>
      <c r="B56" s="3" t="s">
        <v>1876</v>
      </c>
      <c r="C56" s="206">
        <v>15</v>
      </c>
      <c r="D56" s="694" t="s">
        <v>1876</v>
      </c>
      <c r="E56" s="7" t="s">
        <v>261</v>
      </c>
    </row>
    <row r="57" spans="1:5" x14ac:dyDescent="0.2">
      <c r="A57" t="s">
        <v>259</v>
      </c>
      <c r="B57" s="3" t="s">
        <v>260</v>
      </c>
      <c r="C57" s="206">
        <v>1</v>
      </c>
      <c r="D57" s="694" t="s">
        <v>3506</v>
      </c>
      <c r="E57" s="7" t="s">
        <v>261</v>
      </c>
    </row>
    <row r="58" spans="1:5" x14ac:dyDescent="0.2">
      <c r="A58" s="5" t="s">
        <v>262</v>
      </c>
      <c r="B58" s="3" t="s">
        <v>263</v>
      </c>
      <c r="C58" s="206">
        <v>4</v>
      </c>
      <c r="D58" s="694" t="s">
        <v>3506</v>
      </c>
      <c r="E58" s="7" t="s">
        <v>264</v>
      </c>
    </row>
    <row r="59" spans="1:5" x14ac:dyDescent="0.2">
      <c r="B59" s="3"/>
      <c r="C59" s="3"/>
      <c r="D59" s="721"/>
      <c r="E59" s="7"/>
    </row>
    <row r="60" spans="1:5" x14ac:dyDescent="0.2">
      <c r="A60" s="2" t="s">
        <v>93</v>
      </c>
      <c r="B60" s="3"/>
      <c r="C60" s="3"/>
      <c r="D60" s="721"/>
      <c r="E60" s="7"/>
    </row>
    <row r="61" spans="1:5" x14ac:dyDescent="0.2">
      <c r="A61" t="s">
        <v>2803</v>
      </c>
      <c r="B61" s="3" t="s">
        <v>2805</v>
      </c>
      <c r="C61" s="206">
        <v>8</v>
      </c>
      <c r="D61" s="694" t="s">
        <v>3563</v>
      </c>
      <c r="E61" s="7" t="s">
        <v>2953</v>
      </c>
    </row>
    <row r="62" spans="1:5" x14ac:dyDescent="0.2">
      <c r="A62" t="s">
        <v>2804</v>
      </c>
      <c r="B62" s="3" t="s">
        <v>2806</v>
      </c>
      <c r="C62" s="206">
        <v>6.5</v>
      </c>
      <c r="D62" s="694" t="s">
        <v>2807</v>
      </c>
      <c r="E62" s="7" t="s">
        <v>2953</v>
      </c>
    </row>
    <row r="63" spans="1:5" x14ac:dyDescent="0.2">
      <c r="A63" t="s">
        <v>92</v>
      </c>
      <c r="B63" s="3" t="s">
        <v>103</v>
      </c>
      <c r="C63" s="206">
        <v>6</v>
      </c>
      <c r="D63" s="694" t="s">
        <v>2447</v>
      </c>
      <c r="E63" s="7" t="s">
        <v>101</v>
      </c>
    </row>
    <row r="64" spans="1:5" x14ac:dyDescent="0.2">
      <c r="A64" t="s">
        <v>108</v>
      </c>
      <c r="B64" s="3" t="s">
        <v>109</v>
      </c>
      <c r="C64" s="545">
        <v>0.5</v>
      </c>
      <c r="E64" s="7"/>
    </row>
    <row r="65" spans="1:5" x14ac:dyDescent="0.2">
      <c r="A65" t="s">
        <v>94</v>
      </c>
      <c r="B65" s="543" t="s">
        <v>95</v>
      </c>
      <c r="C65" s="544">
        <v>1.19</v>
      </c>
      <c r="E65" s="7" t="s">
        <v>96</v>
      </c>
    </row>
    <row r="66" spans="1:5" x14ac:dyDescent="0.2">
      <c r="A66" t="s">
        <v>97</v>
      </c>
      <c r="B66" s="543" t="s">
        <v>98</v>
      </c>
      <c r="C66" s="545">
        <v>0.05</v>
      </c>
      <c r="E66" s="7" t="s">
        <v>99</v>
      </c>
    </row>
    <row r="67" spans="1:5" x14ac:dyDescent="0.2">
      <c r="A67" s="5" t="s">
        <v>156</v>
      </c>
      <c r="B67" s="3" t="s">
        <v>157</v>
      </c>
      <c r="C67" s="51">
        <v>1</v>
      </c>
      <c r="D67" s="694" t="s">
        <v>606</v>
      </c>
      <c r="E67" s="7"/>
    </row>
    <row r="68" spans="1:5" x14ac:dyDescent="0.2">
      <c r="A68" s="5" t="s">
        <v>2708</v>
      </c>
      <c r="B68" s="3" t="s">
        <v>168</v>
      </c>
      <c r="C68" s="51">
        <v>10</v>
      </c>
      <c r="D68" s="694" t="s">
        <v>3563</v>
      </c>
      <c r="E68" s="7" t="s">
        <v>170</v>
      </c>
    </row>
    <row r="69" spans="1:5" x14ac:dyDescent="0.2">
      <c r="A69" s="5" t="s">
        <v>2709</v>
      </c>
      <c r="B69" s="3" t="s">
        <v>175</v>
      </c>
      <c r="C69" s="51">
        <v>5</v>
      </c>
      <c r="D69" s="694" t="s">
        <v>3506</v>
      </c>
      <c r="E69" s="7"/>
    </row>
    <row r="70" spans="1:5" x14ac:dyDescent="0.2">
      <c r="A70" s="5" t="s">
        <v>2710</v>
      </c>
      <c r="B70" s="3" t="s">
        <v>169</v>
      </c>
      <c r="C70" s="51">
        <v>7</v>
      </c>
      <c r="D70" s="694" t="s">
        <v>3506</v>
      </c>
      <c r="E70" s="7" t="s">
        <v>170</v>
      </c>
    </row>
    <row r="71" spans="1:5" x14ac:dyDescent="0.2">
      <c r="A71" s="5" t="s">
        <v>2711</v>
      </c>
      <c r="B71" s="3" t="s">
        <v>176</v>
      </c>
      <c r="C71" s="51">
        <v>9</v>
      </c>
      <c r="D71" s="694" t="s">
        <v>3506</v>
      </c>
      <c r="E71" s="7"/>
    </row>
    <row r="72" spans="1:5" x14ac:dyDescent="0.2">
      <c r="A72" s="5" t="s">
        <v>3098</v>
      </c>
      <c r="B72" s="3" t="s">
        <v>3096</v>
      </c>
      <c r="C72" s="51">
        <v>1</v>
      </c>
      <c r="D72" s="694" t="s">
        <v>2764</v>
      </c>
      <c r="E72" s="7" t="s">
        <v>3095</v>
      </c>
    </row>
    <row r="73" spans="1:5" x14ac:dyDescent="0.2">
      <c r="A73" s="5" t="s">
        <v>3099</v>
      </c>
      <c r="B73" s="3" t="s">
        <v>3097</v>
      </c>
      <c r="C73" s="51">
        <v>10</v>
      </c>
      <c r="D73" s="694" t="s">
        <v>2764</v>
      </c>
      <c r="E73" s="7" t="s">
        <v>3095</v>
      </c>
    </row>
    <row r="74" spans="1:5" x14ac:dyDescent="0.2">
      <c r="A74" s="5" t="s">
        <v>3015</v>
      </c>
      <c r="B74" s="3" t="s">
        <v>1954</v>
      </c>
      <c r="C74" s="127">
        <v>1</v>
      </c>
      <c r="D74" s="694" t="s">
        <v>606</v>
      </c>
      <c r="E74" s="7" t="s">
        <v>1957</v>
      </c>
    </row>
    <row r="75" spans="1:5" x14ac:dyDescent="0.2">
      <c r="A75" s="5" t="s">
        <v>3016</v>
      </c>
      <c r="B75" s="3" t="s">
        <v>1955</v>
      </c>
      <c r="C75" s="127">
        <v>0</v>
      </c>
      <c r="D75" s="694" t="s">
        <v>606</v>
      </c>
      <c r="E75" s="7" t="s">
        <v>1956</v>
      </c>
    </row>
    <row r="76" spans="1:5" x14ac:dyDescent="0.2">
      <c r="A76" s="302" t="s">
        <v>3017</v>
      </c>
      <c r="B76" s="3" t="s">
        <v>1958</v>
      </c>
      <c r="C76" s="384">
        <v>1</v>
      </c>
      <c r="D76" s="722" t="s">
        <v>606</v>
      </c>
      <c r="E76" s="7"/>
    </row>
    <row r="77" spans="1:5" x14ac:dyDescent="0.2">
      <c r="A77" s="302" t="s">
        <v>3018</v>
      </c>
      <c r="B77" s="3" t="s">
        <v>1959</v>
      </c>
      <c r="C77" s="384">
        <v>2</v>
      </c>
      <c r="D77" s="722" t="s">
        <v>606</v>
      </c>
      <c r="E77" s="7"/>
    </row>
    <row r="78" spans="1:5" x14ac:dyDescent="0.2">
      <c r="A78" t="s">
        <v>1284</v>
      </c>
      <c r="B78" s="3" t="s">
        <v>172</v>
      </c>
      <c r="C78" s="548">
        <v>0.5</v>
      </c>
      <c r="E78" s="7"/>
    </row>
    <row r="79" spans="1:5" x14ac:dyDescent="0.2">
      <c r="A79" s="5" t="s">
        <v>239</v>
      </c>
      <c r="B79" s="3" t="s">
        <v>171</v>
      </c>
      <c r="C79" s="206">
        <v>2</v>
      </c>
      <c r="D79" s="694" t="s">
        <v>3506</v>
      </c>
      <c r="E79" s="7"/>
    </row>
    <row r="80" spans="1:5" x14ac:dyDescent="0.2">
      <c r="A80" s="5" t="s">
        <v>2700</v>
      </c>
      <c r="B80" s="543" t="s">
        <v>2701</v>
      </c>
      <c r="C80" s="650">
        <v>0.67</v>
      </c>
      <c r="E80" s="7" t="str">
        <f>IF(SUM(C80:C83)&lt;&gt;1,"WARNING: Total of fractions for each media type must sum to 1","Media fractions OK")</f>
        <v>Media fractions OK</v>
      </c>
    </row>
    <row r="81" spans="1:5" x14ac:dyDescent="0.2">
      <c r="A81" s="5" t="s">
        <v>2702</v>
      </c>
      <c r="B81" s="543" t="s">
        <v>2703</v>
      </c>
      <c r="C81" s="651">
        <v>0.33</v>
      </c>
      <c r="E81" s="7" t="str">
        <f>IF(AND(COUNTIF(C80:C83,".0")=0,COUNTIF(C80:C83,".0")&gt;3),"Number of different media used should be between 1 and 3.","Number of media used is OK.")</f>
        <v>Number of media used is OK.</v>
      </c>
    </row>
    <row r="82" spans="1:5" x14ac:dyDescent="0.2">
      <c r="A82" s="5" t="s">
        <v>2704</v>
      </c>
      <c r="B82" s="543" t="s">
        <v>2705</v>
      </c>
      <c r="C82" s="651">
        <v>0</v>
      </c>
      <c r="E82" s="7" t="str">
        <f>IF(COUNTIF(C80:C83,".0")=1,"Single",IF(COUNTIF(C80:C83,".0")=2,"Dual",IF(COUNTIF(C80:C83,".0")=3,"Triple","Error with ")))</f>
        <v>Dual</v>
      </c>
    </row>
    <row r="83" spans="1:5" x14ac:dyDescent="0.2">
      <c r="A83" s="5" t="s">
        <v>2706</v>
      </c>
      <c r="B83" s="543" t="s">
        <v>2707</v>
      </c>
      <c r="C83" s="652">
        <v>0</v>
      </c>
      <c r="E83" s="7"/>
    </row>
    <row r="84" spans="1:5" x14ac:dyDescent="0.2">
      <c r="A84" s="5" t="s">
        <v>2712</v>
      </c>
      <c r="B84" s="543" t="s">
        <v>2713</v>
      </c>
      <c r="C84" s="653">
        <v>50</v>
      </c>
      <c r="D84" s="694" t="s">
        <v>2714</v>
      </c>
      <c r="E84" s="7"/>
    </row>
    <row r="85" spans="1:5" x14ac:dyDescent="0.2">
      <c r="A85" s="5" t="s">
        <v>2715</v>
      </c>
      <c r="B85" s="543" t="s">
        <v>2716</v>
      </c>
      <c r="C85" s="653">
        <v>140</v>
      </c>
      <c r="D85" s="694" t="s">
        <v>2714</v>
      </c>
      <c r="E85" s="7" t="s">
        <v>3961</v>
      </c>
    </row>
    <row r="86" spans="1:5" x14ac:dyDescent="0.2">
      <c r="A86" s="5" t="s">
        <v>336</v>
      </c>
      <c r="B86" s="3" t="s">
        <v>335</v>
      </c>
      <c r="C86" s="51">
        <v>10</v>
      </c>
      <c r="D86" s="694" t="s">
        <v>2447</v>
      </c>
      <c r="E86" s="7" t="s">
        <v>1846</v>
      </c>
    </row>
    <row r="87" spans="1:5" x14ac:dyDescent="0.2">
      <c r="A87" s="694" t="s">
        <v>4190</v>
      </c>
      <c r="B87" s="3" t="s">
        <v>343</v>
      </c>
      <c r="C87" s="51">
        <v>11.85</v>
      </c>
      <c r="D87" s="694" t="s">
        <v>2888</v>
      </c>
      <c r="E87" s="7" t="s">
        <v>1846</v>
      </c>
    </row>
    <row r="88" spans="1:5" x14ac:dyDescent="0.2">
      <c r="A88" s="694" t="s">
        <v>4194</v>
      </c>
      <c r="B88" s="3" t="s">
        <v>4195</v>
      </c>
      <c r="C88" s="873">
        <v>0.4</v>
      </c>
      <c r="E88" s="7" t="s">
        <v>1846</v>
      </c>
    </row>
    <row r="89" spans="1:5" x14ac:dyDescent="0.2">
      <c r="A89" s="5" t="s">
        <v>346</v>
      </c>
      <c r="B89" s="3" t="s">
        <v>337</v>
      </c>
      <c r="C89" s="51">
        <v>60</v>
      </c>
      <c r="D89" s="694" t="s">
        <v>345</v>
      </c>
      <c r="E89" s="7" t="s">
        <v>344</v>
      </c>
    </row>
    <row r="90" spans="1:5" x14ac:dyDescent="0.2">
      <c r="A90" s="5" t="s">
        <v>359</v>
      </c>
      <c r="B90" s="3" t="s">
        <v>360</v>
      </c>
      <c r="C90" s="127">
        <v>0.25</v>
      </c>
      <c r="D90" s="694" t="s">
        <v>808</v>
      </c>
      <c r="E90" s="7"/>
    </row>
    <row r="91" spans="1:5" x14ac:dyDescent="0.2">
      <c r="A91" s="694" t="s">
        <v>4031</v>
      </c>
      <c r="B91" s="543" t="s">
        <v>4030</v>
      </c>
      <c r="C91" s="51">
        <f>1/3</f>
        <v>0.33333333333333331</v>
      </c>
      <c r="D91" s="694" t="s">
        <v>1694</v>
      </c>
      <c r="E91" s="7"/>
    </row>
    <row r="92" spans="1:5" x14ac:dyDescent="0.2">
      <c r="B92" s="3"/>
      <c r="C92" s="5"/>
      <c r="E92" s="7"/>
    </row>
    <row r="93" spans="1:5" x14ac:dyDescent="0.2">
      <c r="A93" s="2" t="s">
        <v>3618</v>
      </c>
      <c r="E93" s="7"/>
    </row>
    <row r="94" spans="1:5" x14ac:dyDescent="0.2">
      <c r="A94" t="s">
        <v>1249</v>
      </c>
      <c r="B94" s="3" t="s">
        <v>1250</v>
      </c>
      <c r="C94" s="185">
        <v>0.25</v>
      </c>
      <c r="E94" s="7"/>
    </row>
    <row r="95" spans="1:5" x14ac:dyDescent="0.2">
      <c r="A95" t="s">
        <v>2464</v>
      </c>
      <c r="B95" s="3" t="s">
        <v>2465</v>
      </c>
      <c r="C95" s="200">
        <v>0</v>
      </c>
      <c r="D95" s="694" t="s">
        <v>611</v>
      </c>
      <c r="E95" s="7" t="s">
        <v>3508</v>
      </c>
    </row>
    <row r="96" spans="1:5" x14ac:dyDescent="0.2">
      <c r="A96" t="s">
        <v>2466</v>
      </c>
      <c r="B96" s="3" t="s">
        <v>2467</v>
      </c>
      <c r="C96" s="51">
        <v>1</v>
      </c>
      <c r="D96" s="694" t="s">
        <v>2470</v>
      </c>
      <c r="E96" s="7"/>
    </row>
    <row r="97" spans="1:5" x14ac:dyDescent="0.2">
      <c r="A97" s="5" t="s">
        <v>2412</v>
      </c>
      <c r="B97" s="3" t="s">
        <v>2413</v>
      </c>
      <c r="C97" s="51">
        <v>1</v>
      </c>
      <c r="D97" s="694" t="s">
        <v>2470</v>
      </c>
      <c r="E97" s="7"/>
    </row>
    <row r="98" spans="1:5" ht="12.75" customHeight="1" x14ac:dyDescent="0.2">
      <c r="A98" t="s">
        <v>1758</v>
      </c>
      <c r="B98" s="3" t="s">
        <v>1759</v>
      </c>
      <c r="C98" s="200">
        <v>1</v>
      </c>
      <c r="D98" s="694" t="s">
        <v>611</v>
      </c>
      <c r="E98" s="7"/>
    </row>
    <row r="99" spans="1:5" ht="12.75" customHeight="1" x14ac:dyDescent="0.2">
      <c r="A99" s="694" t="s">
        <v>4035</v>
      </c>
      <c r="B99" s="3" t="s">
        <v>4036</v>
      </c>
      <c r="C99" s="824">
        <v>0.13</v>
      </c>
      <c r="D99" s="694" t="s">
        <v>3747</v>
      </c>
      <c r="E99" s="725" t="s">
        <v>4037</v>
      </c>
    </row>
    <row r="100" spans="1:5" x14ac:dyDescent="0.2">
      <c r="E100" s="7"/>
    </row>
    <row r="101" spans="1:5" ht="12.75" customHeight="1" x14ac:dyDescent="0.2">
      <c r="A101" s="46" t="s">
        <v>4026</v>
      </c>
      <c r="B101" s="3"/>
      <c r="E101" s="7"/>
    </row>
    <row r="102" spans="1:5" ht="12.75" customHeight="1" x14ac:dyDescent="0.2">
      <c r="A102" t="s">
        <v>273</v>
      </c>
      <c r="B102" s="3" t="s">
        <v>277</v>
      </c>
      <c r="C102" s="812">
        <v>8.42</v>
      </c>
      <c r="D102" s="694" t="s">
        <v>1804</v>
      </c>
      <c r="E102" s="7" t="s">
        <v>3974</v>
      </c>
    </row>
    <row r="103" spans="1:5" ht="12.75" customHeight="1" x14ac:dyDescent="0.2">
      <c r="A103" t="s">
        <v>3975</v>
      </c>
      <c r="B103" s="3" t="s">
        <v>3976</v>
      </c>
      <c r="C103" s="185">
        <v>0.2</v>
      </c>
      <c r="D103" s="694" t="s">
        <v>3977</v>
      </c>
      <c r="E103" s="7"/>
    </row>
    <row r="104" spans="1:5" ht="12.75" customHeight="1" x14ac:dyDescent="0.2">
      <c r="A104" s="505" t="s">
        <v>274</v>
      </c>
      <c r="B104" s="3" t="s">
        <v>276</v>
      </c>
      <c r="C104" s="324">
        <v>6.58</v>
      </c>
      <c r="D104" s="694" t="s">
        <v>1804</v>
      </c>
      <c r="E104" s="7" t="s">
        <v>275</v>
      </c>
    </row>
    <row r="105" spans="1:5" ht="12.75" customHeight="1" x14ac:dyDescent="0.2">
      <c r="A105" t="s">
        <v>278</v>
      </c>
      <c r="B105" s="3" t="s">
        <v>1792</v>
      </c>
      <c r="C105" s="887">
        <v>11.813000000000001</v>
      </c>
      <c r="D105" s="694" t="s">
        <v>1804</v>
      </c>
      <c r="E105" s="7" t="s">
        <v>4380</v>
      </c>
    </row>
    <row r="106" spans="1:5" ht="12.75" customHeight="1" x14ac:dyDescent="0.2">
      <c r="A106" s="694" t="s">
        <v>4382</v>
      </c>
      <c r="B106" s="3" t="s">
        <v>4383</v>
      </c>
      <c r="C106" s="813">
        <v>0.75</v>
      </c>
      <c r="E106" s="7" t="s">
        <v>4384</v>
      </c>
    </row>
    <row r="107" spans="1:5" ht="12.75" customHeight="1" x14ac:dyDescent="0.2">
      <c r="B107" s="3"/>
      <c r="E107" s="7"/>
    </row>
    <row r="108" spans="1:5" x14ac:dyDescent="0.2">
      <c r="A108" s="2" t="s">
        <v>587</v>
      </c>
      <c r="E108" s="7"/>
    </row>
    <row r="109" spans="1:5" x14ac:dyDescent="0.2">
      <c r="A109" s="5" t="s">
        <v>1925</v>
      </c>
      <c r="B109" s="3" t="s">
        <v>2762</v>
      </c>
      <c r="C109" s="164">
        <v>8</v>
      </c>
      <c r="D109" s="694" t="s">
        <v>2764</v>
      </c>
      <c r="E109" s="7" t="s">
        <v>2402</v>
      </c>
    </row>
    <row r="110" spans="1:5" x14ac:dyDescent="0.2">
      <c r="A110" s="5" t="s">
        <v>1926</v>
      </c>
      <c r="B110" s="3" t="s">
        <v>2763</v>
      </c>
      <c r="C110" s="164">
        <v>10</v>
      </c>
      <c r="D110" s="694" t="s">
        <v>604</v>
      </c>
      <c r="E110" s="7"/>
    </row>
    <row r="111" spans="1:5" x14ac:dyDescent="0.2">
      <c r="A111" s="5" t="s">
        <v>1927</v>
      </c>
      <c r="B111" s="3" t="s">
        <v>1930</v>
      </c>
      <c r="C111" s="164">
        <v>15</v>
      </c>
      <c r="D111" s="694" t="s">
        <v>2764</v>
      </c>
      <c r="E111" s="7"/>
    </row>
    <row r="112" spans="1:5" x14ac:dyDescent="0.2">
      <c r="A112" s="5" t="s">
        <v>1928</v>
      </c>
      <c r="B112" s="3" t="s">
        <v>1929</v>
      </c>
      <c r="C112" s="164">
        <v>7</v>
      </c>
      <c r="D112" s="694" t="s">
        <v>604</v>
      </c>
      <c r="E112" s="7"/>
    </row>
    <row r="113" spans="1:5" x14ac:dyDescent="0.2">
      <c r="A113" s="5" t="s">
        <v>1951</v>
      </c>
      <c r="B113" s="3" t="s">
        <v>1170</v>
      </c>
      <c r="C113" s="363">
        <v>0.1</v>
      </c>
      <c r="D113" s="694" t="s">
        <v>1267</v>
      </c>
      <c r="E113" s="7" t="s">
        <v>1952</v>
      </c>
    </row>
    <row r="114" spans="1:5" x14ac:dyDescent="0.2">
      <c r="A114" s="5" t="s">
        <v>1981</v>
      </c>
      <c r="B114" s="3" t="s">
        <v>1953</v>
      </c>
      <c r="C114" s="363">
        <v>0.1</v>
      </c>
      <c r="D114" s="694" t="s">
        <v>1267</v>
      </c>
      <c r="E114" s="7" t="s">
        <v>1169</v>
      </c>
    </row>
    <row r="115" spans="1:5" x14ac:dyDescent="0.2">
      <c r="A115" s="5" t="s">
        <v>1946</v>
      </c>
      <c r="B115" s="3" t="s">
        <v>1947</v>
      </c>
      <c r="C115" s="363">
        <v>0.05</v>
      </c>
      <c r="D115" s="694" t="s">
        <v>1267</v>
      </c>
      <c r="E115" s="7"/>
    </row>
    <row r="116" spans="1:5" x14ac:dyDescent="0.2">
      <c r="A116" s="694" t="s">
        <v>3909</v>
      </c>
      <c r="B116" s="3" t="s">
        <v>3435</v>
      </c>
      <c r="C116" s="184">
        <v>4</v>
      </c>
      <c r="D116" s="694" t="s">
        <v>3436</v>
      </c>
      <c r="E116" s="7"/>
    </row>
    <row r="117" spans="1:5" x14ac:dyDescent="0.2">
      <c r="A117" s="694" t="s">
        <v>3910</v>
      </c>
      <c r="B117" s="3" t="s">
        <v>3911</v>
      </c>
      <c r="C117" s="184">
        <v>5</v>
      </c>
      <c r="D117" s="694" t="s">
        <v>604</v>
      </c>
      <c r="E117" s="7"/>
    </row>
    <row r="118" spans="1:5" x14ac:dyDescent="0.2">
      <c r="A118" t="s">
        <v>532</v>
      </c>
      <c r="B118" s="3" t="s">
        <v>533</v>
      </c>
      <c r="C118" s="184">
        <v>1</v>
      </c>
      <c r="D118" s="694" t="s">
        <v>606</v>
      </c>
      <c r="E118" s="7"/>
    </row>
    <row r="119" spans="1:5" x14ac:dyDescent="0.2">
      <c r="B119" s="3"/>
      <c r="C119" s="157"/>
      <c r="E119" s="7"/>
    </row>
    <row r="120" spans="1:5" x14ac:dyDescent="0.2">
      <c r="A120" s="2" t="s">
        <v>4025</v>
      </c>
      <c r="B120" s="3"/>
      <c r="C120" s="157"/>
      <c r="E120" s="7"/>
    </row>
    <row r="121" spans="1:5" x14ac:dyDescent="0.2">
      <c r="A121" s="694" t="s">
        <v>4024</v>
      </c>
      <c r="B121" s="3" t="s">
        <v>102</v>
      </c>
      <c r="C121" s="51">
        <v>7</v>
      </c>
      <c r="D121" s="694" t="s">
        <v>2592</v>
      </c>
      <c r="E121" s="7" t="s">
        <v>100</v>
      </c>
    </row>
    <row r="122" spans="1:5" x14ac:dyDescent="0.2">
      <c r="A122" s="721" t="s">
        <v>4027</v>
      </c>
      <c r="B122" s="3" t="s">
        <v>1795</v>
      </c>
      <c r="C122" s="184">
        <v>30</v>
      </c>
      <c r="D122" s="694" t="s">
        <v>2592</v>
      </c>
      <c r="E122" s="7" t="s">
        <v>2951</v>
      </c>
    </row>
    <row r="123" spans="1:5" x14ac:dyDescent="0.2">
      <c r="A123" t="s">
        <v>1992</v>
      </c>
      <c r="B123" s="3" t="s">
        <v>1993</v>
      </c>
      <c r="C123" s="51">
        <v>5</v>
      </c>
      <c r="D123" s="694" t="s">
        <v>1332</v>
      </c>
      <c r="E123" s="7"/>
    </row>
    <row r="124" spans="1:5" x14ac:dyDescent="0.2">
      <c r="A124" s="694" t="s">
        <v>4033</v>
      </c>
      <c r="B124" s="3" t="s">
        <v>4034</v>
      </c>
      <c r="C124" s="824">
        <v>0</v>
      </c>
      <c r="D124" s="694" t="s">
        <v>3321</v>
      </c>
      <c r="E124" s="7"/>
    </row>
    <row r="125" spans="1:5" x14ac:dyDescent="0.2">
      <c r="A125" t="s">
        <v>1994</v>
      </c>
      <c r="B125" s="543" t="s">
        <v>1995</v>
      </c>
      <c r="C125" s="51">
        <v>0.25</v>
      </c>
      <c r="D125" s="694" t="s">
        <v>1996</v>
      </c>
      <c r="E125" s="7"/>
    </row>
    <row r="126" spans="1:5" x14ac:dyDescent="0.2">
      <c r="A126" s="694" t="s">
        <v>4028</v>
      </c>
      <c r="B126" s="543" t="s">
        <v>4029</v>
      </c>
      <c r="C126" s="51">
        <f>1/3</f>
        <v>0.33333333333333331</v>
      </c>
      <c r="D126" s="694" t="s">
        <v>1694</v>
      </c>
      <c r="E126" s="7"/>
    </row>
    <row r="127" spans="1:5" x14ac:dyDescent="0.2">
      <c r="A127" s="694"/>
      <c r="B127" s="543"/>
      <c r="E127" s="7"/>
    </row>
    <row r="128" spans="1:5" x14ac:dyDescent="0.2">
      <c r="A128" s="2" t="s">
        <v>4043</v>
      </c>
      <c r="B128" s="3"/>
      <c r="C128" s="838"/>
      <c r="E128" s="7"/>
    </row>
    <row r="129" spans="1:5" x14ac:dyDescent="0.2">
      <c r="A129" s="694" t="s">
        <v>4044</v>
      </c>
      <c r="B129" s="3" t="s">
        <v>4045</v>
      </c>
      <c r="C129" s="824">
        <v>1</v>
      </c>
      <c r="D129" s="694" t="s">
        <v>3321</v>
      </c>
    </row>
    <row r="130" spans="1:5" x14ac:dyDescent="0.2">
      <c r="A130" s="694" t="s">
        <v>4046</v>
      </c>
      <c r="B130" s="3" t="s">
        <v>4047</v>
      </c>
      <c r="C130" s="839">
        <v>1.1000000000000001</v>
      </c>
    </row>
    <row r="131" spans="1:5" x14ac:dyDescent="0.2">
      <c r="A131" s="694" t="s">
        <v>4048</v>
      </c>
      <c r="B131" s="3" t="s">
        <v>4049</v>
      </c>
      <c r="C131" s="839">
        <v>0.1</v>
      </c>
    </row>
    <row r="132" spans="1:5" x14ac:dyDescent="0.2">
      <c r="A132" s="694" t="s">
        <v>4050</v>
      </c>
      <c r="B132" s="3" t="s">
        <v>4051</v>
      </c>
      <c r="C132" s="840">
        <v>6</v>
      </c>
      <c r="D132" s="694" t="s">
        <v>1253</v>
      </c>
      <c r="E132" s="725" t="s">
        <v>4052</v>
      </c>
    </row>
    <row r="133" spans="1:5" x14ac:dyDescent="0.2">
      <c r="A133" s="694" t="s">
        <v>4053</v>
      </c>
      <c r="B133" s="3" t="s">
        <v>4054</v>
      </c>
      <c r="C133" s="127">
        <v>1</v>
      </c>
      <c r="D133" s="694" t="s">
        <v>4055</v>
      </c>
      <c r="E133" s="725" t="s">
        <v>4056</v>
      </c>
    </row>
    <row r="134" spans="1:5" x14ac:dyDescent="0.2">
      <c r="A134" s="694" t="s">
        <v>4057</v>
      </c>
      <c r="B134" s="3" t="s">
        <v>4058</v>
      </c>
      <c r="C134" s="127">
        <v>125</v>
      </c>
      <c r="D134" s="694" t="s">
        <v>4059</v>
      </c>
      <c r="E134" s="725"/>
    </row>
    <row r="135" spans="1:5" x14ac:dyDescent="0.2">
      <c r="A135" s="694"/>
      <c r="B135" s="3"/>
      <c r="C135" s="157"/>
      <c r="E135" s="725"/>
    </row>
    <row r="136" spans="1:5" x14ac:dyDescent="0.2">
      <c r="A136" s="2" t="s">
        <v>4439</v>
      </c>
      <c r="B136" s="3"/>
      <c r="C136" s="694"/>
      <c r="E136" s="725"/>
    </row>
    <row r="137" spans="1:5" x14ac:dyDescent="0.2">
      <c r="A137" s="694" t="s">
        <v>4440</v>
      </c>
      <c r="B137" s="3" t="s">
        <v>4441</v>
      </c>
      <c r="C137" s="477">
        <v>2</v>
      </c>
      <c r="D137" s="694" t="s">
        <v>4442</v>
      </c>
      <c r="E137" s="725"/>
    </row>
    <row r="138" spans="1:5" x14ac:dyDescent="0.2">
      <c r="A138" s="694" t="s">
        <v>4443</v>
      </c>
      <c r="B138" s="3" t="s">
        <v>4444</v>
      </c>
      <c r="C138" s="477">
        <v>2</v>
      </c>
      <c r="D138" s="694" t="s">
        <v>4442</v>
      </c>
      <c r="E138" s="725"/>
    </row>
    <row r="139" spans="1:5" x14ac:dyDescent="0.2">
      <c r="A139" s="694" t="s">
        <v>4459</v>
      </c>
      <c r="B139" s="3" t="s">
        <v>4460</v>
      </c>
      <c r="C139" s="477">
        <v>2.5</v>
      </c>
      <c r="D139" s="694" t="s">
        <v>4442</v>
      </c>
      <c r="E139" s="725"/>
    </row>
    <row r="140" spans="1:5" x14ac:dyDescent="0.2">
      <c r="A140" s="694" t="s">
        <v>4445</v>
      </c>
      <c r="B140" s="3" t="s">
        <v>4446</v>
      </c>
      <c r="C140" s="477">
        <v>2.5</v>
      </c>
      <c r="D140" s="694" t="s">
        <v>4442</v>
      </c>
      <c r="E140" s="725"/>
    </row>
    <row r="141" spans="1:5" x14ac:dyDescent="0.2">
      <c r="A141" s="694" t="s">
        <v>4462</v>
      </c>
      <c r="B141" s="3" t="s">
        <v>4461</v>
      </c>
      <c r="C141" s="477">
        <v>1</v>
      </c>
      <c r="D141" s="694" t="s">
        <v>4442</v>
      </c>
      <c r="E141" s="725"/>
    </row>
    <row r="142" spans="1:5" x14ac:dyDescent="0.2">
      <c r="A142" s="694" t="s">
        <v>4447</v>
      </c>
      <c r="B142" s="3" t="s">
        <v>4448</v>
      </c>
      <c r="C142" s="477">
        <v>1</v>
      </c>
      <c r="D142" s="694" t="s">
        <v>4442</v>
      </c>
      <c r="E142" s="725"/>
    </row>
    <row r="143" spans="1:5" x14ac:dyDescent="0.2">
      <c r="B143" s="3"/>
      <c r="C143" s="157"/>
      <c r="E143" s="7"/>
    </row>
    <row r="144" spans="1:5" x14ac:dyDescent="0.2">
      <c r="A144" s="46" t="s">
        <v>3639</v>
      </c>
      <c r="E144" s="7"/>
    </row>
    <row r="145" spans="1:5" ht="12.75" customHeight="1" x14ac:dyDescent="0.2">
      <c r="A145" s="592" t="s">
        <v>3849</v>
      </c>
      <c r="E145" s="7"/>
    </row>
    <row r="146" spans="1:5" ht="12.75" customHeight="1" x14ac:dyDescent="0.2">
      <c r="A146" t="s">
        <v>4415</v>
      </c>
      <c r="B146" s="3" t="s">
        <v>3192</v>
      </c>
      <c r="C146" s="51">
        <v>2</v>
      </c>
      <c r="D146" s="694" t="s">
        <v>2767</v>
      </c>
      <c r="E146" s="7" t="s">
        <v>1594</v>
      </c>
    </row>
    <row r="147" spans="1:5" ht="12.75" customHeight="1" x14ac:dyDescent="0.2">
      <c r="A147" t="s">
        <v>3509</v>
      </c>
      <c r="B147" s="3" t="s">
        <v>3510</v>
      </c>
      <c r="C147" s="51">
        <v>1</v>
      </c>
      <c r="D147" s="694" t="s">
        <v>3511</v>
      </c>
      <c r="E147" s="7" t="s">
        <v>3512</v>
      </c>
    </row>
    <row r="148" spans="1:5" ht="12.75" customHeight="1" x14ac:dyDescent="0.2">
      <c r="B148" s="3"/>
      <c r="E148" s="7"/>
    </row>
    <row r="149" spans="1:5" ht="12.75" customHeight="1" x14ac:dyDescent="0.2">
      <c r="A149" t="s">
        <v>1600</v>
      </c>
      <c r="B149" s="3" t="s">
        <v>1601</v>
      </c>
      <c r="C149" s="127">
        <v>1</v>
      </c>
      <c r="D149" s="694" t="s">
        <v>2767</v>
      </c>
      <c r="E149" s="7"/>
    </row>
    <row r="150" spans="1:5" ht="12.75" customHeight="1" x14ac:dyDescent="0.2">
      <c r="A150" t="s">
        <v>3325</v>
      </c>
      <c r="B150" s="3" t="s">
        <v>3326</v>
      </c>
      <c r="C150" s="51">
        <v>1</v>
      </c>
      <c r="D150" s="694" t="s">
        <v>3644</v>
      </c>
      <c r="E150" s="7"/>
    </row>
    <row r="151" spans="1:5" x14ac:dyDescent="0.2">
      <c r="A151" t="s">
        <v>1221</v>
      </c>
      <c r="B151" s="3" t="s">
        <v>1844</v>
      </c>
      <c r="C151" s="51">
        <v>2</v>
      </c>
      <c r="D151" s="694" t="s">
        <v>3644</v>
      </c>
      <c r="E151" s="7"/>
    </row>
    <row r="152" spans="1:5" ht="12.75" customHeight="1" x14ac:dyDescent="0.2">
      <c r="A152" t="s">
        <v>3518</v>
      </c>
      <c r="B152" s="3" t="s">
        <v>3519</v>
      </c>
      <c r="C152" s="51">
        <v>1</v>
      </c>
      <c r="D152" s="694" t="s">
        <v>2767</v>
      </c>
      <c r="E152" s="7"/>
    </row>
    <row r="153" spans="1:5" ht="12.75" customHeight="1" x14ac:dyDescent="0.2">
      <c r="A153" t="s">
        <v>2420</v>
      </c>
      <c r="B153" s="3" t="s">
        <v>2422</v>
      </c>
      <c r="C153" s="51">
        <v>1</v>
      </c>
      <c r="D153" s="694" t="s">
        <v>2767</v>
      </c>
      <c r="E153" s="7" t="s">
        <v>2421</v>
      </c>
    </row>
    <row r="154" spans="1:5" ht="12.75" customHeight="1" x14ac:dyDescent="0.2">
      <c r="A154" s="694" t="s">
        <v>4196</v>
      </c>
      <c r="B154" s="3" t="s">
        <v>4197</v>
      </c>
      <c r="C154" s="477">
        <v>1</v>
      </c>
      <c r="D154" s="694" t="s">
        <v>3644</v>
      </c>
      <c r="E154" s="7" t="s">
        <v>4198</v>
      </c>
    </row>
    <row r="155" spans="1:5" ht="12.75" customHeight="1" x14ac:dyDescent="0.2">
      <c r="A155" t="s">
        <v>742</v>
      </c>
      <c r="B155" s="3" t="s">
        <v>743</v>
      </c>
      <c r="C155" s="51">
        <v>1</v>
      </c>
      <c r="D155" s="694" t="s">
        <v>3644</v>
      </c>
      <c r="E155" s="7" t="s">
        <v>744</v>
      </c>
    </row>
    <row r="156" spans="1:5" ht="12.75" customHeight="1" x14ac:dyDescent="0.2">
      <c r="A156" t="s">
        <v>3472</v>
      </c>
      <c r="B156" s="3" t="s">
        <v>3473</v>
      </c>
      <c r="C156" s="51">
        <v>1</v>
      </c>
      <c r="D156" s="694" t="s">
        <v>2767</v>
      </c>
      <c r="E156" s="7"/>
    </row>
    <row r="157" spans="1:5" ht="12.75" customHeight="1" x14ac:dyDescent="0.2">
      <c r="A157" s="6"/>
      <c r="B157" s="3"/>
      <c r="E157" s="7"/>
    </row>
    <row r="158" spans="1:5" ht="12.75" customHeight="1" x14ac:dyDescent="0.2">
      <c r="A158" t="s">
        <v>4414</v>
      </c>
      <c r="B158" s="3" t="s">
        <v>3327</v>
      </c>
      <c r="C158" s="51">
        <v>1</v>
      </c>
      <c r="D158" s="694" t="s">
        <v>606</v>
      </c>
      <c r="E158" s="7" t="s">
        <v>3328</v>
      </c>
    </row>
    <row r="159" spans="1:5" ht="12.75" customHeight="1" x14ac:dyDescent="0.2">
      <c r="A159" t="s">
        <v>3479</v>
      </c>
      <c r="B159" s="3" t="s">
        <v>3329</v>
      </c>
      <c r="C159" s="51">
        <v>0</v>
      </c>
      <c r="D159" s="694" t="s">
        <v>3334</v>
      </c>
      <c r="E159" s="7"/>
    </row>
    <row r="160" spans="1:5" ht="12.75" customHeight="1" x14ac:dyDescent="0.2">
      <c r="A160" t="s">
        <v>3480</v>
      </c>
      <c r="B160" s="3" t="s">
        <v>399</v>
      </c>
      <c r="C160" s="51">
        <v>1</v>
      </c>
      <c r="D160" s="694" t="s">
        <v>606</v>
      </c>
      <c r="E160" s="7" t="s">
        <v>3481</v>
      </c>
    </row>
    <row r="161" spans="1:5" x14ac:dyDescent="0.2">
      <c r="A161" t="s">
        <v>835</v>
      </c>
      <c r="B161" s="3" t="s">
        <v>836</v>
      </c>
      <c r="C161" s="51">
        <v>0</v>
      </c>
      <c r="D161" s="694" t="s">
        <v>3334</v>
      </c>
      <c r="E161" s="7"/>
    </row>
    <row r="162" spans="1:5" ht="12.75" customHeight="1" x14ac:dyDescent="0.2">
      <c r="A162" t="s">
        <v>3261</v>
      </c>
      <c r="B162" s="3" t="s">
        <v>2149</v>
      </c>
      <c r="C162" s="164">
        <v>0</v>
      </c>
      <c r="D162" s="694" t="s">
        <v>3334</v>
      </c>
      <c r="E162" s="7"/>
    </row>
    <row r="163" spans="1:5" x14ac:dyDescent="0.2">
      <c r="A163" t="s">
        <v>1972</v>
      </c>
      <c r="B163" s="3" t="s">
        <v>1867</v>
      </c>
      <c r="C163" s="206">
        <v>1</v>
      </c>
      <c r="D163" s="694" t="s">
        <v>1866</v>
      </c>
      <c r="E163" s="7"/>
    </row>
    <row r="164" spans="1:5" x14ac:dyDescent="0.2">
      <c r="A164" t="s">
        <v>1973</v>
      </c>
      <c r="B164" s="3" t="s">
        <v>1868</v>
      </c>
      <c r="C164" s="347">
        <v>0</v>
      </c>
      <c r="D164" s="694" t="s">
        <v>1866</v>
      </c>
      <c r="E164" s="7"/>
    </row>
    <row r="165" spans="1:5" x14ac:dyDescent="0.2">
      <c r="A165" t="s">
        <v>2688</v>
      </c>
      <c r="B165" s="3" t="s">
        <v>2689</v>
      </c>
      <c r="C165" s="51">
        <v>1</v>
      </c>
      <c r="D165" s="694" t="s">
        <v>3334</v>
      </c>
      <c r="E165" s="7"/>
    </row>
    <row r="166" spans="1:5" x14ac:dyDescent="0.2">
      <c r="A166" t="s">
        <v>1845</v>
      </c>
      <c r="B166" s="3" t="s">
        <v>2023</v>
      </c>
      <c r="C166" s="51">
        <v>1</v>
      </c>
      <c r="D166" s="694" t="s">
        <v>3334</v>
      </c>
      <c r="E166" s="7"/>
    </row>
    <row r="167" spans="1:5" x14ac:dyDescent="0.2">
      <c r="A167" t="s">
        <v>3715</v>
      </c>
      <c r="B167" s="3" t="s">
        <v>3716</v>
      </c>
      <c r="C167" s="51">
        <v>2</v>
      </c>
      <c r="D167" s="694" t="s">
        <v>606</v>
      </c>
      <c r="E167" s="7" t="s">
        <v>4457</v>
      </c>
    </row>
    <row r="168" spans="1:5" x14ac:dyDescent="0.2">
      <c r="A168" t="s">
        <v>3482</v>
      </c>
      <c r="B168" s="3" t="s">
        <v>3483</v>
      </c>
      <c r="C168" s="51">
        <v>0</v>
      </c>
      <c r="D168" s="694" t="s">
        <v>606</v>
      </c>
      <c r="E168" s="7"/>
    </row>
    <row r="169" spans="1:5" x14ac:dyDescent="0.2">
      <c r="A169" t="s">
        <v>3330</v>
      </c>
      <c r="B169" s="3" t="s">
        <v>3331</v>
      </c>
      <c r="C169" s="51">
        <v>2</v>
      </c>
      <c r="D169" s="694" t="s">
        <v>606</v>
      </c>
      <c r="E169" s="7" t="s">
        <v>4453</v>
      </c>
    </row>
    <row r="170" spans="1:5" ht="12.75" customHeight="1" x14ac:dyDescent="0.2">
      <c r="A170" t="s">
        <v>2536</v>
      </c>
      <c r="B170" s="3" t="s">
        <v>2148</v>
      </c>
      <c r="C170" s="164">
        <v>2</v>
      </c>
      <c r="D170" s="694" t="s">
        <v>606</v>
      </c>
      <c r="E170" s="7" t="s">
        <v>4453</v>
      </c>
    </row>
    <row r="171" spans="1:5" x14ac:dyDescent="0.2">
      <c r="A171" t="s">
        <v>3468</v>
      </c>
      <c r="B171" s="3" t="s">
        <v>3469</v>
      </c>
      <c r="C171" s="164">
        <v>1</v>
      </c>
      <c r="D171" s="694" t="s">
        <v>3334</v>
      </c>
      <c r="E171" s="7" t="s">
        <v>4454</v>
      </c>
    </row>
    <row r="172" spans="1:5" x14ac:dyDescent="0.2">
      <c r="A172" t="s">
        <v>1974</v>
      </c>
      <c r="B172" s="3" t="s">
        <v>1865</v>
      </c>
      <c r="C172" s="51">
        <v>1</v>
      </c>
      <c r="D172" s="694" t="s">
        <v>1866</v>
      </c>
      <c r="E172" s="7"/>
    </row>
    <row r="173" spans="1:5" x14ac:dyDescent="0.2">
      <c r="A173" t="s">
        <v>203</v>
      </c>
      <c r="B173" s="3" t="s">
        <v>202</v>
      </c>
      <c r="C173" s="51">
        <v>1</v>
      </c>
      <c r="D173" s="694" t="s">
        <v>1866</v>
      </c>
      <c r="E173" s="7" t="s">
        <v>4454</v>
      </c>
    </row>
    <row r="174" spans="1:5" x14ac:dyDescent="0.2">
      <c r="A174" t="s">
        <v>3470</v>
      </c>
      <c r="B174" s="3" t="s">
        <v>3471</v>
      </c>
      <c r="C174" s="51">
        <v>0</v>
      </c>
      <c r="D174" s="694" t="s">
        <v>606</v>
      </c>
      <c r="E174" s="7"/>
    </row>
    <row r="175" spans="1:5" x14ac:dyDescent="0.2">
      <c r="A175" t="s">
        <v>3332</v>
      </c>
      <c r="B175" s="3" t="s">
        <v>3333</v>
      </c>
      <c r="C175" s="51">
        <v>1</v>
      </c>
      <c r="D175" s="694" t="s">
        <v>3334</v>
      </c>
      <c r="E175" s="7"/>
    </row>
    <row r="176" spans="1:5" x14ac:dyDescent="0.2">
      <c r="A176" s="694" t="s">
        <v>3819</v>
      </c>
      <c r="B176" s="3" t="s">
        <v>2423</v>
      </c>
      <c r="C176" s="51">
        <v>1</v>
      </c>
      <c r="D176" s="694" t="s">
        <v>606</v>
      </c>
      <c r="E176" s="7"/>
    </row>
    <row r="177" spans="1:5" x14ac:dyDescent="0.2">
      <c r="A177" s="694" t="s">
        <v>3818</v>
      </c>
      <c r="B177" s="3" t="s">
        <v>3820</v>
      </c>
      <c r="C177" s="51">
        <v>1</v>
      </c>
      <c r="D177" s="694" t="s">
        <v>606</v>
      </c>
      <c r="E177" s="7"/>
    </row>
    <row r="178" spans="1:5" x14ac:dyDescent="0.2">
      <c r="A178" t="s">
        <v>2424</v>
      </c>
      <c r="B178" s="3" t="s">
        <v>2425</v>
      </c>
      <c r="C178" s="51">
        <v>1</v>
      </c>
      <c r="D178" s="694" t="s">
        <v>606</v>
      </c>
      <c r="E178" s="7"/>
    </row>
    <row r="179" spans="1:5" x14ac:dyDescent="0.2">
      <c r="A179" t="s">
        <v>3338</v>
      </c>
      <c r="B179" s="3" t="s">
        <v>3335</v>
      </c>
      <c r="C179" s="51">
        <v>1</v>
      </c>
      <c r="D179" s="694" t="s">
        <v>3334</v>
      </c>
      <c r="E179" s="7"/>
    </row>
    <row r="180" spans="1:5" x14ac:dyDescent="0.2">
      <c r="A180" t="s">
        <v>4455</v>
      </c>
      <c r="B180" s="3" t="s">
        <v>3336</v>
      </c>
      <c r="C180" s="51">
        <v>1</v>
      </c>
      <c r="D180" s="694" t="s">
        <v>606</v>
      </c>
      <c r="E180" s="7"/>
    </row>
    <row r="181" spans="1:5" x14ac:dyDescent="0.2">
      <c r="A181" t="s">
        <v>1351</v>
      </c>
      <c r="B181" s="3" t="s">
        <v>1352</v>
      </c>
      <c r="C181" s="51">
        <v>3</v>
      </c>
      <c r="D181" s="694" t="s">
        <v>606</v>
      </c>
      <c r="E181" s="7" t="s">
        <v>4456</v>
      </c>
    </row>
    <row r="182" spans="1:5" x14ac:dyDescent="0.2">
      <c r="A182" t="s">
        <v>3339</v>
      </c>
      <c r="B182" s="3" t="s">
        <v>3337</v>
      </c>
      <c r="C182" s="51">
        <v>0</v>
      </c>
      <c r="D182" s="694" t="s">
        <v>606</v>
      </c>
      <c r="E182" s="7" t="s">
        <v>3954</v>
      </c>
    </row>
    <row r="183" spans="1:5" x14ac:dyDescent="0.2">
      <c r="B183" s="20"/>
      <c r="E183" s="7"/>
    </row>
    <row r="184" spans="1:5" ht="12.75" customHeight="1" x14ac:dyDescent="0.2">
      <c r="A184" s="2" t="s">
        <v>3340</v>
      </c>
      <c r="B184" s="3"/>
      <c r="E184" s="7"/>
    </row>
    <row r="185" spans="1:5" ht="12.75" customHeight="1" x14ac:dyDescent="0.2">
      <c r="A185" s="592" t="s">
        <v>3848</v>
      </c>
      <c r="B185" s="3"/>
      <c r="E185" s="7"/>
    </row>
    <row r="186" spans="1:5" ht="12.75" customHeight="1" x14ac:dyDescent="0.2">
      <c r="A186" s="7" t="s">
        <v>3524</v>
      </c>
      <c r="B186" s="11"/>
      <c r="E186" s="7"/>
    </row>
    <row r="187" spans="1:5" ht="12.75" customHeight="1" x14ac:dyDescent="0.2">
      <c r="A187" s="7" t="s">
        <v>2527</v>
      </c>
      <c r="B187" s="11"/>
      <c r="C187" s="7"/>
      <c r="E187" s="7"/>
    </row>
    <row r="188" spans="1:5" ht="12.75" customHeight="1" x14ac:dyDescent="0.2">
      <c r="A188" s="5" t="s">
        <v>2528</v>
      </c>
      <c r="B188" s="3" t="s">
        <v>5</v>
      </c>
      <c r="C188" s="51">
        <v>1</v>
      </c>
      <c r="E188" s="7"/>
    </row>
    <row r="189" spans="1:5" ht="12.75" customHeight="1" x14ac:dyDescent="0.2">
      <c r="A189" s="5" t="s">
        <v>536</v>
      </c>
      <c r="B189" s="3" t="s">
        <v>6</v>
      </c>
      <c r="C189" s="51">
        <v>1</v>
      </c>
      <c r="E189" s="7"/>
    </row>
    <row r="190" spans="1:5" ht="12.75" customHeight="1" x14ac:dyDescent="0.2">
      <c r="A190" s="5" t="s">
        <v>2788</v>
      </c>
      <c r="B190" s="3" t="s">
        <v>2789</v>
      </c>
      <c r="C190" s="51">
        <v>1</v>
      </c>
      <c r="E190" s="7"/>
    </row>
    <row r="191" spans="1:5" ht="12.75" customHeight="1" x14ac:dyDescent="0.2">
      <c r="A191" s="5" t="s">
        <v>2529</v>
      </c>
      <c r="B191" s="3" t="s">
        <v>7</v>
      </c>
      <c r="C191" s="51">
        <v>0</v>
      </c>
      <c r="E191" s="7"/>
    </row>
    <row r="192" spans="1:5" x14ac:dyDescent="0.2">
      <c r="A192" s="5" t="s">
        <v>1849</v>
      </c>
      <c r="B192" s="3" t="s">
        <v>3701</v>
      </c>
      <c r="C192" s="51">
        <v>1</v>
      </c>
      <c r="E192" s="7"/>
    </row>
    <row r="193" spans="1:5" x14ac:dyDescent="0.2">
      <c r="A193" s="5" t="s">
        <v>2001</v>
      </c>
      <c r="B193" s="3" t="s">
        <v>8</v>
      </c>
      <c r="C193" s="51">
        <v>1</v>
      </c>
      <c r="E193" s="7"/>
    </row>
    <row r="194" spans="1:5" x14ac:dyDescent="0.2">
      <c r="A194" s="5" t="s">
        <v>1962</v>
      </c>
      <c r="B194" s="3" t="s">
        <v>1963</v>
      </c>
      <c r="C194" s="51">
        <v>1</v>
      </c>
      <c r="E194" s="7"/>
    </row>
    <row r="195" spans="1:5" ht="12.75" customHeight="1" x14ac:dyDescent="0.2">
      <c r="A195" s="5"/>
      <c r="B195" s="3"/>
      <c r="E195" s="7"/>
    </row>
    <row r="196" spans="1:5" ht="12.75" customHeight="1" x14ac:dyDescent="0.2">
      <c r="A196" t="s">
        <v>1774</v>
      </c>
      <c r="B196" s="3" t="s">
        <v>1488</v>
      </c>
      <c r="C196" s="127">
        <v>2</v>
      </c>
      <c r="D196" s="694" t="s">
        <v>2461</v>
      </c>
      <c r="E196" s="7" t="s">
        <v>1163</v>
      </c>
    </row>
    <row r="197" spans="1:5" ht="12.75" customHeight="1" x14ac:dyDescent="0.2">
      <c r="A197" t="s">
        <v>1513</v>
      </c>
      <c r="B197" s="3" t="s">
        <v>1489</v>
      </c>
      <c r="C197" s="127">
        <v>2</v>
      </c>
      <c r="D197" s="694" t="s">
        <v>2461</v>
      </c>
      <c r="E197" s="7" t="s">
        <v>1164</v>
      </c>
    </row>
    <row r="198" spans="1:5" ht="12.75" customHeight="1" x14ac:dyDescent="0.2">
      <c r="A198" t="s">
        <v>1775</v>
      </c>
      <c r="B198" s="3" t="s">
        <v>1490</v>
      </c>
      <c r="C198" s="127">
        <v>2</v>
      </c>
      <c r="D198" s="694" t="s">
        <v>2461</v>
      </c>
      <c r="E198" s="7" t="s">
        <v>1165</v>
      </c>
    </row>
    <row r="199" spans="1:5" ht="12.75" customHeight="1" x14ac:dyDescent="0.2">
      <c r="A199" t="s">
        <v>1776</v>
      </c>
      <c r="B199" s="3" t="s">
        <v>1491</v>
      </c>
      <c r="C199" s="127">
        <v>1</v>
      </c>
      <c r="D199" s="694" t="s">
        <v>2461</v>
      </c>
      <c r="E199" s="7" t="s">
        <v>1492</v>
      </c>
    </row>
    <row r="200" spans="1:5" ht="12.75" customHeight="1" x14ac:dyDescent="0.2">
      <c r="A200" t="s">
        <v>551</v>
      </c>
      <c r="B200" s="3" t="s">
        <v>552</v>
      </c>
      <c r="C200" s="51">
        <v>1</v>
      </c>
      <c r="D200" s="694" t="s">
        <v>553</v>
      </c>
      <c r="E200" s="7" t="s">
        <v>1192</v>
      </c>
    </row>
    <row r="201" spans="1:5" ht="12.75" customHeight="1" x14ac:dyDescent="0.2">
      <c r="A201" t="s">
        <v>42</v>
      </c>
      <c r="B201" s="3" t="s">
        <v>2623</v>
      </c>
      <c r="C201" s="51">
        <v>3</v>
      </c>
      <c r="D201" s="694" t="s">
        <v>2624</v>
      </c>
      <c r="E201" s="7" t="s">
        <v>2625</v>
      </c>
    </row>
    <row r="202" spans="1:5" ht="12.75" customHeight="1" x14ac:dyDescent="0.2">
      <c r="A202" t="s">
        <v>1193</v>
      </c>
      <c r="B202" s="3" t="s">
        <v>1194</v>
      </c>
      <c r="C202" s="51">
        <v>4</v>
      </c>
      <c r="D202" s="694" t="s">
        <v>1195</v>
      </c>
      <c r="E202" s="7" t="s">
        <v>1196</v>
      </c>
    </row>
    <row r="203" spans="1:5" ht="12.75" customHeight="1" x14ac:dyDescent="0.2">
      <c r="B203" s="3"/>
      <c r="E203" s="7"/>
    </row>
    <row r="204" spans="1:5" x14ac:dyDescent="0.2">
      <c r="A204" s="2" t="s">
        <v>1197</v>
      </c>
      <c r="E204" s="7"/>
    </row>
    <row r="205" spans="1:5" x14ac:dyDescent="0.2">
      <c r="A205" s="694" t="s">
        <v>3792</v>
      </c>
      <c r="B205" s="3" t="s">
        <v>3793</v>
      </c>
      <c r="C205" s="51">
        <v>6</v>
      </c>
      <c r="D205" s="694" t="s">
        <v>605</v>
      </c>
      <c r="E205" s="7" t="s">
        <v>806</v>
      </c>
    </row>
    <row r="206" spans="1:5" x14ac:dyDescent="0.2">
      <c r="A206" s="694" t="s">
        <v>3794</v>
      </c>
      <c r="B206" s="3" t="s">
        <v>3795</v>
      </c>
      <c r="C206" s="51">
        <v>1</v>
      </c>
      <c r="D206" s="694" t="s">
        <v>605</v>
      </c>
      <c r="E206" s="7" t="s">
        <v>3796</v>
      </c>
    </row>
    <row r="207" spans="1:5" x14ac:dyDescent="0.2">
      <c r="A207" t="s">
        <v>3194</v>
      </c>
      <c r="B207" s="3" t="s">
        <v>3195</v>
      </c>
      <c r="C207" s="51">
        <v>4</v>
      </c>
      <c r="D207" s="694" t="s">
        <v>605</v>
      </c>
      <c r="E207" s="7" t="s">
        <v>509</v>
      </c>
    </row>
    <row r="208" spans="1:5" x14ac:dyDescent="0.2">
      <c r="A208" t="s">
        <v>3196</v>
      </c>
      <c r="B208" s="3" t="s">
        <v>3197</v>
      </c>
      <c r="C208" s="51">
        <v>0</v>
      </c>
      <c r="D208" s="694" t="s">
        <v>605</v>
      </c>
      <c r="E208" s="7" t="s">
        <v>3198</v>
      </c>
    </row>
    <row r="209" spans="1:5" x14ac:dyDescent="0.2">
      <c r="A209" t="s">
        <v>1198</v>
      </c>
      <c r="B209" s="3" t="s">
        <v>3131</v>
      </c>
      <c r="C209" s="51">
        <v>10</v>
      </c>
      <c r="D209" s="694" t="s">
        <v>605</v>
      </c>
      <c r="E209" s="7"/>
    </row>
    <row r="210" spans="1:5" x14ac:dyDescent="0.2">
      <c r="A210" t="s">
        <v>1199</v>
      </c>
      <c r="B210" s="3" t="s">
        <v>3584</v>
      </c>
      <c r="C210" s="51">
        <v>40</v>
      </c>
      <c r="D210" s="694" t="s">
        <v>605</v>
      </c>
      <c r="E210" s="7"/>
    </row>
    <row r="211" spans="1:5" x14ac:dyDescent="0.2">
      <c r="A211" t="s">
        <v>40</v>
      </c>
      <c r="B211" s="3" t="s">
        <v>2193</v>
      </c>
      <c r="C211" s="206">
        <v>6</v>
      </c>
      <c r="D211" s="694" t="s">
        <v>605</v>
      </c>
      <c r="E211" s="7" t="s">
        <v>287</v>
      </c>
    </row>
    <row r="212" spans="1:5" x14ac:dyDescent="0.2">
      <c r="A212" t="s">
        <v>1200</v>
      </c>
      <c r="B212" s="3" t="s">
        <v>1201</v>
      </c>
      <c r="C212" s="51">
        <v>100</v>
      </c>
      <c r="D212" s="694" t="s">
        <v>1202</v>
      </c>
      <c r="E212" s="7"/>
    </row>
    <row r="213" spans="1:5" x14ac:dyDescent="0.2">
      <c r="A213" t="s">
        <v>1200</v>
      </c>
      <c r="B213" s="3" t="s">
        <v>1698</v>
      </c>
      <c r="C213" s="51">
        <v>0</v>
      </c>
      <c r="D213" s="694" t="s">
        <v>1202</v>
      </c>
      <c r="E213" s="7" t="s">
        <v>1699</v>
      </c>
    </row>
    <row r="214" spans="1:5" x14ac:dyDescent="0.2">
      <c r="A214" t="s">
        <v>1700</v>
      </c>
      <c r="B214" s="3" t="s">
        <v>1701</v>
      </c>
      <c r="C214" s="127">
        <f>6/12</f>
        <v>0.5</v>
      </c>
      <c r="D214" s="694" t="s">
        <v>605</v>
      </c>
      <c r="E214" s="7"/>
    </row>
    <row r="215" spans="1:5" x14ac:dyDescent="0.2">
      <c r="A215" t="s">
        <v>1702</v>
      </c>
      <c r="B215" s="3" t="s">
        <v>1703</v>
      </c>
      <c r="C215" s="347">
        <f>4/12</f>
        <v>0.33333333333333331</v>
      </c>
      <c r="D215" s="694" t="s">
        <v>605</v>
      </c>
      <c r="E215" s="7"/>
    </row>
    <row r="216" spans="1:5" x14ac:dyDescent="0.2">
      <c r="A216" s="45" t="s">
        <v>2505</v>
      </c>
      <c r="B216" s="408" t="s">
        <v>2506</v>
      </c>
      <c r="C216" s="442">
        <v>3</v>
      </c>
      <c r="D216" s="694" t="s">
        <v>605</v>
      </c>
      <c r="E216" s="7" t="s">
        <v>2507</v>
      </c>
    </row>
    <row r="217" spans="1:5" x14ac:dyDescent="0.2">
      <c r="A217" t="s">
        <v>1990</v>
      </c>
      <c r="B217" s="3" t="s">
        <v>1991</v>
      </c>
      <c r="C217" s="51">
        <v>10000</v>
      </c>
      <c r="D217" s="694" t="s">
        <v>2457</v>
      </c>
      <c r="E217" s="7"/>
    </row>
    <row r="218" spans="1:5" x14ac:dyDescent="0.2">
      <c r="B218" s="3"/>
      <c r="E218" s="7"/>
    </row>
    <row r="219" spans="1:5" x14ac:dyDescent="0.2">
      <c r="A219" s="2" t="s">
        <v>1879</v>
      </c>
      <c r="B219" s="3"/>
      <c r="E219" s="7"/>
    </row>
    <row r="220" spans="1:5" x14ac:dyDescent="0.2">
      <c r="A220" s="5" t="s">
        <v>797</v>
      </c>
      <c r="B220" s="3" t="s">
        <v>3236</v>
      </c>
      <c r="C220" s="51">
        <v>0</v>
      </c>
      <c r="D220" s="694" t="s">
        <v>3237</v>
      </c>
      <c r="E220" s="7" t="s">
        <v>3238</v>
      </c>
    </row>
    <row r="221" spans="1:5" x14ac:dyDescent="0.2">
      <c r="A221" s="5" t="s">
        <v>740</v>
      </c>
      <c r="B221" s="3" t="s">
        <v>3239</v>
      </c>
      <c r="C221" s="51">
        <v>10</v>
      </c>
      <c r="D221" s="694" t="s">
        <v>2447</v>
      </c>
      <c r="E221" s="7" t="s">
        <v>1846</v>
      </c>
    </row>
    <row r="222" spans="1:5" x14ac:dyDescent="0.2">
      <c r="A222" s="694" t="s">
        <v>4191</v>
      </c>
      <c r="B222" s="3" t="s">
        <v>3240</v>
      </c>
      <c r="C222" s="51">
        <v>11.85</v>
      </c>
      <c r="D222" s="694" t="s">
        <v>2888</v>
      </c>
      <c r="E222" s="7" t="s">
        <v>1846</v>
      </c>
    </row>
    <row r="223" spans="1:5" x14ac:dyDescent="0.2">
      <c r="A223" s="694" t="s">
        <v>4192</v>
      </c>
      <c r="B223" s="3" t="s">
        <v>4193</v>
      </c>
      <c r="C223" s="873">
        <v>0.4</v>
      </c>
      <c r="E223" s="7"/>
    </row>
    <row r="224" spans="1:5" x14ac:dyDescent="0.2">
      <c r="A224" s="5" t="s">
        <v>741</v>
      </c>
      <c r="B224" s="3" t="s">
        <v>3241</v>
      </c>
      <c r="C224" s="51">
        <v>0.99</v>
      </c>
      <c r="D224" s="694" t="s">
        <v>3242</v>
      </c>
      <c r="E224" s="7"/>
    </row>
    <row r="225" spans="1:5" x14ac:dyDescent="0.2">
      <c r="A225" s="5" t="s">
        <v>1847</v>
      </c>
      <c r="B225" s="3" t="s">
        <v>1341</v>
      </c>
      <c r="C225" s="51">
        <v>30</v>
      </c>
      <c r="D225" s="694" t="s">
        <v>2592</v>
      </c>
      <c r="E225" s="7"/>
    </row>
    <row r="226" spans="1:5" x14ac:dyDescent="0.2">
      <c r="A226" s="5" t="s">
        <v>732</v>
      </c>
      <c r="B226" s="543" t="s">
        <v>733</v>
      </c>
      <c r="C226" s="544">
        <v>90</v>
      </c>
      <c r="D226" s="694" t="s">
        <v>604</v>
      </c>
      <c r="E226" s="7" t="s">
        <v>734</v>
      </c>
    </row>
    <row r="227" spans="1:5" x14ac:dyDescent="0.2">
      <c r="A227" s="5" t="s">
        <v>3107</v>
      </c>
      <c r="B227" s="3" t="s">
        <v>2881</v>
      </c>
      <c r="C227" s="51">
        <v>1</v>
      </c>
      <c r="D227" s="694" t="s">
        <v>3237</v>
      </c>
      <c r="E227" s="7" t="s">
        <v>3238</v>
      </c>
    </row>
    <row r="228" spans="1:5" x14ac:dyDescent="0.2">
      <c r="A228" s="5" t="s">
        <v>2879</v>
      </c>
      <c r="B228" s="3" t="s">
        <v>2880</v>
      </c>
      <c r="C228" s="206">
        <v>100</v>
      </c>
      <c r="D228" s="694" t="s">
        <v>2447</v>
      </c>
      <c r="E228" s="7"/>
    </row>
    <row r="229" spans="1:5" x14ac:dyDescent="0.2">
      <c r="A229" s="5" t="s">
        <v>739</v>
      </c>
      <c r="B229" s="3" t="s">
        <v>2887</v>
      </c>
      <c r="C229" s="206">
        <v>9.6</v>
      </c>
      <c r="D229" s="694" t="s">
        <v>2888</v>
      </c>
      <c r="E229" s="7"/>
    </row>
    <row r="230" spans="1:5" x14ac:dyDescent="0.2">
      <c r="A230" s="5" t="s">
        <v>736</v>
      </c>
      <c r="B230" s="3" t="s">
        <v>735</v>
      </c>
      <c r="C230" s="51">
        <v>1</v>
      </c>
      <c r="D230" s="694" t="s">
        <v>3242</v>
      </c>
      <c r="E230" s="7"/>
    </row>
    <row r="231" spans="1:5" x14ac:dyDescent="0.2">
      <c r="A231" t="s">
        <v>1306</v>
      </c>
      <c r="B231" s="3" t="s">
        <v>1307</v>
      </c>
      <c r="C231" s="51">
        <v>2</v>
      </c>
      <c r="D231" s="694" t="s">
        <v>3506</v>
      </c>
      <c r="E231" s="7"/>
    </row>
    <row r="232" spans="1:5" x14ac:dyDescent="0.2">
      <c r="A232" s="5" t="s">
        <v>778</v>
      </c>
      <c r="B232" s="3" t="s">
        <v>30</v>
      </c>
      <c r="C232" s="206">
        <v>25</v>
      </c>
      <c r="D232" s="694" t="s">
        <v>31</v>
      </c>
      <c r="E232" s="7"/>
    </row>
    <row r="233" spans="1:5" x14ac:dyDescent="0.2">
      <c r="A233" s="5" t="s">
        <v>634</v>
      </c>
      <c r="B233" s="3" t="s">
        <v>32</v>
      </c>
      <c r="C233" s="185">
        <v>0.25</v>
      </c>
      <c r="E233" s="7"/>
    </row>
    <row r="234" spans="1:5" x14ac:dyDescent="0.2">
      <c r="A234" s="5" t="s">
        <v>635</v>
      </c>
      <c r="B234" s="3" t="s">
        <v>3243</v>
      </c>
      <c r="C234" s="185">
        <v>0.5</v>
      </c>
      <c r="E234" s="7"/>
    </row>
    <row r="235" spans="1:5" x14ac:dyDescent="0.2">
      <c r="A235" s="5" t="s">
        <v>633</v>
      </c>
      <c r="B235" s="3" t="s">
        <v>1581</v>
      </c>
      <c r="C235" s="185">
        <v>0.1</v>
      </c>
      <c r="E235" s="7"/>
    </row>
    <row r="236" spans="1:5" x14ac:dyDescent="0.2">
      <c r="A236" s="5" t="s">
        <v>632</v>
      </c>
      <c r="B236" s="3" t="s">
        <v>29</v>
      </c>
      <c r="C236" s="51">
        <v>2</v>
      </c>
      <c r="E236" s="7" t="s">
        <v>9</v>
      </c>
    </row>
    <row r="237" spans="1:5" x14ac:dyDescent="0.2">
      <c r="A237" s="5" t="s">
        <v>777</v>
      </c>
      <c r="B237" s="3" t="s">
        <v>1559</v>
      </c>
      <c r="C237" s="51">
        <v>4</v>
      </c>
      <c r="D237" s="694" t="s">
        <v>565</v>
      </c>
      <c r="E237" s="7" t="s">
        <v>775</v>
      </c>
    </row>
    <row r="238" spans="1:5" x14ac:dyDescent="0.2">
      <c r="A238" s="5" t="s">
        <v>625</v>
      </c>
      <c r="B238" s="3" t="s">
        <v>626</v>
      </c>
      <c r="C238" s="51">
        <v>1</v>
      </c>
      <c r="E238" s="7" t="s">
        <v>627</v>
      </c>
    </row>
    <row r="239" spans="1:5" x14ac:dyDescent="0.2">
      <c r="A239" s="5" t="s">
        <v>628</v>
      </c>
      <c r="B239" s="3" t="s">
        <v>629</v>
      </c>
      <c r="C239" s="206">
        <f>3/5</f>
        <v>0.6</v>
      </c>
      <c r="E239" s="7" t="s">
        <v>261</v>
      </c>
    </row>
    <row r="240" spans="1:5" x14ac:dyDescent="0.2">
      <c r="A240" s="5" t="s">
        <v>630</v>
      </c>
      <c r="B240" s="3" t="s">
        <v>631</v>
      </c>
      <c r="C240" s="206">
        <v>3</v>
      </c>
      <c r="D240" s="694" t="s">
        <v>605</v>
      </c>
      <c r="E240" s="7" t="s">
        <v>261</v>
      </c>
    </row>
    <row r="241" spans="1:5" x14ac:dyDescent="0.2">
      <c r="A241" t="s">
        <v>654</v>
      </c>
      <c r="B241" s="3" t="s">
        <v>807</v>
      </c>
      <c r="C241" s="127">
        <v>0.25</v>
      </c>
      <c r="D241" s="694" t="s">
        <v>808</v>
      </c>
      <c r="E241" s="7"/>
    </row>
    <row r="242" spans="1:5" x14ac:dyDescent="0.2">
      <c r="A242" s="694" t="s">
        <v>4028</v>
      </c>
      <c r="B242" s="543" t="s">
        <v>4032</v>
      </c>
      <c r="C242" s="51">
        <f>1/3</f>
        <v>0.33333333333333331</v>
      </c>
      <c r="D242" s="694" t="s">
        <v>1694</v>
      </c>
      <c r="E242" s="7"/>
    </row>
    <row r="243" spans="1:5" x14ac:dyDescent="0.2">
      <c r="A243" t="s">
        <v>776</v>
      </c>
      <c r="B243" s="3" t="s">
        <v>1557</v>
      </c>
      <c r="C243" s="127">
        <v>2</v>
      </c>
      <c r="D243" s="694" t="s">
        <v>1558</v>
      </c>
      <c r="E243" s="7"/>
    </row>
    <row r="244" spans="1:5" x14ac:dyDescent="0.2">
      <c r="A244" s="5" t="s">
        <v>1540</v>
      </c>
      <c r="B244" s="3" t="s">
        <v>1541</v>
      </c>
      <c r="C244" s="184">
        <v>1</v>
      </c>
      <c r="D244" s="694" t="s">
        <v>606</v>
      </c>
      <c r="E244" s="7" t="s">
        <v>1542</v>
      </c>
    </row>
    <row r="245" spans="1:5" x14ac:dyDescent="0.2">
      <c r="A245" s="5" t="s">
        <v>1171</v>
      </c>
      <c r="B245" s="3" t="s">
        <v>1172</v>
      </c>
      <c r="C245" s="184">
        <v>1</v>
      </c>
      <c r="D245" s="694" t="s">
        <v>1173</v>
      </c>
      <c r="E245" s="7"/>
    </row>
    <row r="246" spans="1:5" x14ac:dyDescent="0.2">
      <c r="A246" s="694" t="s">
        <v>4449</v>
      </c>
      <c r="B246" s="3" t="s">
        <v>4450</v>
      </c>
      <c r="C246" s="477">
        <v>1</v>
      </c>
      <c r="D246" s="694" t="s">
        <v>4442</v>
      </c>
      <c r="E246" s="7"/>
    </row>
    <row r="247" spans="1:5" x14ac:dyDescent="0.2">
      <c r="A247" s="5" t="s">
        <v>1848</v>
      </c>
      <c r="B247" s="3" t="s">
        <v>3696</v>
      </c>
      <c r="C247" s="51">
        <v>40</v>
      </c>
      <c r="D247" s="694" t="s">
        <v>3506</v>
      </c>
      <c r="E247" s="7"/>
    </row>
    <row r="248" spans="1:5" x14ac:dyDescent="0.2">
      <c r="A248" t="s">
        <v>3697</v>
      </c>
      <c r="B248" s="3" t="s">
        <v>3698</v>
      </c>
      <c r="C248" s="51">
        <v>1</v>
      </c>
      <c r="D248" s="694" t="s">
        <v>3644</v>
      </c>
      <c r="E248" s="7"/>
    </row>
    <row r="249" spans="1:5" x14ac:dyDescent="0.2">
      <c r="A249" t="s">
        <v>3699</v>
      </c>
      <c r="B249" s="3" t="s">
        <v>3700</v>
      </c>
      <c r="C249" s="51">
        <v>1</v>
      </c>
      <c r="D249" s="694" t="s">
        <v>2767</v>
      </c>
      <c r="E249" s="7"/>
    </row>
    <row r="250" spans="1:5" x14ac:dyDescent="0.2">
      <c r="A250" t="s">
        <v>3702</v>
      </c>
      <c r="B250" s="3" t="s">
        <v>3703</v>
      </c>
      <c r="C250" s="51">
        <v>1</v>
      </c>
      <c r="D250" s="694" t="s">
        <v>606</v>
      </c>
      <c r="E250" s="7"/>
    </row>
    <row r="251" spans="1:5" x14ac:dyDescent="0.2">
      <c r="A251" t="s">
        <v>3704</v>
      </c>
      <c r="B251" s="3" t="s">
        <v>3705</v>
      </c>
      <c r="C251" s="51">
        <v>1</v>
      </c>
      <c r="D251" s="694" t="s">
        <v>3706</v>
      </c>
      <c r="E251" s="7"/>
    </row>
    <row r="252" spans="1:5" x14ac:dyDescent="0.2">
      <c r="A252" s="5" t="s">
        <v>2191</v>
      </c>
      <c r="B252" s="3" t="s">
        <v>1688</v>
      </c>
      <c r="C252" s="200">
        <v>2</v>
      </c>
      <c r="D252" s="694" t="s">
        <v>1878</v>
      </c>
      <c r="E252" s="7" t="s">
        <v>1241</v>
      </c>
    </row>
    <row r="253" spans="1:5" x14ac:dyDescent="0.2">
      <c r="A253" s="5" t="s">
        <v>3245</v>
      </c>
      <c r="B253" s="3" t="s">
        <v>3246</v>
      </c>
      <c r="C253" s="200">
        <v>0.5</v>
      </c>
      <c r="D253" s="694" t="s">
        <v>1878</v>
      </c>
      <c r="E253" s="7"/>
    </row>
    <row r="254" spans="1:5" x14ac:dyDescent="0.2">
      <c r="A254" s="5" t="s">
        <v>3707</v>
      </c>
      <c r="B254" s="3" t="s">
        <v>3708</v>
      </c>
      <c r="C254" s="206">
        <v>1</v>
      </c>
      <c r="D254" s="694" t="s">
        <v>3709</v>
      </c>
      <c r="E254" s="7"/>
    </row>
    <row r="255" spans="1:5" x14ac:dyDescent="0.2">
      <c r="A255" s="5" t="s">
        <v>3710</v>
      </c>
      <c r="B255" s="3" t="s">
        <v>3711</v>
      </c>
      <c r="C255" s="206">
        <v>1</v>
      </c>
      <c r="D255" s="694" t="s">
        <v>3712</v>
      </c>
      <c r="E255" s="7"/>
    </row>
    <row r="256" spans="1:5" x14ac:dyDescent="0.2">
      <c r="A256" s="5" t="s">
        <v>3713</v>
      </c>
      <c r="B256" s="3" t="s">
        <v>3714</v>
      </c>
      <c r="C256" s="206">
        <v>1</v>
      </c>
      <c r="D256" s="694" t="s">
        <v>3712</v>
      </c>
      <c r="E256" s="7"/>
    </row>
    <row r="257" spans="1:5" x14ac:dyDescent="0.2">
      <c r="A257" s="5" t="s">
        <v>1432</v>
      </c>
      <c r="B257" s="3" t="s">
        <v>1433</v>
      </c>
      <c r="C257" s="206">
        <v>1</v>
      </c>
      <c r="D257" s="694" t="s">
        <v>3712</v>
      </c>
      <c r="E257" s="7"/>
    </row>
    <row r="258" spans="1:5" x14ac:dyDescent="0.2">
      <c r="A258" s="5" t="s">
        <v>1475</v>
      </c>
      <c r="B258" s="3" t="s">
        <v>1476</v>
      </c>
      <c r="C258" s="206">
        <v>250</v>
      </c>
      <c r="D258" s="694" t="s">
        <v>1878</v>
      </c>
      <c r="E258" s="7" t="s">
        <v>1477</v>
      </c>
    </row>
    <row r="259" spans="1:5" x14ac:dyDescent="0.2">
      <c r="A259" s="5" t="s">
        <v>728</v>
      </c>
      <c r="B259" s="3" t="s">
        <v>729</v>
      </c>
      <c r="C259" s="206">
        <v>1</v>
      </c>
      <c r="D259" s="694" t="s">
        <v>730</v>
      </c>
      <c r="E259" s="7" t="s">
        <v>731</v>
      </c>
    </row>
    <row r="260" spans="1:5" x14ac:dyDescent="0.2">
      <c r="A260" s="5" t="s">
        <v>27</v>
      </c>
      <c r="B260" s="3" t="s">
        <v>28</v>
      </c>
      <c r="C260" s="51">
        <v>18</v>
      </c>
      <c r="D260" s="694" t="s">
        <v>3587</v>
      </c>
      <c r="E260" s="7"/>
    </row>
    <row r="261" spans="1:5" x14ac:dyDescent="0.2">
      <c r="A261" s="5" t="s">
        <v>513</v>
      </c>
      <c r="B261" s="3" t="s">
        <v>514</v>
      </c>
      <c r="C261" s="206">
        <v>10</v>
      </c>
      <c r="D261" s="694" t="s">
        <v>515</v>
      </c>
      <c r="E261" s="7"/>
    </row>
    <row r="262" spans="1:5" x14ac:dyDescent="0.2">
      <c r="A262" s="5" t="s">
        <v>516</v>
      </c>
      <c r="B262" s="3" t="s">
        <v>517</v>
      </c>
      <c r="C262" s="206">
        <v>200</v>
      </c>
      <c r="D262" s="694" t="s">
        <v>515</v>
      </c>
      <c r="E262" s="7"/>
    </row>
    <row r="263" spans="1:5" x14ac:dyDescent="0.2">
      <c r="A263" s="5" t="s">
        <v>700</v>
      </c>
      <c r="B263" s="3" t="s">
        <v>699</v>
      </c>
      <c r="C263" s="51">
        <v>1</v>
      </c>
      <c r="E263" s="7" t="s">
        <v>627</v>
      </c>
    </row>
    <row r="264" spans="1:5" x14ac:dyDescent="0.2">
      <c r="A264" s="5" t="s">
        <v>711</v>
      </c>
      <c r="B264" s="3" t="s">
        <v>701</v>
      </c>
      <c r="C264" s="206">
        <f>3/5</f>
        <v>0.6</v>
      </c>
      <c r="E264" s="7" t="s">
        <v>261</v>
      </c>
    </row>
    <row r="265" spans="1:5" x14ac:dyDescent="0.2">
      <c r="A265" s="5" t="s">
        <v>714</v>
      </c>
      <c r="B265" s="3" t="s">
        <v>715</v>
      </c>
      <c r="C265" s="206">
        <v>3</v>
      </c>
      <c r="D265" s="694" t="s">
        <v>605</v>
      </c>
      <c r="E265" s="7" t="s">
        <v>261</v>
      </c>
    </row>
    <row r="266" spans="1:5" x14ac:dyDescent="0.2">
      <c r="A266" s="505" t="s">
        <v>662</v>
      </c>
      <c r="B266" s="543" t="s">
        <v>663</v>
      </c>
      <c r="C266" s="674">
        <v>12</v>
      </c>
      <c r="D266" s="721" t="s">
        <v>407</v>
      </c>
      <c r="E266" s="7" t="s">
        <v>664</v>
      </c>
    </row>
    <row r="267" spans="1:5" x14ac:dyDescent="0.2">
      <c r="A267" s="505" t="s">
        <v>668</v>
      </c>
      <c r="B267" s="543" t="s">
        <v>669</v>
      </c>
      <c r="C267" s="674">
        <v>12</v>
      </c>
      <c r="D267" s="721" t="s">
        <v>3506</v>
      </c>
      <c r="E267" s="7" t="s">
        <v>670</v>
      </c>
    </row>
    <row r="268" spans="1:5" x14ac:dyDescent="0.2">
      <c r="A268" s="505" t="s">
        <v>665</v>
      </c>
      <c r="B268" s="543" t="s">
        <v>666</v>
      </c>
      <c r="C268" s="676">
        <v>0.9</v>
      </c>
      <c r="D268" s="721" t="s">
        <v>667</v>
      </c>
      <c r="E268" s="7"/>
    </row>
    <row r="269" spans="1:5" x14ac:dyDescent="0.2">
      <c r="A269" s="505" t="s">
        <v>690</v>
      </c>
      <c r="B269" s="543" t="s">
        <v>679</v>
      </c>
      <c r="C269" s="676">
        <v>0.9</v>
      </c>
      <c r="D269" s="721" t="s">
        <v>689</v>
      </c>
      <c r="E269" s="7"/>
    </row>
    <row r="270" spans="1:5" x14ac:dyDescent="0.2">
      <c r="A270" s="505"/>
      <c r="B270" s="543"/>
      <c r="C270" s="675"/>
      <c r="D270" s="721"/>
      <c r="E270" s="7"/>
    </row>
    <row r="271" spans="1:5" x14ac:dyDescent="0.2">
      <c r="A271" s="46" t="s">
        <v>2358</v>
      </c>
      <c r="B271" s="543"/>
      <c r="C271" s="675"/>
      <c r="D271" s="721"/>
      <c r="E271" s="7"/>
    </row>
    <row r="272" spans="1:5" x14ac:dyDescent="0.2">
      <c r="A272" t="s">
        <v>3276</v>
      </c>
      <c r="B272" s="3" t="s">
        <v>3277</v>
      </c>
      <c r="C272" s="51">
        <v>180</v>
      </c>
      <c r="D272" s="694" t="s">
        <v>3278</v>
      </c>
      <c r="E272" s="7" t="s">
        <v>3279</v>
      </c>
    </row>
    <row r="273" spans="1:7" x14ac:dyDescent="0.2">
      <c r="A273" t="s">
        <v>3280</v>
      </c>
      <c r="B273" s="3" t="s">
        <v>3281</v>
      </c>
      <c r="C273" s="51">
        <v>0.7</v>
      </c>
      <c r="E273" s="7" t="s">
        <v>3282</v>
      </c>
    </row>
    <row r="274" spans="1:7" x14ac:dyDescent="0.2">
      <c r="A274" t="s">
        <v>3283</v>
      </c>
      <c r="B274" s="3" t="s">
        <v>3284</v>
      </c>
      <c r="C274" s="51">
        <v>70</v>
      </c>
      <c r="D274" s="694" t="s">
        <v>3278</v>
      </c>
      <c r="E274" s="7" t="s">
        <v>3279</v>
      </c>
    </row>
    <row r="275" spans="1:7" x14ac:dyDescent="0.2">
      <c r="A275" t="s">
        <v>3285</v>
      </c>
      <c r="B275" s="3" t="s">
        <v>3286</v>
      </c>
      <c r="C275" s="51">
        <v>180</v>
      </c>
      <c r="D275" s="694" t="s">
        <v>2592</v>
      </c>
      <c r="E275" s="7" t="s">
        <v>3287</v>
      </c>
    </row>
    <row r="276" spans="1:7" x14ac:dyDescent="0.2">
      <c r="A276" t="s">
        <v>3288</v>
      </c>
      <c r="B276" s="3" t="s">
        <v>3289</v>
      </c>
      <c r="C276" s="51">
        <v>1.1000000000000001</v>
      </c>
      <c r="E276" s="7" t="s">
        <v>3290</v>
      </c>
    </row>
    <row r="277" spans="1:7" x14ac:dyDescent="0.2">
      <c r="A277" t="s">
        <v>3291</v>
      </c>
      <c r="B277" s="3" t="s">
        <v>3292</v>
      </c>
      <c r="C277" s="51">
        <v>5</v>
      </c>
      <c r="D277" s="694" t="s">
        <v>3130</v>
      </c>
      <c r="E277" s="7"/>
    </row>
    <row r="278" spans="1:7" x14ac:dyDescent="0.2">
      <c r="A278" t="s">
        <v>3293</v>
      </c>
      <c r="B278" s="3" t="s">
        <v>3294</v>
      </c>
      <c r="C278" s="51">
        <v>2</v>
      </c>
      <c r="D278" s="694" t="s">
        <v>3274</v>
      </c>
      <c r="E278" s="7" t="s">
        <v>1258</v>
      </c>
    </row>
    <row r="279" spans="1:7" x14ac:dyDescent="0.2">
      <c r="A279" t="s">
        <v>1259</v>
      </c>
      <c r="B279" s="3" t="s">
        <v>1260</v>
      </c>
      <c r="C279" s="51">
        <v>0.5</v>
      </c>
      <c r="D279" s="694" t="s">
        <v>605</v>
      </c>
      <c r="E279" s="7" t="s">
        <v>1261</v>
      </c>
    </row>
    <row r="280" spans="1:7" x14ac:dyDescent="0.2">
      <c r="A280" s="5" t="s">
        <v>1262</v>
      </c>
      <c r="B280" s="3" t="s">
        <v>1263</v>
      </c>
      <c r="C280" s="206">
        <v>4</v>
      </c>
      <c r="D280" s="694" t="s">
        <v>3506</v>
      </c>
      <c r="E280" s="7" t="s">
        <v>1264</v>
      </c>
    </row>
    <row r="281" spans="1:7" x14ac:dyDescent="0.2">
      <c r="A281" s="5" t="s">
        <v>1265</v>
      </c>
      <c r="B281" s="3" t="s">
        <v>1266</v>
      </c>
      <c r="C281" s="206">
        <v>1</v>
      </c>
      <c r="D281" s="694" t="s">
        <v>1267</v>
      </c>
      <c r="E281" s="7" t="s">
        <v>1268</v>
      </c>
    </row>
    <row r="282" spans="1:7" x14ac:dyDescent="0.2">
      <c r="A282" s="5" t="s">
        <v>1269</v>
      </c>
      <c r="B282" s="3" t="s">
        <v>1270</v>
      </c>
      <c r="C282" s="206">
        <v>25</v>
      </c>
      <c r="D282" s="694" t="s">
        <v>31</v>
      </c>
    </row>
    <row r="283" spans="1:7" x14ac:dyDescent="0.2">
      <c r="A283" s="5" t="s">
        <v>1271</v>
      </c>
      <c r="B283" s="3" t="s">
        <v>1272</v>
      </c>
      <c r="C283" s="206">
        <v>35.630000000000003</v>
      </c>
      <c r="D283" s="694" t="s">
        <v>1202</v>
      </c>
      <c r="E283" s="7" t="s">
        <v>1273</v>
      </c>
    </row>
    <row r="284" spans="1:7" x14ac:dyDescent="0.2">
      <c r="A284" s="5"/>
      <c r="B284" s="3"/>
      <c r="C284" s="5"/>
      <c r="E284" s="7"/>
    </row>
    <row r="285" spans="1:7" x14ac:dyDescent="0.2">
      <c r="A285" s="420" t="s">
        <v>473</v>
      </c>
      <c r="F285" s="694"/>
    </row>
    <row r="286" spans="1:7" x14ac:dyDescent="0.2">
      <c r="A286" s="158" t="s">
        <v>78</v>
      </c>
      <c r="B286" s="3"/>
      <c r="C286" s="157"/>
      <c r="E286" s="7"/>
      <c r="F286" s="694"/>
    </row>
    <row r="287" spans="1:7" ht="13.5" thickBot="1" x14ac:dyDescent="0.25">
      <c r="A287" s="158" t="s">
        <v>79</v>
      </c>
      <c r="B287" s="3"/>
      <c r="C287" s="10"/>
      <c r="E287" s="7"/>
      <c r="F287" s="694"/>
    </row>
    <row r="288" spans="1:7" x14ac:dyDescent="0.2">
      <c r="A288" s="159" t="s">
        <v>80</v>
      </c>
      <c r="B288" s="48" t="s">
        <v>3498</v>
      </c>
      <c r="C288" s="160" t="s">
        <v>2551</v>
      </c>
      <c r="D288" s="160" t="s">
        <v>81</v>
      </c>
      <c r="E288" s="160" t="s">
        <v>3607</v>
      </c>
      <c r="F288" s="49" t="s">
        <v>1642</v>
      </c>
      <c r="G288" s="2" t="s">
        <v>594</v>
      </c>
    </row>
    <row r="289" spans="1:6" x14ac:dyDescent="0.2">
      <c r="A289" s="50" t="s">
        <v>838</v>
      </c>
      <c r="B289" s="3" t="s">
        <v>3210</v>
      </c>
      <c r="C289" s="51">
        <v>0</v>
      </c>
      <c r="D289" s="477">
        <v>0</v>
      </c>
      <c r="E289" s="51">
        <v>2</v>
      </c>
      <c r="F289" s="156" t="s">
        <v>3641</v>
      </c>
    </row>
    <row r="290" spans="1:6" x14ac:dyDescent="0.2">
      <c r="A290" s="50" t="s">
        <v>3642</v>
      </c>
      <c r="B290" s="3" t="s">
        <v>3643</v>
      </c>
      <c r="C290" s="51">
        <v>0</v>
      </c>
      <c r="D290" s="477">
        <v>0</v>
      </c>
      <c r="E290" s="51">
        <v>2</v>
      </c>
      <c r="F290" s="156" t="s">
        <v>3644</v>
      </c>
    </row>
    <row r="291" spans="1:6" x14ac:dyDescent="0.2">
      <c r="A291" s="50" t="s">
        <v>459</v>
      </c>
      <c r="B291" s="3" t="s">
        <v>457</v>
      </c>
      <c r="C291" s="51">
        <v>0</v>
      </c>
      <c r="D291" s="477">
        <v>0</v>
      </c>
      <c r="E291" s="51">
        <v>1</v>
      </c>
      <c r="F291" s="156" t="s">
        <v>2767</v>
      </c>
    </row>
    <row r="292" spans="1:6" x14ac:dyDescent="0.2">
      <c r="A292" s="50" t="s">
        <v>2786</v>
      </c>
      <c r="B292" s="3" t="s">
        <v>2785</v>
      </c>
      <c r="C292" s="51">
        <v>0</v>
      </c>
      <c r="D292" s="477">
        <v>0</v>
      </c>
      <c r="E292" s="51">
        <v>1</v>
      </c>
      <c r="F292" s="156" t="s">
        <v>3644</v>
      </c>
    </row>
    <row r="293" spans="1:6" x14ac:dyDescent="0.2">
      <c r="A293" s="50" t="s">
        <v>3182</v>
      </c>
      <c r="B293" s="3" t="s">
        <v>3183</v>
      </c>
      <c r="C293" s="51">
        <v>0</v>
      </c>
      <c r="D293" s="477">
        <v>0</v>
      </c>
      <c r="E293" s="51">
        <v>2</v>
      </c>
      <c r="F293" s="156" t="s">
        <v>3641</v>
      </c>
    </row>
    <row r="294" spans="1:6" x14ac:dyDescent="0.2">
      <c r="A294" s="50" t="s">
        <v>3184</v>
      </c>
      <c r="B294" s="3" t="s">
        <v>3185</v>
      </c>
      <c r="C294" s="51">
        <v>0</v>
      </c>
      <c r="D294" s="477">
        <v>0</v>
      </c>
      <c r="E294" s="51">
        <v>1</v>
      </c>
      <c r="F294" s="156" t="s">
        <v>3644</v>
      </c>
    </row>
    <row r="295" spans="1:6" x14ac:dyDescent="0.2">
      <c r="A295" s="50" t="s">
        <v>3186</v>
      </c>
      <c r="B295" s="3" t="s">
        <v>3187</v>
      </c>
      <c r="C295" s="51">
        <v>0</v>
      </c>
      <c r="D295" s="477">
        <v>0</v>
      </c>
      <c r="E295" s="51">
        <v>1</v>
      </c>
      <c r="F295" s="156" t="s">
        <v>3188</v>
      </c>
    </row>
    <row r="296" spans="1:6" x14ac:dyDescent="0.2">
      <c r="A296" s="50" t="s">
        <v>1478</v>
      </c>
      <c r="B296" s="3" t="s">
        <v>1479</v>
      </c>
      <c r="C296" s="51">
        <v>0</v>
      </c>
      <c r="D296" s="477">
        <v>0</v>
      </c>
      <c r="E296" s="51">
        <v>1</v>
      </c>
      <c r="F296" s="156" t="s">
        <v>2767</v>
      </c>
    </row>
    <row r="297" spans="1:6" x14ac:dyDescent="0.2">
      <c r="A297" s="50" t="s">
        <v>1215</v>
      </c>
      <c r="B297" s="3" t="s">
        <v>1216</v>
      </c>
      <c r="C297" s="51">
        <v>0</v>
      </c>
      <c r="D297" s="477">
        <v>0</v>
      </c>
      <c r="E297" s="51">
        <v>1</v>
      </c>
      <c r="F297" s="156" t="s">
        <v>2767</v>
      </c>
    </row>
    <row r="298" spans="1:6" x14ac:dyDescent="0.2">
      <c r="A298" s="50" t="s">
        <v>569</v>
      </c>
      <c r="B298" s="3" t="s">
        <v>1217</v>
      </c>
      <c r="C298" s="51">
        <v>0</v>
      </c>
      <c r="D298" s="477">
        <v>0</v>
      </c>
      <c r="E298" s="51">
        <v>2</v>
      </c>
      <c r="F298" s="156" t="s">
        <v>3644</v>
      </c>
    </row>
    <row r="299" spans="1:6" x14ac:dyDescent="0.2">
      <c r="A299" t="s">
        <v>3439</v>
      </c>
      <c r="B299" s="3" t="s">
        <v>2443</v>
      </c>
      <c r="C299" s="127">
        <v>0</v>
      </c>
      <c r="D299" s="723">
        <v>0</v>
      </c>
      <c r="E299" s="127">
        <v>1</v>
      </c>
      <c r="F299" s="156" t="s">
        <v>3644</v>
      </c>
    </row>
    <row r="300" spans="1:6" x14ac:dyDescent="0.2">
      <c r="A300" t="s">
        <v>3440</v>
      </c>
      <c r="B300" s="3" t="s">
        <v>2444</v>
      </c>
      <c r="C300" s="127">
        <v>0</v>
      </c>
      <c r="D300" s="723">
        <v>0</v>
      </c>
      <c r="E300" s="127">
        <v>1</v>
      </c>
      <c r="F300" s="156" t="s">
        <v>3188</v>
      </c>
    </row>
    <row r="301" spans="1:6" x14ac:dyDescent="0.2">
      <c r="A301" t="s">
        <v>1277</v>
      </c>
      <c r="B301" s="3" t="s">
        <v>2355</v>
      </c>
      <c r="C301" s="127">
        <v>0</v>
      </c>
      <c r="D301" s="723">
        <v>0</v>
      </c>
      <c r="E301" s="127">
        <v>1</v>
      </c>
      <c r="F301" s="156" t="s">
        <v>2354</v>
      </c>
    </row>
    <row r="302" spans="1:6" x14ac:dyDescent="0.2">
      <c r="A302" s="5" t="s">
        <v>2825</v>
      </c>
      <c r="B302" s="3" t="s">
        <v>534</v>
      </c>
      <c r="C302" s="127">
        <v>0</v>
      </c>
      <c r="D302" s="723">
        <v>0</v>
      </c>
      <c r="E302" s="127">
        <v>1</v>
      </c>
      <c r="F302" s="156" t="s">
        <v>2767</v>
      </c>
    </row>
    <row r="303" spans="1:6" x14ac:dyDescent="0.2">
      <c r="A303" s="5" t="s">
        <v>2828</v>
      </c>
      <c r="B303" s="3" t="s">
        <v>3441</v>
      </c>
      <c r="C303" s="127">
        <v>0</v>
      </c>
      <c r="D303" s="723">
        <v>0</v>
      </c>
      <c r="E303" s="127">
        <v>1</v>
      </c>
      <c r="F303" s="156" t="s">
        <v>2767</v>
      </c>
    </row>
    <row r="304" spans="1:6" x14ac:dyDescent="0.2">
      <c r="A304" s="591" t="s">
        <v>1980</v>
      </c>
      <c r="B304" s="3" t="s">
        <v>1979</v>
      </c>
      <c r="C304" s="51">
        <v>0</v>
      </c>
      <c r="D304" s="477">
        <v>0</v>
      </c>
      <c r="E304" s="51">
        <v>1</v>
      </c>
      <c r="F304" s="156" t="s">
        <v>2767</v>
      </c>
    </row>
    <row r="305" spans="1:6" x14ac:dyDescent="0.2">
      <c r="A305" s="50" t="s">
        <v>1997</v>
      </c>
      <c r="B305" s="3" t="s">
        <v>1998</v>
      </c>
      <c r="C305" s="127">
        <v>0</v>
      </c>
      <c r="D305" s="723">
        <v>0</v>
      </c>
      <c r="E305" s="127">
        <v>1</v>
      </c>
      <c r="F305" s="156" t="s">
        <v>3188</v>
      </c>
    </row>
    <row r="306" spans="1:6" x14ac:dyDescent="0.2">
      <c r="A306" s="50" t="s">
        <v>3190</v>
      </c>
      <c r="B306" s="3" t="s">
        <v>3191</v>
      </c>
      <c r="C306" s="51">
        <v>0</v>
      </c>
      <c r="D306" s="477">
        <v>0</v>
      </c>
      <c r="E306" s="51">
        <v>1</v>
      </c>
      <c r="F306" s="156" t="s">
        <v>2767</v>
      </c>
    </row>
    <row r="307" spans="1:6" x14ac:dyDescent="0.2">
      <c r="A307" s="591" t="s">
        <v>3509</v>
      </c>
      <c r="B307" s="3" t="s">
        <v>2648</v>
      </c>
      <c r="C307" s="51">
        <v>2</v>
      </c>
      <c r="D307" s="477">
        <v>2</v>
      </c>
      <c r="E307" s="51">
        <v>0</v>
      </c>
      <c r="F307" s="156" t="s">
        <v>3641</v>
      </c>
    </row>
    <row r="308" spans="1:6" x14ac:dyDescent="0.2">
      <c r="A308" s="50" t="s">
        <v>855</v>
      </c>
      <c r="B308" s="3" t="s">
        <v>73</v>
      </c>
      <c r="C308" s="51">
        <v>2</v>
      </c>
      <c r="D308" s="477">
        <v>2</v>
      </c>
      <c r="E308" s="51">
        <v>0</v>
      </c>
      <c r="F308" s="156" t="s">
        <v>3644</v>
      </c>
    </row>
    <row r="309" spans="1:6" x14ac:dyDescent="0.2">
      <c r="A309" s="50" t="s">
        <v>856</v>
      </c>
      <c r="B309" s="3" t="s">
        <v>74</v>
      </c>
      <c r="C309" s="51">
        <v>2</v>
      </c>
      <c r="D309" s="477">
        <v>2</v>
      </c>
      <c r="E309" s="51">
        <v>0</v>
      </c>
      <c r="F309" s="156" t="s">
        <v>3641</v>
      </c>
    </row>
    <row r="310" spans="1:6" x14ac:dyDescent="0.2">
      <c r="A310" s="50" t="s">
        <v>857</v>
      </c>
      <c r="B310" s="3" t="s">
        <v>75</v>
      </c>
      <c r="C310" s="51">
        <v>1</v>
      </c>
      <c r="D310" s="477">
        <v>1</v>
      </c>
      <c r="E310" s="51">
        <v>0</v>
      </c>
      <c r="F310" s="156" t="s">
        <v>3644</v>
      </c>
    </row>
    <row r="311" spans="1:6" x14ac:dyDescent="0.2">
      <c r="A311" s="50" t="s">
        <v>3127</v>
      </c>
      <c r="B311" s="3" t="s">
        <v>76</v>
      </c>
      <c r="C311" s="51">
        <v>1</v>
      </c>
      <c r="D311" s="477">
        <v>1</v>
      </c>
      <c r="E311" s="51">
        <v>0</v>
      </c>
      <c r="F311" s="156" t="s">
        <v>3188</v>
      </c>
    </row>
    <row r="312" spans="1:6" x14ac:dyDescent="0.2">
      <c r="A312" s="50" t="s">
        <v>1219</v>
      </c>
      <c r="B312" s="3" t="s">
        <v>1218</v>
      </c>
      <c r="C312" s="51">
        <v>1</v>
      </c>
      <c r="D312" s="477">
        <v>1</v>
      </c>
      <c r="E312" s="51">
        <v>0</v>
      </c>
      <c r="F312" s="156" t="s">
        <v>3188</v>
      </c>
    </row>
    <row r="313" spans="1:6" x14ac:dyDescent="0.2">
      <c r="A313" s="50" t="s">
        <v>1220</v>
      </c>
      <c r="B313" s="3" t="s">
        <v>566</v>
      </c>
      <c r="C313" s="51">
        <v>1</v>
      </c>
      <c r="D313" s="477">
        <v>1</v>
      </c>
      <c r="E313" s="51">
        <v>0</v>
      </c>
      <c r="F313" s="156" t="s">
        <v>2767</v>
      </c>
    </row>
    <row r="314" spans="1:6" x14ac:dyDescent="0.2">
      <c r="A314" s="50" t="s">
        <v>568</v>
      </c>
      <c r="B314" s="3" t="s">
        <v>567</v>
      </c>
      <c r="C314" s="51">
        <v>2</v>
      </c>
      <c r="D314" s="477">
        <v>2</v>
      </c>
      <c r="E314" s="51">
        <v>0</v>
      </c>
      <c r="F314" s="156" t="s">
        <v>3644</v>
      </c>
    </row>
    <row r="315" spans="1:6" x14ac:dyDescent="0.2">
      <c r="A315" t="s">
        <v>462</v>
      </c>
      <c r="B315" s="3" t="s">
        <v>463</v>
      </c>
      <c r="C315" s="127">
        <v>1</v>
      </c>
      <c r="D315" s="723">
        <v>1</v>
      </c>
      <c r="E315" s="127">
        <v>0</v>
      </c>
      <c r="F315" s="156" t="s">
        <v>2767</v>
      </c>
    </row>
    <row r="316" spans="1:6" x14ac:dyDescent="0.2">
      <c r="A316" s="50" t="s">
        <v>2786</v>
      </c>
      <c r="B316" s="3" t="s">
        <v>2787</v>
      </c>
      <c r="C316" s="127">
        <v>1</v>
      </c>
      <c r="D316" s="723">
        <v>1</v>
      </c>
      <c r="E316" s="127">
        <v>0</v>
      </c>
      <c r="F316" s="156" t="s">
        <v>3644</v>
      </c>
    </row>
    <row r="317" spans="1:6" x14ac:dyDescent="0.2">
      <c r="A317" t="s">
        <v>2445</v>
      </c>
      <c r="B317" s="3" t="s">
        <v>2446</v>
      </c>
      <c r="C317" s="127">
        <v>1</v>
      </c>
      <c r="D317" s="723">
        <v>1</v>
      </c>
      <c r="E317" s="127">
        <v>0</v>
      </c>
      <c r="F317" s="156" t="s">
        <v>3644</v>
      </c>
    </row>
    <row r="318" spans="1:6" x14ac:dyDescent="0.2">
      <c r="A318" t="s">
        <v>1730</v>
      </c>
      <c r="B318" s="3" t="s">
        <v>1731</v>
      </c>
      <c r="C318" s="127">
        <v>1</v>
      </c>
      <c r="D318" s="723">
        <v>1</v>
      </c>
      <c r="E318" s="127">
        <v>0</v>
      </c>
      <c r="F318" s="156" t="s">
        <v>3188</v>
      </c>
    </row>
    <row r="319" spans="1:6" x14ac:dyDescent="0.2">
      <c r="A319" t="s">
        <v>1277</v>
      </c>
      <c r="B319" s="3" t="s">
        <v>2353</v>
      </c>
      <c r="C319" s="127">
        <v>1</v>
      </c>
      <c r="D319" s="723">
        <v>1</v>
      </c>
      <c r="E319" s="127">
        <v>0</v>
      </c>
      <c r="F319" s="156" t="s">
        <v>2354</v>
      </c>
    </row>
    <row r="320" spans="1:6" x14ac:dyDescent="0.2">
      <c r="A320" s="50" t="s">
        <v>568</v>
      </c>
      <c r="B320" s="3" t="s">
        <v>567</v>
      </c>
      <c r="C320" s="51">
        <v>2</v>
      </c>
      <c r="D320" s="477">
        <v>2</v>
      </c>
      <c r="E320" s="51">
        <v>0</v>
      </c>
      <c r="F320" s="156" t="s">
        <v>3189</v>
      </c>
    </row>
    <row r="321" spans="1:7" x14ac:dyDescent="0.2">
      <c r="A321" s="5" t="s">
        <v>2826</v>
      </c>
      <c r="B321" s="3" t="s">
        <v>535</v>
      </c>
      <c r="C321" s="127">
        <v>1</v>
      </c>
      <c r="D321" s="723">
        <v>1</v>
      </c>
      <c r="E321" s="127">
        <v>0</v>
      </c>
      <c r="F321" s="156" t="s">
        <v>2767</v>
      </c>
    </row>
    <row r="322" spans="1:7" x14ac:dyDescent="0.2">
      <c r="A322" s="5" t="s">
        <v>2827</v>
      </c>
      <c r="B322" s="3" t="s">
        <v>3442</v>
      </c>
      <c r="C322" s="127">
        <v>1</v>
      </c>
      <c r="D322" s="723">
        <v>1</v>
      </c>
      <c r="E322" s="127">
        <v>0</v>
      </c>
      <c r="F322" s="156" t="s">
        <v>2767</v>
      </c>
    </row>
    <row r="323" spans="1:7" x14ac:dyDescent="0.2">
      <c r="A323" s="591" t="s">
        <v>1978</v>
      </c>
      <c r="B323" s="3" t="s">
        <v>1977</v>
      </c>
      <c r="C323" s="51">
        <v>1</v>
      </c>
      <c r="D323" s="477">
        <v>1</v>
      </c>
      <c r="E323" s="51">
        <v>0</v>
      </c>
      <c r="F323" s="156" t="s">
        <v>2767</v>
      </c>
    </row>
    <row r="324" spans="1:7" x14ac:dyDescent="0.2">
      <c r="A324" s="50" t="s">
        <v>1999</v>
      </c>
      <c r="B324" s="3" t="s">
        <v>2000</v>
      </c>
      <c r="C324" s="127">
        <v>1</v>
      </c>
      <c r="D324" s="723">
        <v>1</v>
      </c>
      <c r="E324" s="127">
        <v>0</v>
      </c>
      <c r="F324" s="156" t="s">
        <v>3188</v>
      </c>
    </row>
    <row r="325" spans="1:7" ht="13.5" thickBot="1" x14ac:dyDescent="0.25">
      <c r="A325" s="53" t="s">
        <v>2647</v>
      </c>
      <c r="B325" s="54" t="s">
        <v>77</v>
      </c>
      <c r="C325" s="55">
        <v>1</v>
      </c>
      <c r="D325" s="724">
        <v>1</v>
      </c>
      <c r="E325" s="55">
        <v>0</v>
      </c>
      <c r="F325" s="161" t="s">
        <v>3484</v>
      </c>
    </row>
    <row r="327" spans="1:7" x14ac:dyDescent="0.2">
      <c r="A327" s="420" t="s">
        <v>3847</v>
      </c>
      <c r="F327" s="694"/>
    </row>
    <row r="328" spans="1:7" x14ac:dyDescent="0.2">
      <c r="A328" s="47" t="s">
        <v>3217</v>
      </c>
      <c r="F328" s="694"/>
    </row>
    <row r="329" spans="1:7" ht="13.5" thickBot="1" x14ac:dyDescent="0.25">
      <c r="A329" s="47" t="s">
        <v>79</v>
      </c>
      <c r="F329" s="694"/>
    </row>
    <row r="330" spans="1:7" x14ac:dyDescent="0.2">
      <c r="A330" s="159" t="s">
        <v>3497</v>
      </c>
      <c r="B330" s="48" t="s">
        <v>3498</v>
      </c>
      <c r="C330" s="160" t="s">
        <v>3499</v>
      </c>
      <c r="D330" s="160" t="s">
        <v>3500</v>
      </c>
      <c r="E330" s="160" t="s">
        <v>3501</v>
      </c>
      <c r="F330" s="49" t="s">
        <v>2</v>
      </c>
      <c r="G330" s="2" t="s">
        <v>594</v>
      </c>
    </row>
    <row r="331" spans="1:7" x14ac:dyDescent="0.2">
      <c r="A331" s="50" t="s">
        <v>3</v>
      </c>
      <c r="B331" s="3" t="s">
        <v>4</v>
      </c>
      <c r="C331" s="51">
        <v>1</v>
      </c>
      <c r="D331" s="477">
        <v>1</v>
      </c>
      <c r="E331" s="51">
        <v>0</v>
      </c>
      <c r="F331" s="52">
        <v>0</v>
      </c>
    </row>
    <row r="332" spans="1:7" x14ac:dyDescent="0.2">
      <c r="A332" s="50" t="s">
        <v>2653</v>
      </c>
      <c r="B332" s="429" t="s">
        <v>2654</v>
      </c>
      <c r="C332" s="51">
        <v>0</v>
      </c>
      <c r="D332" s="477">
        <v>0</v>
      </c>
      <c r="E332" s="51">
        <v>1</v>
      </c>
      <c r="F332" s="52">
        <v>0</v>
      </c>
      <c r="G332" s="7"/>
    </row>
    <row r="333" spans="1:7" x14ac:dyDescent="0.2">
      <c r="A333" s="50" t="s">
        <v>2655</v>
      </c>
      <c r="B333" s="429" t="s">
        <v>2656</v>
      </c>
      <c r="C333" s="51">
        <v>0</v>
      </c>
      <c r="D333" s="477">
        <v>0</v>
      </c>
      <c r="E333" s="51">
        <v>2</v>
      </c>
      <c r="F333" s="52">
        <v>1</v>
      </c>
      <c r="G333" s="7" t="s">
        <v>41</v>
      </c>
    </row>
    <row r="334" spans="1:7" x14ac:dyDescent="0.2">
      <c r="A334" s="50" t="s">
        <v>2657</v>
      </c>
      <c r="B334" s="429" t="s">
        <v>2658</v>
      </c>
      <c r="C334" s="51">
        <v>0</v>
      </c>
      <c r="D334" s="477">
        <v>0</v>
      </c>
      <c r="E334" s="51">
        <v>1</v>
      </c>
      <c r="F334" s="52">
        <v>0</v>
      </c>
      <c r="G334" s="7"/>
    </row>
    <row r="335" spans="1:7" x14ac:dyDescent="0.2">
      <c r="A335" s="50" t="s">
        <v>2659</v>
      </c>
      <c r="B335" s="429" t="s">
        <v>2660</v>
      </c>
      <c r="C335" s="51">
        <v>0</v>
      </c>
      <c r="D335" s="477">
        <v>0</v>
      </c>
      <c r="E335" s="51">
        <v>2</v>
      </c>
      <c r="F335" s="52">
        <v>1</v>
      </c>
      <c r="G335" s="7" t="s">
        <v>41</v>
      </c>
    </row>
    <row r="336" spans="1:7" x14ac:dyDescent="0.2">
      <c r="A336" s="50" t="s">
        <v>544</v>
      </c>
      <c r="B336" s="3" t="s">
        <v>545</v>
      </c>
      <c r="C336" s="51">
        <v>1</v>
      </c>
      <c r="D336" s="477">
        <v>0</v>
      </c>
      <c r="E336" s="51">
        <v>0</v>
      </c>
      <c r="F336" s="52">
        <v>0</v>
      </c>
    </row>
    <row r="337" spans="1:6" x14ac:dyDescent="0.2">
      <c r="A337" s="50" t="s">
        <v>3715</v>
      </c>
      <c r="B337" s="3" t="s">
        <v>546</v>
      </c>
      <c r="C337" s="51">
        <v>0</v>
      </c>
      <c r="D337" s="477">
        <v>0</v>
      </c>
      <c r="E337" s="51">
        <v>1</v>
      </c>
      <c r="F337" s="52">
        <v>0</v>
      </c>
    </row>
    <row r="338" spans="1:6" x14ac:dyDescent="0.2">
      <c r="A338" s="50" t="s">
        <v>518</v>
      </c>
      <c r="B338" s="3" t="s">
        <v>519</v>
      </c>
      <c r="C338" s="51">
        <v>0</v>
      </c>
      <c r="D338" s="477">
        <v>0</v>
      </c>
      <c r="E338" s="51">
        <v>1</v>
      </c>
      <c r="F338" s="52">
        <v>0</v>
      </c>
    </row>
    <row r="339" spans="1:6" x14ac:dyDescent="0.2">
      <c r="A339" s="50" t="s">
        <v>1529</v>
      </c>
      <c r="B339" s="3" t="s">
        <v>547</v>
      </c>
      <c r="C339" s="51">
        <v>1</v>
      </c>
      <c r="D339" s="477">
        <v>0</v>
      </c>
      <c r="E339" s="51">
        <v>0</v>
      </c>
      <c r="F339" s="52">
        <v>0</v>
      </c>
    </row>
    <row r="340" spans="1:6" x14ac:dyDescent="0.2">
      <c r="A340" s="50" t="s">
        <v>1595</v>
      </c>
      <c r="B340" s="3" t="s">
        <v>548</v>
      </c>
      <c r="C340" s="51">
        <v>3</v>
      </c>
      <c r="D340" s="477">
        <v>1</v>
      </c>
      <c r="E340" s="51">
        <v>0</v>
      </c>
      <c r="F340" s="52">
        <v>0</v>
      </c>
    </row>
    <row r="341" spans="1:6" x14ac:dyDescent="0.2">
      <c r="A341" s="50" t="s">
        <v>549</v>
      </c>
      <c r="B341" s="3" t="s">
        <v>550</v>
      </c>
      <c r="C341" s="51">
        <v>0</v>
      </c>
      <c r="D341" s="477">
        <v>0</v>
      </c>
      <c r="E341" s="51">
        <v>1</v>
      </c>
      <c r="F341" s="52">
        <v>0</v>
      </c>
    </row>
    <row r="342" spans="1:6" x14ac:dyDescent="0.2">
      <c r="A342" s="50" t="s">
        <v>520</v>
      </c>
      <c r="B342" s="3" t="s">
        <v>521</v>
      </c>
      <c r="C342" s="51">
        <v>0</v>
      </c>
      <c r="D342" s="477">
        <v>0</v>
      </c>
      <c r="E342" s="51">
        <v>1</v>
      </c>
      <c r="F342" s="52">
        <v>0</v>
      </c>
    </row>
    <row r="343" spans="1:6" x14ac:dyDescent="0.2">
      <c r="A343" s="699" t="s">
        <v>3823</v>
      </c>
      <c r="B343" s="3" t="s">
        <v>2695</v>
      </c>
      <c r="C343" s="51">
        <v>0</v>
      </c>
      <c r="D343" s="477">
        <v>0</v>
      </c>
      <c r="E343" s="51">
        <v>1</v>
      </c>
      <c r="F343" s="52">
        <v>0</v>
      </c>
    </row>
    <row r="344" spans="1:6" x14ac:dyDescent="0.2">
      <c r="A344" s="699" t="s">
        <v>3824</v>
      </c>
      <c r="B344" s="3" t="s">
        <v>3825</v>
      </c>
      <c r="C344" s="51">
        <v>0</v>
      </c>
      <c r="D344" s="477">
        <v>0</v>
      </c>
      <c r="E344" s="51">
        <v>1</v>
      </c>
      <c r="F344" s="52">
        <v>0</v>
      </c>
    </row>
    <row r="345" spans="1:6" x14ac:dyDescent="0.2">
      <c r="A345" s="50" t="s">
        <v>2694</v>
      </c>
      <c r="B345" s="3" t="s">
        <v>2696</v>
      </c>
      <c r="C345" s="51">
        <v>0</v>
      </c>
      <c r="D345" s="477">
        <v>0</v>
      </c>
      <c r="E345" s="51">
        <v>1</v>
      </c>
      <c r="F345" s="52">
        <v>0</v>
      </c>
    </row>
    <row r="346" spans="1:6" ht="13.5" thickBot="1" x14ac:dyDescent="0.25">
      <c r="A346" s="53" t="s">
        <v>3218</v>
      </c>
      <c r="B346" s="54" t="s">
        <v>3219</v>
      </c>
      <c r="C346" s="162">
        <v>0</v>
      </c>
      <c r="D346" s="724">
        <v>0</v>
      </c>
      <c r="E346" s="55">
        <v>1</v>
      </c>
      <c r="F346" s="56">
        <v>1</v>
      </c>
    </row>
  </sheetData>
  <phoneticPr fontId="0" type="noConversion"/>
  <dataValidations count="1">
    <dataValidation type="list" allowBlank="1" showInputMessage="1" showErrorMessage="1" sqref="C106" xr:uid="{00000000-0002-0000-0500-000001000000}">
      <formula1>"36%,75%"</formula1>
    </dataValidation>
  </dataValidations>
  <hyperlinks>
    <hyperlink ref="A185" location="port_table" display="See the I/O Port Table at the bottom of this page for additional assumptions relating to system controls" xr:uid="{00000000-0004-0000-0500-000000000000}"/>
    <hyperlink ref="A145" location="valve_table" display="See the Valve Table at the bottom of this page for additional assumptions relating to valves" xr:uid="{00000000-0004-0000-0500-000001000000}"/>
  </hyperlinks>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E69"/>
  <sheetViews>
    <sheetView zoomScaleNormal="100" workbookViewId="0">
      <pane ySplit="4" topLeftCell="A5" activePane="bottomLeft" state="frozen"/>
      <selection activeCell="C85" sqref="C85"/>
      <selection pane="bottomLeft"/>
    </sheetView>
  </sheetViews>
  <sheetFormatPr defaultRowHeight="12.75" x14ac:dyDescent="0.2"/>
  <cols>
    <col min="1" max="1" width="66.7109375" customWidth="1"/>
    <col min="2" max="2" width="26.5703125" bestFit="1" customWidth="1"/>
    <col min="4" max="4" width="13.5703125" style="694" customWidth="1"/>
  </cols>
  <sheetData>
    <row r="1" spans="1:5" x14ac:dyDescent="0.2">
      <c r="A1" s="1" t="s">
        <v>3850</v>
      </c>
      <c r="C1" s="16"/>
    </row>
    <row r="2" spans="1:5" x14ac:dyDescent="0.2">
      <c r="A2" s="725" t="s">
        <v>3851</v>
      </c>
      <c r="C2" s="16"/>
    </row>
    <row r="4" spans="1:5" s="116" customFormat="1" x14ac:dyDescent="0.2">
      <c r="A4" s="193" t="s">
        <v>1639</v>
      </c>
      <c r="B4" s="193" t="s">
        <v>1640</v>
      </c>
      <c r="C4" s="194" t="s">
        <v>1641</v>
      </c>
      <c r="D4" s="193" t="s">
        <v>1642</v>
      </c>
      <c r="E4" s="193" t="s">
        <v>594</v>
      </c>
    </row>
    <row r="5" spans="1:5" x14ac:dyDescent="0.2">
      <c r="A5" s="2" t="s">
        <v>3618</v>
      </c>
      <c r="B5" s="1"/>
      <c r="C5" s="195"/>
      <c r="D5" s="1"/>
      <c r="E5" s="1"/>
    </row>
    <row r="6" spans="1:5" ht="12" customHeight="1" x14ac:dyDescent="0.2">
      <c r="A6" t="s">
        <v>2347</v>
      </c>
      <c r="B6" s="3" t="s">
        <v>2348</v>
      </c>
      <c r="C6" s="303">
        <v>25</v>
      </c>
      <c r="D6" s="694" t="s">
        <v>1693</v>
      </c>
      <c r="E6" s="7" t="s">
        <v>1560</v>
      </c>
    </row>
    <row r="7" spans="1:5" ht="12" customHeight="1" x14ac:dyDescent="0.2">
      <c r="A7" s="5" t="s">
        <v>312</v>
      </c>
      <c r="B7" s="3" t="s">
        <v>313</v>
      </c>
      <c r="C7" s="303">
        <v>25</v>
      </c>
      <c r="D7" s="694" t="s">
        <v>1693</v>
      </c>
      <c r="E7" s="7"/>
    </row>
    <row r="8" spans="1:5" ht="12" customHeight="1" x14ac:dyDescent="0.2">
      <c r="A8" t="s">
        <v>1829</v>
      </c>
      <c r="B8" s="3" t="s">
        <v>1830</v>
      </c>
      <c r="C8" s="303">
        <v>25</v>
      </c>
      <c r="D8" s="694" t="s">
        <v>1693</v>
      </c>
      <c r="E8" s="7"/>
    </row>
    <row r="9" spans="1:5" x14ac:dyDescent="0.2">
      <c r="A9" t="s">
        <v>2307</v>
      </c>
      <c r="B9" s="3" t="s">
        <v>2308</v>
      </c>
      <c r="C9" s="51">
        <v>25</v>
      </c>
      <c r="D9" s="694" t="s">
        <v>1693</v>
      </c>
      <c r="E9" s="7"/>
    </row>
    <row r="10" spans="1:5" x14ac:dyDescent="0.2">
      <c r="A10" s="5" t="s">
        <v>314</v>
      </c>
      <c r="B10" s="3" t="s">
        <v>2349</v>
      </c>
      <c r="C10" s="304">
        <v>0.75</v>
      </c>
    </row>
    <row r="11" spans="1:5" x14ac:dyDescent="0.2">
      <c r="A11" s="5" t="s">
        <v>316</v>
      </c>
      <c r="B11" s="3" t="s">
        <v>315</v>
      </c>
      <c r="C11" s="304">
        <v>0.75</v>
      </c>
    </row>
    <row r="12" spans="1:5" x14ac:dyDescent="0.2">
      <c r="A12" s="5" t="s">
        <v>319</v>
      </c>
      <c r="B12" s="3" t="s">
        <v>2350</v>
      </c>
      <c r="C12" s="305">
        <v>0.01</v>
      </c>
      <c r="D12" s="694" t="s">
        <v>1757</v>
      </c>
      <c r="E12" s="7" t="s">
        <v>2554</v>
      </c>
    </row>
    <row r="13" spans="1:5" x14ac:dyDescent="0.2">
      <c r="A13" s="694" t="s">
        <v>3900</v>
      </c>
      <c r="B13" s="3" t="s">
        <v>307</v>
      </c>
      <c r="C13" s="206">
        <v>10</v>
      </c>
      <c r="D13" s="694" t="s">
        <v>1253</v>
      </c>
      <c r="E13" s="7"/>
    </row>
    <row r="14" spans="1:5" x14ac:dyDescent="0.2">
      <c r="A14" s="5" t="s">
        <v>310</v>
      </c>
      <c r="B14" s="3" t="s">
        <v>311</v>
      </c>
      <c r="C14" s="304">
        <v>0.7</v>
      </c>
      <c r="E14" s="7"/>
    </row>
    <row r="15" spans="1:5" x14ac:dyDescent="0.2">
      <c r="B15" s="3"/>
      <c r="C15" s="452"/>
      <c r="E15" s="7"/>
    </row>
    <row r="16" spans="1:5" x14ac:dyDescent="0.2">
      <c r="A16" s="431" t="s">
        <v>1353</v>
      </c>
      <c r="B16" s="3"/>
    </row>
    <row r="17" spans="1:5" x14ac:dyDescent="0.2">
      <c r="A17" s="5" t="s">
        <v>412</v>
      </c>
      <c r="B17" s="3" t="s">
        <v>413</v>
      </c>
      <c r="C17" s="306">
        <v>0.1</v>
      </c>
      <c r="D17" s="694" t="s">
        <v>414</v>
      </c>
    </row>
    <row r="18" spans="1:5" x14ac:dyDescent="0.2">
      <c r="A18" s="5" t="s">
        <v>1584</v>
      </c>
      <c r="B18" s="3" t="s">
        <v>1675</v>
      </c>
      <c r="C18" s="306">
        <v>0.1</v>
      </c>
      <c r="D18" s="694" t="s">
        <v>414</v>
      </c>
    </row>
    <row r="19" spans="1:5" x14ac:dyDescent="0.2">
      <c r="A19" t="s">
        <v>0</v>
      </c>
      <c r="B19" s="3" t="s">
        <v>1</v>
      </c>
      <c r="C19" s="206">
        <v>1</v>
      </c>
      <c r="D19" s="694" t="s">
        <v>3722</v>
      </c>
      <c r="E19" s="7" t="s">
        <v>3723</v>
      </c>
    </row>
    <row r="20" spans="1:5" x14ac:dyDescent="0.2">
      <c r="A20" t="s">
        <v>1685</v>
      </c>
      <c r="B20" s="3" t="s">
        <v>1686</v>
      </c>
      <c r="C20" s="453">
        <v>0.01</v>
      </c>
      <c r="E20" s="7" t="s">
        <v>3723</v>
      </c>
    </row>
    <row r="21" spans="1:5" x14ac:dyDescent="0.2">
      <c r="B21" s="3"/>
      <c r="C21" s="454"/>
      <c r="E21" s="7"/>
    </row>
    <row r="22" spans="1:5" x14ac:dyDescent="0.2">
      <c r="A22" s="431" t="s">
        <v>1721</v>
      </c>
    </row>
    <row r="23" spans="1:5" x14ac:dyDescent="0.2">
      <c r="A23" t="s">
        <v>1533</v>
      </c>
      <c r="B23" s="3" t="s">
        <v>1534</v>
      </c>
      <c r="C23" s="51">
        <v>5</v>
      </c>
      <c r="D23" s="694" t="s">
        <v>1535</v>
      </c>
      <c r="E23" s="7" t="s">
        <v>1536</v>
      </c>
    </row>
    <row r="24" spans="1:5" x14ac:dyDescent="0.2">
      <c r="A24" s="5" t="s">
        <v>17</v>
      </c>
      <c r="B24" s="3" t="s">
        <v>18</v>
      </c>
      <c r="C24" s="51">
        <v>5</v>
      </c>
      <c r="D24" s="694" t="s">
        <v>1535</v>
      </c>
      <c r="E24" s="7" t="s">
        <v>1326</v>
      </c>
    </row>
    <row r="25" spans="1:5" x14ac:dyDescent="0.2">
      <c r="A25" t="s">
        <v>1537</v>
      </c>
      <c r="B25" s="3" t="s">
        <v>1538</v>
      </c>
      <c r="C25" s="51">
        <v>5</v>
      </c>
      <c r="D25" s="694" t="s">
        <v>1535</v>
      </c>
      <c r="E25" s="7" t="s">
        <v>1539</v>
      </c>
    </row>
    <row r="26" spans="1:5" x14ac:dyDescent="0.2">
      <c r="A26" t="s">
        <v>1322</v>
      </c>
      <c r="B26" s="3" t="s">
        <v>1323</v>
      </c>
      <c r="C26" s="51">
        <v>5</v>
      </c>
      <c r="D26" s="694" t="s">
        <v>1324</v>
      </c>
      <c r="E26" s="7" t="s">
        <v>1539</v>
      </c>
    </row>
    <row r="27" spans="1:5" x14ac:dyDescent="0.2">
      <c r="A27" s="5" t="s">
        <v>537</v>
      </c>
      <c r="B27" s="3" t="s">
        <v>538</v>
      </c>
      <c r="C27" s="51">
        <v>1</v>
      </c>
      <c r="D27" s="694" t="s">
        <v>539</v>
      </c>
      <c r="E27" s="7" t="s">
        <v>540</v>
      </c>
    </row>
    <row r="28" spans="1:5" x14ac:dyDescent="0.2">
      <c r="A28" t="s">
        <v>19</v>
      </c>
      <c r="B28" s="3" t="s">
        <v>1325</v>
      </c>
      <c r="C28" s="51">
        <v>1</v>
      </c>
      <c r="D28" s="694" t="s">
        <v>20</v>
      </c>
      <c r="E28" s="7"/>
    </row>
    <row r="29" spans="1:5" x14ac:dyDescent="0.2">
      <c r="A29" t="s">
        <v>409</v>
      </c>
      <c r="B29" s="3" t="s">
        <v>1554</v>
      </c>
      <c r="C29" s="51">
        <f>8/(20*27)</f>
        <v>1.4814814814814815E-2</v>
      </c>
      <c r="D29" s="694" t="s">
        <v>1555</v>
      </c>
      <c r="E29" s="7" t="s">
        <v>3431</v>
      </c>
    </row>
    <row r="30" spans="1:5" x14ac:dyDescent="0.2">
      <c r="B30" s="3"/>
      <c r="E30" s="7"/>
    </row>
    <row r="31" spans="1:5" x14ac:dyDescent="0.2">
      <c r="A31" s="2" t="s">
        <v>21</v>
      </c>
      <c r="B31" s="3"/>
    </row>
    <row r="32" spans="1:5" x14ac:dyDescent="0.2">
      <c r="A32" s="5" t="s">
        <v>22</v>
      </c>
      <c r="B32" s="3" t="s">
        <v>1710</v>
      </c>
      <c r="C32" s="51">
        <v>10</v>
      </c>
      <c r="D32" s="694" t="s">
        <v>1711</v>
      </c>
    </row>
    <row r="33" spans="1:5" x14ac:dyDescent="0.2">
      <c r="A33" s="5" t="s">
        <v>1712</v>
      </c>
      <c r="B33" s="3" t="s">
        <v>1713</v>
      </c>
      <c r="C33" s="51">
        <v>30.25</v>
      </c>
      <c r="D33" s="694" t="s">
        <v>1556</v>
      </c>
      <c r="E33" s="7" t="s">
        <v>1714</v>
      </c>
    </row>
    <row r="34" spans="1:5" x14ac:dyDescent="0.2">
      <c r="A34" s="5" t="s">
        <v>1715</v>
      </c>
      <c r="B34" s="3" t="s">
        <v>1716</v>
      </c>
      <c r="C34" s="51">
        <v>5</v>
      </c>
      <c r="D34" s="694" t="s">
        <v>1717</v>
      </c>
      <c r="E34" s="7" t="s">
        <v>1718</v>
      </c>
    </row>
    <row r="35" spans="1:5" x14ac:dyDescent="0.2">
      <c r="A35" s="5" t="s">
        <v>1719</v>
      </c>
      <c r="B35" s="3" t="s">
        <v>1720</v>
      </c>
      <c r="C35" s="51">
        <v>120</v>
      </c>
      <c r="D35" s="694" t="s">
        <v>1711</v>
      </c>
      <c r="E35" s="7"/>
    </row>
    <row r="36" spans="1:5" x14ac:dyDescent="0.2">
      <c r="B36" s="3"/>
      <c r="E36" s="7"/>
    </row>
    <row r="37" spans="1:5" x14ac:dyDescent="0.2">
      <c r="A37" s="431" t="s">
        <v>3355</v>
      </c>
      <c r="B37" s="3"/>
      <c r="E37" s="7"/>
    </row>
    <row r="38" spans="1:5" x14ac:dyDescent="0.2">
      <c r="A38" t="s">
        <v>10</v>
      </c>
      <c r="B38" s="57" t="s">
        <v>11</v>
      </c>
      <c r="C38" s="442">
        <v>0.3</v>
      </c>
      <c r="D38" s="694" t="s">
        <v>12</v>
      </c>
      <c r="E38" s="7" t="s">
        <v>4490</v>
      </c>
    </row>
    <row r="39" spans="1:5" x14ac:dyDescent="0.2">
      <c r="A39" t="s">
        <v>13</v>
      </c>
      <c r="B39" s="57" t="s">
        <v>14</v>
      </c>
      <c r="C39" s="442">
        <v>0.6</v>
      </c>
      <c r="D39" s="694" t="s">
        <v>12</v>
      </c>
    </row>
    <row r="40" spans="1:5" x14ac:dyDescent="0.2">
      <c r="A40" t="s">
        <v>15</v>
      </c>
      <c r="B40" s="57" t="s">
        <v>16</v>
      </c>
      <c r="C40" s="442">
        <v>1.2</v>
      </c>
      <c r="D40" s="694" t="s">
        <v>12</v>
      </c>
    </row>
    <row r="42" spans="1:5" x14ac:dyDescent="0.2">
      <c r="A42" t="s">
        <v>1726</v>
      </c>
      <c r="B42" s="3" t="s">
        <v>1727</v>
      </c>
      <c r="C42" s="51">
        <v>3</v>
      </c>
      <c r="D42" s="694" t="s">
        <v>1777</v>
      </c>
    </row>
    <row r="43" spans="1:5" x14ac:dyDescent="0.2">
      <c r="A43" t="s">
        <v>1778</v>
      </c>
      <c r="B43" s="3" t="s">
        <v>1779</v>
      </c>
      <c r="C43" s="51">
        <v>20</v>
      </c>
      <c r="D43" s="694" t="s">
        <v>1777</v>
      </c>
      <c r="E43" s="7" t="s">
        <v>3214</v>
      </c>
    </row>
    <row r="44" spans="1:5" x14ac:dyDescent="0.2">
      <c r="A44" t="s">
        <v>1780</v>
      </c>
      <c r="B44" s="3" t="s">
        <v>1781</v>
      </c>
      <c r="C44" s="51">
        <v>2</v>
      </c>
      <c r="D44" s="694" t="s">
        <v>1777</v>
      </c>
    </row>
    <row r="45" spans="1:5" x14ac:dyDescent="0.2">
      <c r="A45" t="s">
        <v>1782</v>
      </c>
      <c r="B45" s="3" t="s">
        <v>1783</v>
      </c>
      <c r="C45" s="51">
        <v>2</v>
      </c>
      <c r="D45" s="694" t="s">
        <v>1777</v>
      </c>
    </row>
    <row r="46" spans="1:5" x14ac:dyDescent="0.2">
      <c r="A46" t="s">
        <v>3485</v>
      </c>
      <c r="B46" s="3" t="s">
        <v>3486</v>
      </c>
      <c r="C46" s="51">
        <v>0.25</v>
      </c>
      <c r="D46" s="694" t="s">
        <v>3487</v>
      </c>
    </row>
    <row r="47" spans="1:5" x14ac:dyDescent="0.2">
      <c r="A47" t="s">
        <v>1621</v>
      </c>
      <c r="B47" s="57" t="s">
        <v>1622</v>
      </c>
      <c r="C47" s="51">
        <v>90</v>
      </c>
      <c r="D47" s="694" t="s">
        <v>397</v>
      </c>
      <c r="E47" s="7" t="s">
        <v>2131</v>
      </c>
    </row>
    <row r="48" spans="1:5" x14ac:dyDescent="0.2">
      <c r="A48" t="s">
        <v>1623</v>
      </c>
      <c r="B48" s="57" t="s">
        <v>1624</v>
      </c>
      <c r="C48" s="51">
        <v>90</v>
      </c>
      <c r="D48" s="694" t="s">
        <v>397</v>
      </c>
      <c r="E48" s="7" t="s">
        <v>1625</v>
      </c>
    </row>
    <row r="49" spans="1:5" x14ac:dyDescent="0.2">
      <c r="A49" t="s">
        <v>1626</v>
      </c>
      <c r="B49" s="57" t="s">
        <v>1627</v>
      </c>
      <c r="C49" s="51">
        <v>120</v>
      </c>
      <c r="D49" s="694" t="s">
        <v>397</v>
      </c>
      <c r="E49" s="7" t="s">
        <v>1628</v>
      </c>
    </row>
    <row r="50" spans="1:5" x14ac:dyDescent="0.2">
      <c r="A50" t="s">
        <v>2433</v>
      </c>
      <c r="B50" s="57" t="s">
        <v>2434</v>
      </c>
      <c r="C50" s="51">
        <v>120</v>
      </c>
      <c r="D50" s="694" t="s">
        <v>397</v>
      </c>
      <c r="E50" s="7"/>
    </row>
    <row r="51" spans="1:5" x14ac:dyDescent="0.2">
      <c r="A51" t="s">
        <v>2435</v>
      </c>
      <c r="B51" s="57" t="s">
        <v>2436</v>
      </c>
      <c r="C51" s="51">
        <v>185</v>
      </c>
      <c r="D51" s="694" t="s">
        <v>397</v>
      </c>
      <c r="E51" s="7" t="s">
        <v>2437</v>
      </c>
    </row>
    <row r="52" spans="1:5" x14ac:dyDescent="0.2">
      <c r="A52" t="s">
        <v>2438</v>
      </c>
      <c r="B52" s="57" t="s">
        <v>2439</v>
      </c>
      <c r="C52" s="51">
        <v>185</v>
      </c>
      <c r="D52" s="694" t="s">
        <v>397</v>
      </c>
      <c r="E52" s="7"/>
    </row>
    <row r="53" spans="1:5" x14ac:dyDescent="0.2">
      <c r="B53" s="3"/>
    </row>
    <row r="54" spans="1:5" x14ac:dyDescent="0.2">
      <c r="A54" t="s">
        <v>2132</v>
      </c>
      <c r="B54" s="3" t="s">
        <v>2133</v>
      </c>
      <c r="C54" s="51">
        <v>20</v>
      </c>
      <c r="D54" s="694" t="s">
        <v>2134</v>
      </c>
      <c r="E54" s="7" t="s">
        <v>4491</v>
      </c>
    </row>
    <row r="55" spans="1:5" x14ac:dyDescent="0.2">
      <c r="A55" t="s">
        <v>2135</v>
      </c>
      <c r="B55" s="3" t="s">
        <v>2136</v>
      </c>
      <c r="C55" s="51">
        <v>49</v>
      </c>
      <c r="D55" s="694" t="s">
        <v>2134</v>
      </c>
      <c r="E55" s="7" t="s">
        <v>4491</v>
      </c>
    </row>
    <row r="56" spans="1:5" x14ac:dyDescent="0.2">
      <c r="A56" t="s">
        <v>2137</v>
      </c>
      <c r="B56" s="3" t="s">
        <v>2138</v>
      </c>
      <c r="C56" s="184">
        <v>4260</v>
      </c>
      <c r="D56" s="694" t="s">
        <v>2139</v>
      </c>
      <c r="E56" s="7" t="s">
        <v>204</v>
      </c>
    </row>
    <row r="57" spans="1:5" x14ac:dyDescent="0.2">
      <c r="A57" t="s">
        <v>205</v>
      </c>
      <c r="B57" s="3" t="s">
        <v>206</v>
      </c>
      <c r="C57" s="184">
        <v>1415</v>
      </c>
      <c r="D57" s="694" t="s">
        <v>2139</v>
      </c>
      <c r="E57" s="7" t="s">
        <v>204</v>
      </c>
    </row>
    <row r="58" spans="1:5" x14ac:dyDescent="0.2">
      <c r="A58" t="s">
        <v>207</v>
      </c>
      <c r="B58" s="3" t="s">
        <v>2519</v>
      </c>
      <c r="C58" s="184">
        <v>168679</v>
      </c>
      <c r="D58" s="694" t="s">
        <v>2520</v>
      </c>
      <c r="E58" s="7" t="s">
        <v>204</v>
      </c>
    </row>
    <row r="59" spans="1:5" x14ac:dyDescent="0.2">
      <c r="A59" t="s">
        <v>2521</v>
      </c>
      <c r="B59" s="3" t="s">
        <v>2522</v>
      </c>
      <c r="C59" s="184">
        <v>51771</v>
      </c>
      <c r="D59" s="694" t="s">
        <v>2520</v>
      </c>
      <c r="E59" s="7" t="s">
        <v>204</v>
      </c>
    </row>
    <row r="60" spans="1:5" x14ac:dyDescent="0.2">
      <c r="A60" t="s">
        <v>2523</v>
      </c>
      <c r="B60" s="3" t="s">
        <v>2524</v>
      </c>
      <c r="C60" s="185">
        <v>0.98</v>
      </c>
      <c r="E60" s="7" t="s">
        <v>1739</v>
      </c>
    </row>
    <row r="61" spans="1:5" x14ac:dyDescent="0.2">
      <c r="A61" t="s">
        <v>2525</v>
      </c>
      <c r="B61" s="3" t="s">
        <v>2526</v>
      </c>
      <c r="C61" s="307">
        <v>3.3</v>
      </c>
      <c r="E61" s="7" t="s">
        <v>1739</v>
      </c>
    </row>
    <row r="62" spans="1:5" x14ac:dyDescent="0.2">
      <c r="A62" t="s">
        <v>1883</v>
      </c>
      <c r="B62" s="3" t="s">
        <v>1884</v>
      </c>
      <c r="C62" s="185">
        <v>0.85</v>
      </c>
      <c r="E62" s="7" t="s">
        <v>1739</v>
      </c>
    </row>
    <row r="63" spans="1:5" x14ac:dyDescent="0.2">
      <c r="A63" t="s">
        <v>1885</v>
      </c>
      <c r="B63" s="3" t="s">
        <v>1886</v>
      </c>
      <c r="C63" s="185">
        <v>0.9</v>
      </c>
      <c r="E63" s="7" t="s">
        <v>1739</v>
      </c>
    </row>
    <row r="64" spans="1:5" x14ac:dyDescent="0.2">
      <c r="A64" t="s">
        <v>1525</v>
      </c>
      <c r="B64" s="3" t="s">
        <v>1887</v>
      </c>
      <c r="C64" s="185">
        <v>0.82</v>
      </c>
      <c r="E64" s="7" t="s">
        <v>1739</v>
      </c>
    </row>
    <row r="65" spans="1:5" x14ac:dyDescent="0.2">
      <c r="A65" t="s">
        <v>1526</v>
      </c>
      <c r="B65" s="3" t="s">
        <v>1888</v>
      </c>
      <c r="C65" s="185">
        <v>0.9</v>
      </c>
      <c r="E65" s="7" t="s">
        <v>1739</v>
      </c>
    </row>
    <row r="66" spans="1:5" x14ac:dyDescent="0.2">
      <c r="A66" t="s">
        <v>1889</v>
      </c>
      <c r="B66" s="3" t="s">
        <v>1890</v>
      </c>
      <c r="C66" s="51">
        <v>11.8</v>
      </c>
      <c r="D66" s="694" t="s">
        <v>4485</v>
      </c>
      <c r="E66" s="7" t="s">
        <v>1739</v>
      </c>
    </row>
    <row r="67" spans="1:5" x14ac:dyDescent="0.2">
      <c r="A67" t="s">
        <v>1891</v>
      </c>
      <c r="B67" s="3" t="s">
        <v>1892</v>
      </c>
      <c r="C67" s="51">
        <v>11.8</v>
      </c>
      <c r="D67" s="694" t="s">
        <v>4485</v>
      </c>
      <c r="E67" s="7" t="s">
        <v>1739</v>
      </c>
    </row>
    <row r="69" spans="1:5" x14ac:dyDescent="0.2">
      <c r="A69" t="s">
        <v>1257</v>
      </c>
      <c r="B69" s="3" t="s">
        <v>2756</v>
      </c>
      <c r="C69" s="184">
        <v>139000</v>
      </c>
      <c r="D69" s="694" t="s">
        <v>2757</v>
      </c>
      <c r="E69" s="7" t="s">
        <v>3523</v>
      </c>
    </row>
  </sheetData>
  <phoneticPr fontId="0" type="noConversion"/>
  <pageMargins left="0.75" right="0.75" top="1" bottom="1" header="0.5" footer="0.5"/>
  <pageSetup orientation="portrait" horizontalDpi="90" verticalDpi="9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127"/>
  <sheetViews>
    <sheetView zoomScaleNormal="100" workbookViewId="0">
      <pane ySplit="4" topLeftCell="A5" activePane="bottomLeft" state="frozen"/>
      <selection pane="bottomLeft"/>
    </sheetView>
  </sheetViews>
  <sheetFormatPr defaultRowHeight="12.75" x14ac:dyDescent="0.2"/>
  <cols>
    <col min="1" max="1" width="60.28515625" customWidth="1"/>
    <col min="2" max="2" width="22.85546875" customWidth="1"/>
    <col min="3" max="3" width="15.7109375" customWidth="1"/>
    <col min="4" max="4" width="24.140625" style="694" customWidth="1"/>
    <col min="5" max="5" width="15.85546875" customWidth="1"/>
  </cols>
  <sheetData>
    <row r="1" spans="1:5" x14ac:dyDescent="0.2">
      <c r="A1" s="1" t="s">
        <v>3852</v>
      </c>
      <c r="B1" s="694"/>
      <c r="C1" s="726"/>
      <c r="E1" s="694"/>
    </row>
    <row r="2" spans="1:5" x14ac:dyDescent="0.2">
      <c r="A2" s="725" t="s">
        <v>3851</v>
      </c>
      <c r="B2" s="694"/>
      <c r="C2" s="726"/>
      <c r="E2" s="694"/>
    </row>
    <row r="3" spans="1:5" x14ac:dyDescent="0.2">
      <c r="A3" s="694"/>
      <c r="B3" s="694"/>
      <c r="C3" s="694"/>
      <c r="E3" s="694"/>
    </row>
    <row r="4" spans="1:5" x14ac:dyDescent="0.2">
      <c r="A4" s="193" t="s">
        <v>1639</v>
      </c>
      <c r="B4" s="193" t="s">
        <v>1640</v>
      </c>
      <c r="C4" s="194" t="s">
        <v>1641</v>
      </c>
      <c r="D4" s="193" t="s">
        <v>1642</v>
      </c>
      <c r="E4" s="193" t="s">
        <v>594</v>
      </c>
    </row>
    <row r="5" spans="1:5" x14ac:dyDescent="0.2">
      <c r="A5" s="2" t="s">
        <v>2332</v>
      </c>
      <c r="E5" s="7"/>
    </row>
    <row r="6" spans="1:5" x14ac:dyDescent="0.2">
      <c r="A6" s="5" t="s">
        <v>1644</v>
      </c>
      <c r="B6" s="3" t="s">
        <v>1645</v>
      </c>
      <c r="C6" s="124">
        <v>1</v>
      </c>
      <c r="D6" s="694" t="s">
        <v>3321</v>
      </c>
      <c r="E6" s="7"/>
    </row>
    <row r="7" spans="1:5" ht="25.5" x14ac:dyDescent="0.2">
      <c r="A7" s="5" t="s">
        <v>1646</v>
      </c>
      <c r="B7" s="3" t="s">
        <v>1647</v>
      </c>
      <c r="C7" s="477">
        <v>1</v>
      </c>
      <c r="D7" s="720" t="s">
        <v>4407</v>
      </c>
      <c r="E7" s="7" t="s">
        <v>4408</v>
      </c>
    </row>
    <row r="8" spans="1:5" x14ac:dyDescent="0.2">
      <c r="A8" s="5"/>
      <c r="E8" s="7"/>
    </row>
    <row r="9" spans="1:5" x14ac:dyDescent="0.2">
      <c r="A9" s="2" t="s">
        <v>2333</v>
      </c>
      <c r="E9" s="7"/>
    </row>
    <row r="10" spans="1:5" x14ac:dyDescent="0.2">
      <c r="A10" s="5" t="s">
        <v>1375</v>
      </c>
      <c r="B10" s="3" t="s">
        <v>1376</v>
      </c>
      <c r="C10" s="124">
        <v>1</v>
      </c>
      <c r="D10" s="694" t="s">
        <v>3321</v>
      </c>
      <c r="E10" s="7"/>
    </row>
    <row r="11" spans="1:5" x14ac:dyDescent="0.2">
      <c r="A11" s="5"/>
      <c r="B11" s="3"/>
      <c r="C11" s="196"/>
      <c r="E11" s="7"/>
    </row>
    <row r="12" spans="1:5" x14ac:dyDescent="0.2">
      <c r="A12" s="2" t="s">
        <v>3649</v>
      </c>
      <c r="E12" s="7"/>
    </row>
    <row r="13" spans="1:5" x14ac:dyDescent="0.2">
      <c r="A13" s="5" t="s">
        <v>3428</v>
      </c>
      <c r="B13" s="3" t="s">
        <v>3429</v>
      </c>
      <c r="C13" s="185">
        <v>0</v>
      </c>
      <c r="D13" s="694" t="s">
        <v>1380</v>
      </c>
      <c r="E13" s="7" t="s">
        <v>3430</v>
      </c>
    </row>
    <row r="14" spans="1:5" x14ac:dyDescent="0.2">
      <c r="A14" s="5" t="s">
        <v>1378</v>
      </c>
      <c r="B14" s="3" t="s">
        <v>1379</v>
      </c>
      <c r="C14" s="185">
        <v>0.05</v>
      </c>
      <c r="D14" s="694" t="s">
        <v>1380</v>
      </c>
      <c r="E14" s="197" t="s">
        <v>1381</v>
      </c>
    </row>
    <row r="15" spans="1:5" x14ac:dyDescent="0.2">
      <c r="A15" s="5" t="s">
        <v>1382</v>
      </c>
      <c r="B15" s="3" t="s">
        <v>1383</v>
      </c>
      <c r="C15" s="185">
        <v>0.04</v>
      </c>
      <c r="D15" s="694" t="s">
        <v>1380</v>
      </c>
      <c r="E15" s="7"/>
    </row>
    <row r="16" spans="1:5" x14ac:dyDescent="0.2">
      <c r="A16" s="5" t="s">
        <v>1384</v>
      </c>
      <c r="B16" s="3" t="s">
        <v>1385</v>
      </c>
      <c r="C16" s="185">
        <v>0.02</v>
      </c>
      <c r="D16" s="694" t="s">
        <v>1380</v>
      </c>
      <c r="E16" s="7"/>
    </row>
    <row r="17" spans="1:5" x14ac:dyDescent="0.2">
      <c r="A17" s="1"/>
      <c r="E17" s="7"/>
    </row>
    <row r="18" spans="1:5" x14ac:dyDescent="0.2">
      <c r="A18" s="198" t="s">
        <v>3650</v>
      </c>
      <c r="E18" s="7"/>
    </row>
    <row r="19" spans="1:5" x14ac:dyDescent="0.2">
      <c r="A19" s="5" t="s">
        <v>1659</v>
      </c>
      <c r="B19" s="3" t="s">
        <v>1660</v>
      </c>
      <c r="C19" s="442">
        <v>1</v>
      </c>
      <c r="D19" s="694" t="s">
        <v>3321</v>
      </c>
      <c r="E19" s="7" t="s">
        <v>1661</v>
      </c>
    </row>
    <row r="20" spans="1:5" x14ac:dyDescent="0.2">
      <c r="A20" s="5" t="s">
        <v>3412</v>
      </c>
      <c r="B20" s="3" t="s">
        <v>3413</v>
      </c>
      <c r="C20" s="442">
        <v>0</v>
      </c>
      <c r="D20" s="694" t="s">
        <v>3321</v>
      </c>
      <c r="E20" s="7"/>
    </row>
    <row r="21" spans="1:5" x14ac:dyDescent="0.2">
      <c r="A21" s="1"/>
      <c r="E21" s="7"/>
    </row>
    <row r="22" spans="1:5" x14ac:dyDescent="0.2">
      <c r="A22" s="198" t="s">
        <v>1386</v>
      </c>
      <c r="E22" s="7"/>
    </row>
    <row r="23" spans="1:5" x14ac:dyDescent="0.2">
      <c r="A23" s="199" t="s">
        <v>1387</v>
      </c>
      <c r="B23" s="3" t="s">
        <v>1388</v>
      </c>
      <c r="C23" s="185">
        <v>0</v>
      </c>
      <c r="D23" s="694" t="s">
        <v>1380</v>
      </c>
      <c r="E23" s="7" t="s">
        <v>1389</v>
      </c>
    </row>
    <row r="24" spans="1:5" x14ac:dyDescent="0.2">
      <c r="A24" s="5"/>
      <c r="B24" s="3"/>
      <c r="C24" s="12"/>
      <c r="E24" s="7"/>
    </row>
    <row r="25" spans="1:5" x14ac:dyDescent="0.2">
      <c r="A25" s="2" t="s">
        <v>1390</v>
      </c>
      <c r="E25" s="7"/>
    </row>
    <row r="26" spans="1:5" x14ac:dyDescent="0.2">
      <c r="A26" s="5" t="s">
        <v>1391</v>
      </c>
      <c r="B26" s="3" t="s">
        <v>1392</v>
      </c>
      <c r="C26" s="124">
        <v>1</v>
      </c>
      <c r="D26" s="694" t="s">
        <v>3321</v>
      </c>
      <c r="E26" s="7"/>
    </row>
    <row r="27" spans="1:5" x14ac:dyDescent="0.2">
      <c r="B27" s="3"/>
      <c r="C27" s="21"/>
      <c r="D27" s="696"/>
      <c r="E27" s="7"/>
    </row>
    <row r="28" spans="1:5" x14ac:dyDescent="0.2">
      <c r="A28" s="2" t="s">
        <v>2327</v>
      </c>
      <c r="E28" s="7"/>
    </row>
    <row r="29" spans="1:5" x14ac:dyDescent="0.2">
      <c r="A29" s="5" t="s">
        <v>1393</v>
      </c>
      <c r="B29" s="3" t="s">
        <v>1394</v>
      </c>
      <c r="C29" s="124">
        <v>1</v>
      </c>
      <c r="D29" s="694" t="s">
        <v>3321</v>
      </c>
      <c r="E29" s="7"/>
    </row>
    <row r="30" spans="1:5" x14ac:dyDescent="0.2">
      <c r="A30" t="s">
        <v>211</v>
      </c>
      <c r="B30" s="3" t="s">
        <v>212</v>
      </c>
      <c r="C30" s="51">
        <v>38</v>
      </c>
      <c r="D30" s="694" t="s">
        <v>1253</v>
      </c>
      <c r="E30" s="7" t="s">
        <v>2189</v>
      </c>
    </row>
    <row r="31" spans="1:5" x14ac:dyDescent="0.2">
      <c r="A31" t="s">
        <v>213</v>
      </c>
      <c r="B31" s="3" t="s">
        <v>214</v>
      </c>
      <c r="C31" s="51">
        <v>36</v>
      </c>
      <c r="D31" s="694" t="s">
        <v>1253</v>
      </c>
      <c r="E31" s="7" t="s">
        <v>215</v>
      </c>
    </row>
    <row r="32" spans="1:5" x14ac:dyDescent="0.2">
      <c r="A32" t="s">
        <v>216</v>
      </c>
      <c r="B32" s="3" t="s">
        <v>217</v>
      </c>
      <c r="C32" s="51">
        <v>97</v>
      </c>
      <c r="D32" s="694" t="s">
        <v>218</v>
      </c>
      <c r="E32" s="7" t="s">
        <v>219</v>
      </c>
    </row>
    <row r="33" spans="1:5" x14ac:dyDescent="0.2">
      <c r="A33" t="s">
        <v>220</v>
      </c>
      <c r="B33" s="3" t="s">
        <v>221</v>
      </c>
      <c r="C33" s="51">
        <v>3</v>
      </c>
      <c r="E33" s="7"/>
    </row>
    <row r="34" spans="1:5" x14ac:dyDescent="0.2">
      <c r="A34" t="s">
        <v>222</v>
      </c>
      <c r="B34" s="3" t="s">
        <v>223</v>
      </c>
      <c r="C34" s="51">
        <v>0.46700000000000003</v>
      </c>
      <c r="E34" s="7"/>
    </row>
    <row r="35" spans="1:5" x14ac:dyDescent="0.2">
      <c r="A35" t="s">
        <v>224</v>
      </c>
      <c r="B35" s="3" t="s">
        <v>225</v>
      </c>
      <c r="C35" s="51">
        <v>6</v>
      </c>
      <c r="D35" s="694" t="s">
        <v>1253</v>
      </c>
      <c r="E35" s="7"/>
    </row>
    <row r="36" spans="1:5" x14ac:dyDescent="0.2">
      <c r="A36" t="s">
        <v>226</v>
      </c>
      <c r="B36" s="3" t="s">
        <v>227</v>
      </c>
      <c r="C36" s="185">
        <v>0.25</v>
      </c>
      <c r="D36" s="694" t="s">
        <v>228</v>
      </c>
      <c r="E36" s="7"/>
    </row>
    <row r="37" spans="1:5" x14ac:dyDescent="0.2">
      <c r="A37" s="69" t="s">
        <v>229</v>
      </c>
      <c r="B37" s="3" t="s">
        <v>230</v>
      </c>
      <c r="C37" s="51">
        <f>RADIANS(45)</f>
        <v>0.78539816339744828</v>
      </c>
      <c r="D37" s="694" t="s">
        <v>231</v>
      </c>
      <c r="E37" s="7"/>
    </row>
    <row r="38" spans="1:5" x14ac:dyDescent="0.2">
      <c r="A38" t="s">
        <v>232</v>
      </c>
      <c r="B38" s="3" t="s">
        <v>233</v>
      </c>
      <c r="C38" s="51">
        <v>0</v>
      </c>
      <c r="D38" s="694" t="s">
        <v>605</v>
      </c>
      <c r="E38" s="7" t="s">
        <v>234</v>
      </c>
    </row>
    <row r="39" spans="1:5" x14ac:dyDescent="0.2">
      <c r="A39" t="s">
        <v>235</v>
      </c>
      <c r="B39" s="3" t="s">
        <v>236</v>
      </c>
      <c r="C39" s="51">
        <v>0</v>
      </c>
      <c r="D39" s="694" t="s">
        <v>605</v>
      </c>
      <c r="E39" s="7" t="s">
        <v>237</v>
      </c>
    </row>
    <row r="41" spans="1:5" x14ac:dyDescent="0.2">
      <c r="A41" s="2" t="s">
        <v>1438</v>
      </c>
      <c r="E41" s="7"/>
    </row>
    <row r="42" spans="1:5" x14ac:dyDescent="0.2">
      <c r="A42" s="5" t="s">
        <v>1395</v>
      </c>
      <c r="B42" s="3" t="s">
        <v>1396</v>
      </c>
      <c r="C42" s="124">
        <v>0</v>
      </c>
      <c r="D42" s="694" t="s">
        <v>3321</v>
      </c>
      <c r="E42" s="7" t="s">
        <v>408</v>
      </c>
    </row>
    <row r="43" spans="1:5" x14ac:dyDescent="0.2">
      <c r="A43" s="5" t="s">
        <v>1397</v>
      </c>
      <c r="B43" s="3" t="s">
        <v>1398</v>
      </c>
      <c r="C43" s="124">
        <v>0</v>
      </c>
      <c r="D43" s="694" t="s">
        <v>3321</v>
      </c>
      <c r="E43" s="7"/>
    </row>
    <row r="44" spans="1:5" x14ac:dyDescent="0.2">
      <c r="A44" s="5" t="s">
        <v>1399</v>
      </c>
      <c r="B44" s="3" t="s">
        <v>1400</v>
      </c>
      <c r="C44" s="124">
        <v>1</v>
      </c>
      <c r="D44" s="694" t="s">
        <v>3321</v>
      </c>
      <c r="E44" s="7"/>
    </row>
    <row r="45" spans="1:5" x14ac:dyDescent="0.2">
      <c r="A45" t="s">
        <v>1439</v>
      </c>
      <c r="B45" s="3" t="s">
        <v>1440</v>
      </c>
      <c r="C45" s="51">
        <v>4</v>
      </c>
      <c r="D45" s="694" t="s">
        <v>605</v>
      </c>
      <c r="E45" s="7"/>
    </row>
    <row r="46" spans="1:5" x14ac:dyDescent="0.2">
      <c r="A46" t="s">
        <v>1441</v>
      </c>
      <c r="B46" s="3" t="s">
        <v>1732</v>
      </c>
      <c r="C46" s="51">
        <v>4</v>
      </c>
      <c r="D46" s="694" t="s">
        <v>605</v>
      </c>
      <c r="E46" s="7"/>
    </row>
    <row r="47" spans="1:5" x14ac:dyDescent="0.2">
      <c r="A47" t="s">
        <v>1733</v>
      </c>
      <c r="B47" s="3" t="s">
        <v>1734</v>
      </c>
      <c r="C47" s="51">
        <v>7</v>
      </c>
      <c r="D47" s="694" t="s">
        <v>605</v>
      </c>
      <c r="E47" s="7"/>
    </row>
    <row r="48" spans="1:5" x14ac:dyDescent="0.2">
      <c r="A48" t="s">
        <v>1854</v>
      </c>
      <c r="B48" s="3" t="s">
        <v>1855</v>
      </c>
      <c r="C48" s="51">
        <v>10</v>
      </c>
      <c r="D48" s="694" t="s">
        <v>605</v>
      </c>
      <c r="E48" s="7"/>
    </row>
    <row r="49" spans="1:5" x14ac:dyDescent="0.2">
      <c r="A49" t="s">
        <v>1856</v>
      </c>
      <c r="B49" s="3" t="s">
        <v>1857</v>
      </c>
      <c r="C49" s="51">
        <v>25</v>
      </c>
      <c r="D49" s="694" t="s">
        <v>605</v>
      </c>
      <c r="E49" s="7"/>
    </row>
    <row r="50" spans="1:5" x14ac:dyDescent="0.2">
      <c r="A50" t="s">
        <v>1858</v>
      </c>
      <c r="B50" s="3" t="s">
        <v>1859</v>
      </c>
      <c r="C50" s="51">
        <v>50</v>
      </c>
      <c r="D50" s="694" t="s">
        <v>605</v>
      </c>
      <c r="E50" s="7"/>
    </row>
    <row r="51" spans="1:5" x14ac:dyDescent="0.2">
      <c r="A51" t="s">
        <v>1860</v>
      </c>
      <c r="B51" s="3" t="s">
        <v>1861</v>
      </c>
      <c r="C51" s="51">
        <v>20</v>
      </c>
      <c r="D51" s="694" t="s">
        <v>605</v>
      </c>
      <c r="E51" s="7" t="s">
        <v>1862</v>
      </c>
    </row>
    <row r="52" spans="1:5" x14ac:dyDescent="0.2">
      <c r="A52" t="s">
        <v>1737</v>
      </c>
      <c r="B52" s="3" t="s">
        <v>1738</v>
      </c>
      <c r="C52" s="51">
        <v>2000</v>
      </c>
      <c r="D52" s="694" t="s">
        <v>1226</v>
      </c>
      <c r="E52" s="7" t="s">
        <v>1606</v>
      </c>
    </row>
    <row r="53" spans="1:5" x14ac:dyDescent="0.2">
      <c r="A53" t="s">
        <v>1607</v>
      </c>
      <c r="B53" s="3" t="s">
        <v>1608</v>
      </c>
      <c r="C53" s="51">
        <v>4</v>
      </c>
      <c r="E53" s="7"/>
    </row>
    <row r="54" spans="1:5" x14ac:dyDescent="0.2">
      <c r="A54" t="s">
        <v>1609</v>
      </c>
      <c r="B54" s="3" t="s">
        <v>1610</v>
      </c>
      <c r="C54" s="51">
        <v>1000</v>
      </c>
      <c r="D54" s="694" t="s">
        <v>1226</v>
      </c>
      <c r="E54" s="7"/>
    </row>
    <row r="55" spans="1:5" x14ac:dyDescent="0.2">
      <c r="A55" t="s">
        <v>1611</v>
      </c>
      <c r="B55" s="3" t="s">
        <v>1612</v>
      </c>
      <c r="C55" s="51">
        <v>24</v>
      </c>
      <c r="D55" s="694" t="s">
        <v>1613</v>
      </c>
      <c r="E55" s="7"/>
    </row>
    <row r="56" spans="1:5" x14ac:dyDescent="0.2">
      <c r="A56" t="s">
        <v>1614</v>
      </c>
      <c r="B56" s="3" t="s">
        <v>1615</v>
      </c>
      <c r="C56" s="51">
        <v>55.5</v>
      </c>
      <c r="D56" s="694" t="s">
        <v>209</v>
      </c>
      <c r="E56" s="7" t="s">
        <v>210</v>
      </c>
    </row>
    <row r="58" spans="1:5" x14ac:dyDescent="0.2">
      <c r="A58" s="2" t="s">
        <v>2329</v>
      </c>
      <c r="E58" s="7"/>
    </row>
    <row r="59" spans="1:5" x14ac:dyDescent="0.2">
      <c r="A59" t="s">
        <v>1401</v>
      </c>
      <c r="B59" s="3" t="s">
        <v>1402</v>
      </c>
      <c r="C59" s="124">
        <v>1</v>
      </c>
      <c r="D59" s="694" t="s">
        <v>3321</v>
      </c>
      <c r="E59" s="7"/>
    </row>
    <row r="60" spans="1:5" x14ac:dyDescent="0.2">
      <c r="A60" t="s">
        <v>3415</v>
      </c>
      <c r="B60" s="3" t="s">
        <v>3416</v>
      </c>
      <c r="C60" s="124">
        <v>0</v>
      </c>
      <c r="D60" s="694" t="s">
        <v>3321</v>
      </c>
      <c r="E60" s="7"/>
    </row>
    <row r="61" spans="1:5" x14ac:dyDescent="0.2">
      <c r="A61" t="s">
        <v>297</v>
      </c>
      <c r="B61" s="3" t="s">
        <v>298</v>
      </c>
      <c r="C61" s="185">
        <v>0</v>
      </c>
      <c r="E61" s="7" t="s">
        <v>1850</v>
      </c>
    </row>
    <row r="62" spans="1:5" x14ac:dyDescent="0.2">
      <c r="A62" t="s">
        <v>1851</v>
      </c>
      <c r="B62" s="3" t="s">
        <v>1852</v>
      </c>
      <c r="C62" s="200">
        <v>0</v>
      </c>
      <c r="D62" s="694" t="s">
        <v>3321</v>
      </c>
      <c r="E62" s="7" t="s">
        <v>3692</v>
      </c>
    </row>
    <row r="63" spans="1:5" x14ac:dyDescent="0.2">
      <c r="A63" t="s">
        <v>3693</v>
      </c>
      <c r="B63" s="3" t="s">
        <v>3694</v>
      </c>
      <c r="C63" s="200">
        <v>0</v>
      </c>
      <c r="D63" s="694" t="s">
        <v>3321</v>
      </c>
      <c r="E63" s="7" t="s">
        <v>3695</v>
      </c>
    </row>
    <row r="64" spans="1:5" x14ac:dyDescent="0.2">
      <c r="A64" t="s">
        <v>2575</v>
      </c>
      <c r="B64" s="3" t="s">
        <v>2576</v>
      </c>
      <c r="C64" s="200">
        <v>1.5</v>
      </c>
      <c r="D64" s="694" t="s">
        <v>238</v>
      </c>
      <c r="E64" s="7"/>
    </row>
    <row r="66" spans="1:5" x14ac:dyDescent="0.2">
      <c r="A66" s="198" t="s">
        <v>2330</v>
      </c>
      <c r="B66" s="3"/>
      <c r="C66" s="10"/>
      <c r="E66" s="7"/>
    </row>
    <row r="67" spans="1:5" x14ac:dyDescent="0.2">
      <c r="A67" s="5" t="s">
        <v>1403</v>
      </c>
      <c r="B67" s="3" t="s">
        <v>1404</v>
      </c>
      <c r="C67" s="185">
        <v>0.1</v>
      </c>
      <c r="D67" s="694" t="s">
        <v>1405</v>
      </c>
      <c r="E67" s="197"/>
    </row>
    <row r="68" spans="1:5" x14ac:dyDescent="0.2">
      <c r="B68" s="3"/>
      <c r="C68" s="10"/>
      <c r="E68" s="7"/>
    </row>
    <row r="69" spans="1:5" x14ac:dyDescent="0.2">
      <c r="A69" s="198" t="s">
        <v>2331</v>
      </c>
      <c r="E69" s="7"/>
    </row>
    <row r="70" spans="1:5" x14ac:dyDescent="0.2">
      <c r="A70" t="s">
        <v>1406</v>
      </c>
      <c r="B70" s="3" t="s">
        <v>1407</v>
      </c>
      <c r="C70" s="185">
        <v>0</v>
      </c>
      <c r="D70" s="694" t="s">
        <v>1405</v>
      </c>
      <c r="E70" s="7" t="s">
        <v>1408</v>
      </c>
    </row>
    <row r="71" spans="1:5" x14ac:dyDescent="0.2">
      <c r="E71" s="7"/>
    </row>
    <row r="72" spans="1:5" x14ac:dyDescent="0.2">
      <c r="A72" s="2" t="s">
        <v>2169</v>
      </c>
      <c r="E72" s="7"/>
    </row>
    <row r="73" spans="1:5" x14ac:dyDescent="0.2">
      <c r="A73" s="5" t="s">
        <v>3421</v>
      </c>
      <c r="B73" s="3" t="s">
        <v>3422</v>
      </c>
      <c r="C73" s="124">
        <v>0</v>
      </c>
      <c r="D73" s="694" t="s">
        <v>3321</v>
      </c>
      <c r="E73" s="7"/>
    </row>
    <row r="74" spans="1:5" x14ac:dyDescent="0.2">
      <c r="A74" s="5" t="s">
        <v>3423</v>
      </c>
      <c r="B74" s="3" t="s">
        <v>3424</v>
      </c>
      <c r="C74" s="124">
        <v>0</v>
      </c>
      <c r="D74" s="694" t="s">
        <v>3321</v>
      </c>
      <c r="E74" s="7"/>
    </row>
    <row r="75" spans="1:5" x14ac:dyDescent="0.2">
      <c r="A75" s="5" t="s">
        <v>3425</v>
      </c>
      <c r="B75" s="3" t="s">
        <v>3426</v>
      </c>
      <c r="C75" s="124">
        <v>1</v>
      </c>
      <c r="D75" s="694" t="s">
        <v>3321</v>
      </c>
      <c r="E75" s="7"/>
    </row>
    <row r="76" spans="1:5" x14ac:dyDescent="0.2">
      <c r="A76" t="s">
        <v>294</v>
      </c>
      <c r="B76" s="3" t="s">
        <v>295</v>
      </c>
      <c r="C76" s="201">
        <v>1.5</v>
      </c>
      <c r="E76" s="7" t="s">
        <v>296</v>
      </c>
    </row>
    <row r="77" spans="1:5" x14ac:dyDescent="0.2">
      <c r="E77" s="7"/>
    </row>
    <row r="78" spans="1:5" x14ac:dyDescent="0.2">
      <c r="A78" s="2" t="s">
        <v>2170</v>
      </c>
      <c r="E78" s="7"/>
    </row>
    <row r="79" spans="1:5" x14ac:dyDescent="0.2">
      <c r="A79" s="5" t="s">
        <v>1409</v>
      </c>
      <c r="B79" s="3" t="s">
        <v>1410</v>
      </c>
      <c r="C79" s="185">
        <v>0.2</v>
      </c>
      <c r="D79" s="694" t="s">
        <v>1380</v>
      </c>
      <c r="E79" s="197" t="s">
        <v>1411</v>
      </c>
    </row>
    <row r="80" spans="1:5" x14ac:dyDescent="0.2">
      <c r="A80" s="5" t="s">
        <v>1412</v>
      </c>
      <c r="B80" s="3" t="s">
        <v>1413</v>
      </c>
      <c r="C80" s="185">
        <v>0.12</v>
      </c>
      <c r="D80" s="694" t="s">
        <v>1380</v>
      </c>
      <c r="E80" s="7"/>
    </row>
    <row r="81" spans="1:5" x14ac:dyDescent="0.2">
      <c r="A81" s="5" t="s">
        <v>1414</v>
      </c>
      <c r="B81" s="3" t="s">
        <v>1415</v>
      </c>
      <c r="C81" s="185">
        <v>0.08</v>
      </c>
      <c r="D81" s="694" t="s">
        <v>1380</v>
      </c>
      <c r="E81" s="7"/>
    </row>
    <row r="82" spans="1:5" x14ac:dyDescent="0.2">
      <c r="E82" s="7"/>
    </row>
    <row r="83" spans="1:5" x14ac:dyDescent="0.2">
      <c r="A83" s="198" t="s">
        <v>570</v>
      </c>
      <c r="E83" s="7"/>
    </row>
    <row r="84" spans="1:5" x14ac:dyDescent="0.2">
      <c r="A84" s="199" t="s">
        <v>3256</v>
      </c>
      <c r="B84" s="202" t="s">
        <v>3257</v>
      </c>
      <c r="C84" s="203">
        <v>0.1</v>
      </c>
      <c r="D84" s="694" t="s">
        <v>1380</v>
      </c>
      <c r="E84" s="197" t="s">
        <v>2574</v>
      </c>
    </row>
    <row r="85" spans="1:5" x14ac:dyDescent="0.2">
      <c r="A85" s="199"/>
      <c r="B85" s="204"/>
      <c r="C85" s="205"/>
      <c r="E85" s="197"/>
    </row>
    <row r="86" spans="1:5" x14ac:dyDescent="0.2">
      <c r="A86" s="198" t="s">
        <v>3342</v>
      </c>
      <c r="B86" s="204"/>
      <c r="C86" s="205"/>
      <c r="E86" s="197"/>
    </row>
    <row r="87" spans="1:5" x14ac:dyDescent="0.2">
      <c r="A87" s="199" t="s">
        <v>798</v>
      </c>
      <c r="B87" s="202" t="s">
        <v>799</v>
      </c>
      <c r="C87" s="203">
        <v>0.02</v>
      </c>
      <c r="D87" s="694" t="s">
        <v>1380</v>
      </c>
      <c r="E87" s="197" t="s">
        <v>800</v>
      </c>
    </row>
    <row r="88" spans="1:5" x14ac:dyDescent="0.2">
      <c r="A88" s="199"/>
      <c r="B88" s="204"/>
      <c r="C88" s="205"/>
      <c r="E88" s="197"/>
    </row>
    <row r="89" spans="1:5" x14ac:dyDescent="0.2">
      <c r="A89" s="198" t="s">
        <v>3343</v>
      </c>
      <c r="B89" s="204"/>
      <c r="C89" s="205"/>
      <c r="E89" s="197"/>
    </row>
    <row r="90" spans="1:5" x14ac:dyDescent="0.2">
      <c r="A90" s="199" t="s">
        <v>801</v>
      </c>
      <c r="B90" s="202" t="s">
        <v>802</v>
      </c>
      <c r="C90" s="203">
        <v>0</v>
      </c>
      <c r="D90" s="694" t="s">
        <v>1380</v>
      </c>
      <c r="E90" s="197" t="s">
        <v>3344</v>
      </c>
    </row>
    <row r="91" spans="1:5" x14ac:dyDescent="0.2">
      <c r="A91" s="5"/>
      <c r="B91" s="204"/>
      <c r="C91" s="205"/>
      <c r="E91" s="197"/>
    </row>
    <row r="92" spans="1:5" x14ac:dyDescent="0.2">
      <c r="A92" s="2" t="s">
        <v>3345</v>
      </c>
      <c r="B92" s="204"/>
      <c r="C92" s="205"/>
      <c r="E92" s="197"/>
    </row>
    <row r="93" spans="1:5" x14ac:dyDescent="0.2">
      <c r="A93" s="5" t="s">
        <v>803</v>
      </c>
      <c r="B93" s="202" t="s">
        <v>804</v>
      </c>
      <c r="C93" s="499">
        <v>0.05</v>
      </c>
      <c r="D93" s="694" t="s">
        <v>1380</v>
      </c>
      <c r="E93" s="197" t="s">
        <v>805</v>
      </c>
    </row>
    <row r="94" spans="1:5" x14ac:dyDescent="0.2">
      <c r="A94" s="5" t="s">
        <v>3418</v>
      </c>
      <c r="B94" s="202" t="s">
        <v>3419</v>
      </c>
      <c r="C94" s="499">
        <v>0</v>
      </c>
      <c r="D94" s="694" t="s">
        <v>1380</v>
      </c>
      <c r="E94" s="197" t="s">
        <v>3420</v>
      </c>
    </row>
    <row r="96" spans="1:5" x14ac:dyDescent="0.2">
      <c r="A96" s="431" t="s">
        <v>1662</v>
      </c>
      <c r="B96" s="202"/>
    </row>
    <row r="97" spans="1:6" x14ac:dyDescent="0.2">
      <c r="A97" t="s">
        <v>1740</v>
      </c>
      <c r="B97" s="202" t="s">
        <v>1741</v>
      </c>
      <c r="C97" s="443">
        <v>3.3999999999999998E-3</v>
      </c>
      <c r="E97" s="197" t="s">
        <v>1742</v>
      </c>
    </row>
    <row r="98" spans="1:6" x14ac:dyDescent="0.2">
      <c r="A98" t="s">
        <v>1743</v>
      </c>
      <c r="B98" s="202" t="s">
        <v>1744</v>
      </c>
      <c r="C98" s="409">
        <v>1</v>
      </c>
      <c r="D98" s="694" t="s">
        <v>3321</v>
      </c>
      <c r="E98" s="197"/>
    </row>
    <row r="99" spans="1:6" x14ac:dyDescent="0.2">
      <c r="A99" t="s">
        <v>1745</v>
      </c>
      <c r="B99" s="202" t="s">
        <v>1746</v>
      </c>
      <c r="C99" s="409">
        <v>1</v>
      </c>
      <c r="D99" s="694" t="s">
        <v>3321</v>
      </c>
      <c r="E99" s="197"/>
    </row>
    <row r="100" spans="1:6" x14ac:dyDescent="0.2">
      <c r="A100" t="s">
        <v>2288</v>
      </c>
      <c r="B100" s="202" t="s">
        <v>2289</v>
      </c>
      <c r="C100" s="409">
        <v>0</v>
      </c>
      <c r="D100" s="694" t="s">
        <v>3321</v>
      </c>
    </row>
    <row r="102" spans="1:6" x14ac:dyDescent="0.2">
      <c r="A102" s="2" t="s">
        <v>2456</v>
      </c>
      <c r="B102" s="1"/>
      <c r="C102" s="195"/>
      <c r="D102" s="1"/>
      <c r="E102" s="1"/>
    </row>
    <row r="103" spans="1:6" x14ac:dyDescent="0.2">
      <c r="A103" s="5" t="s">
        <v>3297</v>
      </c>
      <c r="B103" s="3" t="s">
        <v>3298</v>
      </c>
      <c r="C103" s="124">
        <v>1</v>
      </c>
      <c r="D103" s="694" t="s">
        <v>3321</v>
      </c>
      <c r="E103" s="1"/>
    </row>
    <row r="104" spans="1:6" x14ac:dyDescent="0.2">
      <c r="A104" s="5"/>
      <c r="B104" s="3"/>
      <c r="C104" s="196"/>
      <c r="E104" s="1"/>
    </row>
    <row r="105" spans="1:6" ht="13.5" thickBot="1" x14ac:dyDescent="0.25">
      <c r="A105" s="729" t="s">
        <v>2490</v>
      </c>
      <c r="B105" s="694"/>
      <c r="C105" s="694"/>
      <c r="E105" s="7"/>
    </row>
    <row r="106" spans="1:6" x14ac:dyDescent="0.2">
      <c r="A106" s="1030" t="s">
        <v>2491</v>
      </c>
      <c r="B106" s="1032" t="s">
        <v>1640</v>
      </c>
      <c r="C106" s="1034" t="s">
        <v>3383</v>
      </c>
      <c r="D106" s="1034"/>
      <c r="E106" s="1035"/>
    </row>
    <row r="107" spans="1:6" x14ac:dyDescent="0.2">
      <c r="A107" s="1031"/>
      <c r="B107" s="1033"/>
      <c r="C107" s="727" t="s">
        <v>2492</v>
      </c>
      <c r="D107" s="727" t="s">
        <v>2493</v>
      </c>
      <c r="E107" s="730" t="s">
        <v>2494</v>
      </c>
    </row>
    <row r="108" spans="1:6" x14ac:dyDescent="0.2">
      <c r="A108" s="474" t="s">
        <v>2495</v>
      </c>
      <c r="C108" s="431"/>
      <c r="D108" s="2"/>
      <c r="E108" s="475"/>
    </row>
    <row r="109" spans="1:6" x14ac:dyDescent="0.2">
      <c r="A109" s="476" t="s">
        <v>2496</v>
      </c>
      <c r="B109" s="3" t="s">
        <v>2497</v>
      </c>
      <c r="C109" s="477">
        <v>0</v>
      </c>
      <c r="D109" s="477">
        <v>1</v>
      </c>
      <c r="E109" s="478">
        <v>1</v>
      </c>
      <c r="F109" s="3"/>
    </row>
    <row r="110" spans="1:6" x14ac:dyDescent="0.2">
      <c r="A110" s="476" t="s">
        <v>2498</v>
      </c>
      <c r="C110" s="477">
        <v>1</v>
      </c>
      <c r="D110" s="477">
        <v>1</v>
      </c>
      <c r="E110" s="478">
        <v>1</v>
      </c>
    </row>
    <row r="111" spans="1:6" x14ac:dyDescent="0.2">
      <c r="A111" s="476" t="s">
        <v>2499</v>
      </c>
      <c r="C111" s="477">
        <v>1</v>
      </c>
      <c r="D111" s="477">
        <v>1</v>
      </c>
      <c r="E111" s="478">
        <v>1</v>
      </c>
    </row>
    <row r="112" spans="1:6" x14ac:dyDescent="0.2">
      <c r="A112" s="474" t="s">
        <v>2500</v>
      </c>
      <c r="E112" s="479"/>
    </row>
    <row r="113" spans="1:6" x14ac:dyDescent="0.2">
      <c r="A113" s="476" t="s">
        <v>2496</v>
      </c>
      <c r="B113" s="3" t="s">
        <v>2501</v>
      </c>
      <c r="C113" s="51">
        <v>0</v>
      </c>
      <c r="D113" s="477">
        <v>0</v>
      </c>
      <c r="E113" s="52">
        <v>1</v>
      </c>
      <c r="F113" s="3"/>
    </row>
    <row r="114" spans="1:6" x14ac:dyDescent="0.2">
      <c r="A114" s="476" t="s">
        <v>2498</v>
      </c>
      <c r="C114" s="51">
        <v>0</v>
      </c>
      <c r="D114" s="477">
        <v>0</v>
      </c>
      <c r="E114" s="52">
        <v>1</v>
      </c>
    </row>
    <row r="115" spans="1:6" ht="13.5" thickBot="1" x14ac:dyDescent="0.25">
      <c r="A115" s="480" t="s">
        <v>2499</v>
      </c>
      <c r="B115" s="481"/>
      <c r="C115" s="55">
        <v>1</v>
      </c>
      <c r="D115" s="724">
        <v>1</v>
      </c>
      <c r="E115" s="56">
        <v>1</v>
      </c>
    </row>
    <row r="116" spans="1:6" x14ac:dyDescent="0.2">
      <c r="A116" s="728"/>
    </row>
    <row r="117" spans="1:6" ht="13.5" thickBot="1" x14ac:dyDescent="0.25">
      <c r="A117" s="731" t="s">
        <v>2502</v>
      </c>
      <c r="B117" s="720"/>
      <c r="C117" s="694"/>
      <c r="E117" s="694"/>
    </row>
    <row r="118" spans="1:6" x14ac:dyDescent="0.2">
      <c r="A118" s="1030" t="s">
        <v>2491</v>
      </c>
      <c r="B118" s="1032" t="s">
        <v>1640</v>
      </c>
      <c r="C118" s="1034" t="s">
        <v>3383</v>
      </c>
      <c r="D118" s="1034"/>
      <c r="E118" s="1035"/>
    </row>
    <row r="119" spans="1:6" x14ac:dyDescent="0.2">
      <c r="A119" s="1031"/>
      <c r="B119" s="1033"/>
      <c r="C119" s="727" t="s">
        <v>2492</v>
      </c>
      <c r="D119" s="727" t="s">
        <v>2493</v>
      </c>
      <c r="E119" s="730" t="s">
        <v>2494</v>
      </c>
    </row>
    <row r="120" spans="1:6" x14ac:dyDescent="0.2">
      <c r="A120" s="474" t="s">
        <v>2495</v>
      </c>
      <c r="C120" s="431"/>
      <c r="D120" s="2"/>
      <c r="E120" s="475"/>
    </row>
    <row r="121" spans="1:6" x14ac:dyDescent="0.2">
      <c r="A121" s="476" t="s">
        <v>2496</v>
      </c>
      <c r="B121" s="3" t="s">
        <v>2503</v>
      </c>
      <c r="C121" s="477">
        <v>0</v>
      </c>
      <c r="D121" s="477">
        <v>0</v>
      </c>
      <c r="E121" s="478">
        <v>1</v>
      </c>
      <c r="F121" s="3"/>
    </row>
    <row r="122" spans="1:6" x14ac:dyDescent="0.2">
      <c r="A122" s="476" t="s">
        <v>2498</v>
      </c>
      <c r="C122" s="477">
        <v>0</v>
      </c>
      <c r="D122" s="477">
        <v>1</v>
      </c>
      <c r="E122" s="478">
        <v>1</v>
      </c>
    </row>
    <row r="123" spans="1:6" x14ac:dyDescent="0.2">
      <c r="A123" s="476" t="s">
        <v>2499</v>
      </c>
      <c r="C123" s="477">
        <v>1</v>
      </c>
      <c r="D123" s="477">
        <v>1</v>
      </c>
      <c r="E123" s="478">
        <v>1</v>
      </c>
    </row>
    <row r="124" spans="1:6" x14ac:dyDescent="0.2">
      <c r="A124" s="474" t="s">
        <v>2500</v>
      </c>
      <c r="B124" s="7"/>
      <c r="E124" s="479"/>
      <c r="F124" s="7"/>
    </row>
    <row r="125" spans="1:6" x14ac:dyDescent="0.2">
      <c r="A125" s="476" t="s">
        <v>2496</v>
      </c>
      <c r="B125" s="3" t="s">
        <v>2504</v>
      </c>
      <c r="C125" s="51">
        <v>0</v>
      </c>
      <c r="D125" s="477">
        <v>0</v>
      </c>
      <c r="E125" s="52">
        <v>0</v>
      </c>
      <c r="F125" s="3"/>
    </row>
    <row r="126" spans="1:6" x14ac:dyDescent="0.2">
      <c r="A126" s="476" t="s">
        <v>2498</v>
      </c>
      <c r="C126" s="51">
        <v>0</v>
      </c>
      <c r="D126" s="477">
        <v>0</v>
      </c>
      <c r="E126" s="52">
        <v>0</v>
      </c>
    </row>
    <row r="127" spans="1:6" ht="13.5" thickBot="1" x14ac:dyDescent="0.25">
      <c r="A127" s="480" t="s">
        <v>2499</v>
      </c>
      <c r="B127" s="481"/>
      <c r="C127" s="55">
        <v>0</v>
      </c>
      <c r="D127" s="724">
        <v>0</v>
      </c>
      <c r="E127" s="56">
        <v>0</v>
      </c>
    </row>
  </sheetData>
  <mergeCells count="6">
    <mergeCell ref="A106:A107"/>
    <mergeCell ref="B106:B107"/>
    <mergeCell ref="C106:E106"/>
    <mergeCell ref="A118:A119"/>
    <mergeCell ref="B118:B119"/>
    <mergeCell ref="C118:E118"/>
  </mergeCells>
  <phoneticPr fontId="0" type="noConversion"/>
  <pageMargins left="0.75" right="0.75" top="1" bottom="1" header="0.5" footer="0.5"/>
  <pageSetup orientation="portrait" horizontalDpi="90" verticalDpi="9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83"/>
  <sheetViews>
    <sheetView zoomScaleNormal="100" workbookViewId="0">
      <pane ySplit="4" topLeftCell="A5" activePane="bottomLeft" state="frozen"/>
      <selection pane="bottomLeft"/>
    </sheetView>
  </sheetViews>
  <sheetFormatPr defaultRowHeight="12.75" x14ac:dyDescent="0.2"/>
  <cols>
    <col min="1" max="1" width="51.85546875" customWidth="1"/>
    <col min="2" max="2" width="22.85546875" customWidth="1"/>
    <col min="3" max="3" width="19.140625" style="3" customWidth="1"/>
    <col min="4" max="4" width="20" style="695" customWidth="1"/>
    <col min="5" max="5" width="33.5703125" style="4" customWidth="1"/>
  </cols>
  <sheetData>
    <row r="1" spans="1:6" s="26" customFormat="1" x14ac:dyDescent="0.2">
      <c r="A1" s="1" t="s">
        <v>3854</v>
      </c>
      <c r="B1" s="31"/>
      <c r="D1" s="695"/>
    </row>
    <row r="2" spans="1:6" s="26" customFormat="1" x14ac:dyDescent="0.2">
      <c r="A2" s="7" t="s">
        <v>383</v>
      </c>
      <c r="B2" s="31"/>
      <c r="D2" s="695"/>
    </row>
    <row r="3" spans="1:6" s="26" customFormat="1" x14ac:dyDescent="0.2">
      <c r="A3" s="7"/>
      <c r="B3" s="31"/>
      <c r="D3" s="695"/>
    </row>
    <row r="4" spans="1:6" s="26" customFormat="1" x14ac:dyDescent="0.2">
      <c r="A4" s="193" t="s">
        <v>3853</v>
      </c>
      <c r="B4" s="193" t="s">
        <v>1640</v>
      </c>
      <c r="C4" s="194" t="s">
        <v>1641</v>
      </c>
      <c r="D4" s="193" t="s">
        <v>1642</v>
      </c>
      <c r="E4" s="193" t="s">
        <v>594</v>
      </c>
    </row>
    <row r="5" spans="1:6" s="26" customFormat="1" x14ac:dyDescent="0.2">
      <c r="A5" s="656" t="s">
        <v>3234</v>
      </c>
      <c r="C5" s="35"/>
      <c r="D5" s="695"/>
      <c r="E5" s="27"/>
    </row>
    <row r="6" spans="1:6" x14ac:dyDescent="0.2">
      <c r="A6" s="128" t="s">
        <v>599</v>
      </c>
      <c r="B6" s="3" t="s">
        <v>853</v>
      </c>
      <c r="C6" s="26">
        <f>IF(df_units="gpm",(1-bp_pct)*design_flow_I*24*60/1000000,(1-bp_pct)*design_flow_I)</f>
        <v>0.124</v>
      </c>
      <c r="D6" s="694" t="s">
        <v>597</v>
      </c>
      <c r="E6" s="7" t="s">
        <v>3234</v>
      </c>
    </row>
    <row r="7" spans="1:6" x14ac:dyDescent="0.2">
      <c r="A7" s="128" t="s">
        <v>601</v>
      </c>
      <c r="B7" s="3" t="s">
        <v>854</v>
      </c>
      <c r="C7" s="26">
        <f>(1-bp_pct)*IF(af_units="gpm",average_flow_I*24*60/1000000,IF(af_units="fraction of design flow",average_flow_I*design_flow,average_flow_I))</f>
        <v>3.5000000000000003E-2</v>
      </c>
      <c r="D7" s="694" t="s">
        <v>597</v>
      </c>
      <c r="E7" s="7" t="s">
        <v>3234</v>
      </c>
    </row>
    <row r="8" spans="1:6" x14ac:dyDescent="0.2">
      <c r="A8" s="128" t="s">
        <v>1222</v>
      </c>
      <c r="B8" s="3" t="s">
        <v>1223</v>
      </c>
      <c r="C8" s="28">
        <f>design_flow*1000000/(24*60)</f>
        <v>86.111111111111114</v>
      </c>
      <c r="D8" s="694" t="s">
        <v>2765</v>
      </c>
      <c r="E8" s="7" t="s">
        <v>1982</v>
      </c>
    </row>
    <row r="9" spans="1:6" x14ac:dyDescent="0.2">
      <c r="A9" s="128" t="s">
        <v>3503</v>
      </c>
      <c r="B9" s="3" t="s">
        <v>3504</v>
      </c>
      <c r="C9" s="28">
        <f>average_flow*1000000/(24*60)</f>
        <v>24.305555555555557</v>
      </c>
      <c r="D9" s="694" t="s">
        <v>2765</v>
      </c>
      <c r="E9" s="7" t="s">
        <v>1983</v>
      </c>
    </row>
    <row r="10" spans="1:6" x14ac:dyDescent="0.2">
      <c r="A10" s="128" t="s">
        <v>3232</v>
      </c>
      <c r="B10" s="3" t="s">
        <v>3233</v>
      </c>
      <c r="C10" s="28">
        <f>bp_pct/(1-bp_pct)*design_flow_rate</f>
        <v>0</v>
      </c>
      <c r="D10" s="694" t="s">
        <v>2765</v>
      </c>
      <c r="E10"/>
    </row>
    <row r="11" spans="1:6" x14ac:dyDescent="0.2">
      <c r="A11" s="732" t="s">
        <v>3809</v>
      </c>
      <c r="B11" s="3" t="s">
        <v>3810</v>
      </c>
      <c r="C11" s="695">
        <v>1</v>
      </c>
      <c r="D11" s="694" t="s">
        <v>3829</v>
      </c>
      <c r="E11"/>
    </row>
    <row r="12" spans="1:6" x14ac:dyDescent="0.2">
      <c r="A12" s="129" t="s">
        <v>2613</v>
      </c>
      <c r="B12" s="31" t="s">
        <v>2614</v>
      </c>
      <c r="C12" s="28">
        <v>1</v>
      </c>
      <c r="D12" s="695" t="s">
        <v>1914</v>
      </c>
      <c r="E12"/>
    </row>
    <row r="13" spans="1:6" x14ac:dyDescent="0.2">
      <c r="A13" s="627" t="s">
        <v>2405</v>
      </c>
      <c r="B13" s="3" t="s">
        <v>3653</v>
      </c>
      <c r="C13" s="28">
        <f>ebct_I</f>
        <v>12</v>
      </c>
      <c r="D13" s="695" t="s">
        <v>604</v>
      </c>
      <c r="E13"/>
    </row>
    <row r="14" spans="1:6" x14ac:dyDescent="0.2">
      <c r="B14" s="5"/>
    </row>
    <row r="15" spans="1:6" x14ac:dyDescent="0.2">
      <c r="B15" s="26"/>
      <c r="C15" s="31"/>
      <c r="D15" s="733"/>
      <c r="E15" s="27"/>
    </row>
    <row r="16" spans="1:6" x14ac:dyDescent="0.2">
      <c r="A16" s="2" t="s">
        <v>2616</v>
      </c>
      <c r="C16" s="26"/>
      <c r="D16" s="31"/>
      <c r="E16" s="28"/>
      <c r="F16" s="27"/>
    </row>
    <row r="17" spans="1:5" s="26" customFormat="1" x14ac:dyDescent="0.2">
      <c r="A17" s="128" t="s">
        <v>543</v>
      </c>
      <c r="B17" s="3" t="s">
        <v>852</v>
      </c>
      <c r="C17" s="87">
        <f>IF(tank_geom_I="horizontal",2,1)</f>
        <v>1</v>
      </c>
      <c r="D17" s="694" t="s">
        <v>2164</v>
      </c>
    </row>
    <row r="18" spans="1:5" x14ac:dyDescent="0.2">
      <c r="A18" s="128"/>
      <c r="B18" s="3"/>
      <c r="C18" s="26"/>
      <c r="D18" s="694"/>
      <c r="E18"/>
    </row>
    <row r="19" spans="1:5" s="26" customFormat="1" x14ac:dyDescent="0.2">
      <c r="A19" s="735" t="s">
        <v>384</v>
      </c>
      <c r="B19" s="31"/>
      <c r="C19" s="28"/>
      <c r="D19" s="695"/>
    </row>
    <row r="20" spans="1:5" s="26" customFormat="1" x14ac:dyDescent="0.2">
      <c r="A20" s="128" t="s">
        <v>385</v>
      </c>
      <c r="B20" s="3" t="s">
        <v>386</v>
      </c>
      <c r="C20" s="125">
        <f>max_vessel_diam_cl</f>
        <v>14</v>
      </c>
      <c r="D20" s="694" t="s">
        <v>605</v>
      </c>
    </row>
    <row r="21" spans="1:5" s="26" customFormat="1" x14ac:dyDescent="0.2">
      <c r="A21" s="128" t="s">
        <v>387</v>
      </c>
      <c r="B21" s="3" t="s">
        <v>388</v>
      </c>
      <c r="C21" s="125">
        <f>IF(design_type=2,0,min_vessel_diam_cl)</f>
        <v>1.5</v>
      </c>
      <c r="D21" s="695" t="s">
        <v>605</v>
      </c>
    </row>
    <row r="22" spans="1:5" s="26" customFormat="1" x14ac:dyDescent="0.2">
      <c r="A22" s="128" t="s">
        <v>389</v>
      </c>
      <c r="B22" s="3" t="s">
        <v>1336</v>
      </c>
      <c r="C22" s="126">
        <f>IF(design_type=2,0,IF(max_diam_override&gt;0,max_diam_override,max_diam_std_size))</f>
        <v>14</v>
      </c>
      <c r="D22" s="695" t="s">
        <v>605</v>
      </c>
    </row>
    <row r="23" spans="1:5" s="26" customFormat="1" x14ac:dyDescent="0.2">
      <c r="A23" s="128"/>
      <c r="B23" s="3"/>
      <c r="C23" s="126"/>
      <c r="D23" s="695"/>
    </row>
    <row r="24" spans="1:5" s="26" customFormat="1" x14ac:dyDescent="0.2">
      <c r="A24" s="735" t="s">
        <v>1158</v>
      </c>
      <c r="B24" s="31"/>
      <c r="D24" s="695"/>
      <c r="E24" s="27"/>
    </row>
    <row r="25" spans="1:5" s="26" customFormat="1" x14ac:dyDescent="0.2">
      <c r="A25" s="128" t="s">
        <v>3654</v>
      </c>
      <c r="B25" s="3" t="s">
        <v>3655</v>
      </c>
      <c r="C25" s="26">
        <f>EBCT</f>
        <v>12</v>
      </c>
      <c r="D25" s="695" t="s">
        <v>3656</v>
      </c>
      <c r="E25" s="27"/>
    </row>
    <row r="26" spans="1:5" x14ac:dyDescent="0.2">
      <c r="A26" s="128" t="s">
        <v>1227</v>
      </c>
      <c r="B26" s="3" t="s">
        <v>1228</v>
      </c>
      <c r="C26" s="340">
        <f>IF(design_type=2,"-",IF(tank_geom=1,PI()*(comm_diam-2*Vessel_thickness)*(comm_diam-2*Vessel_thickness)/4,IF(tank_geom=2,(comm_diam-2*Vessel_thickness)*comm_height_length,0)))</f>
        <v>12.566370614359172</v>
      </c>
      <c r="D26" s="694" t="s">
        <v>1226</v>
      </c>
      <c r="E26" s="26"/>
    </row>
    <row r="27" spans="1:5" x14ac:dyDescent="0.2">
      <c r="A27" s="128" t="s">
        <v>393</v>
      </c>
      <c r="B27" s="3" t="s">
        <v>394</v>
      </c>
      <c r="C27" s="40" t="str">
        <f>IF(design_type=2,"-",IF(tank_geom=2,comm_diam-bed_depth-horiz_underdrain,"NA"))</f>
        <v>NA</v>
      </c>
      <c r="D27" s="694" t="s">
        <v>605</v>
      </c>
      <c r="E27" s="26"/>
    </row>
    <row r="28" spans="1:5" x14ac:dyDescent="0.2">
      <c r="A28" s="128" t="s">
        <v>395</v>
      </c>
      <c r="B28" s="3" t="s">
        <v>396</v>
      </c>
      <c r="C28" s="40" t="str">
        <f>IF(design_type=2,"-",IF(tank_geom=2,comm_height_length*(comm_diam*comm_diam/2*ASIN(SQRT(distance_above/comm_diam))-(comm_diam/2-distance_above)*SQRT((comm_diam-distance_above)*distance_above)),"NA"))</f>
        <v>NA</v>
      </c>
      <c r="D28" s="694" t="s">
        <v>1239</v>
      </c>
      <c r="E28" s="26"/>
    </row>
    <row r="29" spans="1:5" x14ac:dyDescent="0.2">
      <c r="A29" s="128" t="s">
        <v>1229</v>
      </c>
      <c r="B29" s="3" t="s">
        <v>1230</v>
      </c>
      <c r="C29" s="28">
        <f>IF(design_type=2,"-",IF(tank_geom=1,(max_sa*IF(design_type=3,bed_depth*(1+bed_expansion_fluidized),bed_depth)*7.48)/EBCT_tank,media_volume*7.48/EBCT_tank))</f>
        <v>28.982239426917037</v>
      </c>
      <c r="D29" s="694" t="s">
        <v>2765</v>
      </c>
      <c r="E29"/>
    </row>
    <row r="30" spans="1:5" x14ac:dyDescent="0.2">
      <c r="A30" s="129" t="s">
        <v>289</v>
      </c>
      <c r="B30" s="3" t="s">
        <v>1231</v>
      </c>
      <c r="C30" s="26">
        <f>IF(design_type=2,"-",IF(design_type=1,ROUNDUP(design_flow_rate/flow_per_vessel,0),ROUNDUP(design_flow_rate*(1+recycle_fluid)/flow_per_vessel,0)))</f>
        <v>3</v>
      </c>
      <c r="D30" s="694" t="s">
        <v>1232</v>
      </c>
      <c r="E30"/>
    </row>
    <row r="31" spans="1:5" x14ac:dyDescent="0.2">
      <c r="A31" s="128" t="s">
        <v>1236</v>
      </c>
      <c r="B31" s="3" t="s">
        <v>1237</v>
      </c>
      <c r="C31" s="26">
        <f>IF(design_type=2,"-",IF(design_type=1,ROUNDUP(design_flow_rate/flow_per_vessel,0),ROUNDUP(design_flow_rate*(1+recycle_fluid)/flow_per_vessel,0)))</f>
        <v>3</v>
      </c>
      <c r="D31" s="694" t="s">
        <v>606</v>
      </c>
      <c r="E31"/>
    </row>
    <row r="32" spans="1:5" x14ac:dyDescent="0.2">
      <c r="A32" s="627" t="s">
        <v>2401</v>
      </c>
      <c r="B32" s="31" t="s">
        <v>1233</v>
      </c>
      <c r="C32" s="26">
        <f>IF(design_type=2,"-",IF(NRD_I&lt;&gt;"",NRD_I,IF(design_flow&gt;=1,IF(design_type=1,ROUNDUP(num_treat_lines/redund_freq,0),ROUNDUP(num_treat_lines/redund_freq_fluid,0)),IF(op_num_tanks=1,NRD_small_1,NRD_small))))</f>
        <v>0</v>
      </c>
      <c r="D32" s="694" t="s">
        <v>606</v>
      </c>
      <c r="E32" s="26"/>
    </row>
    <row r="33" spans="1:5" x14ac:dyDescent="0.2">
      <c r="A33" s="128" t="s">
        <v>1234</v>
      </c>
      <c r="B33" s="3" t="s">
        <v>1235</v>
      </c>
      <c r="C33" s="26">
        <f>IF(design_type=2,0,op_num_tanks+NRD)</f>
        <v>3</v>
      </c>
      <c r="D33" s="694" t="s">
        <v>606</v>
      </c>
      <c r="E33"/>
    </row>
    <row r="34" spans="1:5" x14ac:dyDescent="0.2">
      <c r="A34" s="128"/>
      <c r="B34" s="3"/>
      <c r="C34" s="26"/>
      <c r="D34" s="694"/>
      <c r="E34"/>
    </row>
    <row r="35" spans="1:5" s="26" customFormat="1" x14ac:dyDescent="0.2">
      <c r="A35" s="736" t="s">
        <v>1587</v>
      </c>
      <c r="B35" s="31"/>
      <c r="D35" s="695"/>
    </row>
    <row r="36" spans="1:5" x14ac:dyDescent="0.2">
      <c r="A36" s="737" t="s">
        <v>2414</v>
      </c>
      <c r="B36" s="3" t="s">
        <v>1238</v>
      </c>
      <c r="C36" s="29">
        <f>IF(design_type=2,"-",IF(design_type=1,design_flow_rate*EBCT/(7.481),design_flow_rate*(1+recycle_fluid)*EBCT/(7.481)))</f>
        <v>138.12770128770666</v>
      </c>
      <c r="D36" s="694" t="s">
        <v>1239</v>
      </c>
      <c r="E36"/>
    </row>
    <row r="37" spans="1:5" x14ac:dyDescent="0.2">
      <c r="A37" s="737" t="s">
        <v>2415</v>
      </c>
      <c r="B37" s="3" t="s">
        <v>1786</v>
      </c>
      <c r="C37" s="29">
        <f>IF(design_type=2,"-",contact_material/op_num_tanks)</f>
        <v>46.042567095902221</v>
      </c>
      <c r="D37" s="694" t="s">
        <v>1239</v>
      </c>
      <c r="E37"/>
    </row>
    <row r="38" spans="1:5" x14ac:dyDescent="0.2">
      <c r="A38" s="129" t="s">
        <v>290</v>
      </c>
      <c r="B38" s="3" t="s">
        <v>1787</v>
      </c>
      <c r="C38" s="29">
        <f>IF(design_type=2,"-",contact_mat_per_vessel/(IF(design_type=3,bed_depth*(1+bed_expansion_fluidized),bed_depth)))</f>
        <v>12.443937052946545</v>
      </c>
      <c r="D38" s="694" t="s">
        <v>1226</v>
      </c>
      <c r="E38"/>
    </row>
    <row r="39" spans="1:5" x14ac:dyDescent="0.2">
      <c r="A39" s="128"/>
      <c r="B39" s="3"/>
      <c r="C39" s="29"/>
      <c r="D39" s="694"/>
      <c r="E39"/>
    </row>
    <row r="40" spans="1:5" x14ac:dyDescent="0.2">
      <c r="A40" s="736" t="s">
        <v>1588</v>
      </c>
      <c r="B40" s="31"/>
      <c r="C40" s="29"/>
      <c r="D40" s="694"/>
      <c r="E40"/>
    </row>
    <row r="41" spans="1:5" x14ac:dyDescent="0.2">
      <c r="A41" s="128" t="s">
        <v>1333</v>
      </c>
      <c r="B41" s="3" t="s">
        <v>1334</v>
      </c>
      <c r="C41" s="26">
        <f>IF(design_type=2,"-",IF(tank_geom=1,(comm_diam-(2*Vessel_thickness))^2*PI()/4,IF(tank_geom=2,(comm_diam-(2*Vessel_thickness))*comm_height_length)))</f>
        <v>12.566370614359172</v>
      </c>
      <c r="D41" s="694" t="s">
        <v>1226</v>
      </c>
      <c r="E41" s="26"/>
    </row>
    <row r="42" spans="1:5" x14ac:dyDescent="0.2">
      <c r="A42" s="128" t="s">
        <v>816</v>
      </c>
      <c r="B42" s="3" t="s">
        <v>817</v>
      </c>
      <c r="C42" s="26">
        <f>IF(design_type=2,"-",IF(design_type=1,(design_flow_rate/num_treat_lines)/comm_SA,(design_flow_rate*(1+recycle_fluid)/num_treat_lines)/comm_SA))</f>
        <v>2.2841681647447944</v>
      </c>
      <c r="D42" s="694" t="s">
        <v>2764</v>
      </c>
      <c r="E42" s="26"/>
    </row>
    <row r="43" spans="1:5" x14ac:dyDescent="0.2">
      <c r="A43" s="128" t="s">
        <v>1331</v>
      </c>
      <c r="B43" s="3" t="s">
        <v>1330</v>
      </c>
      <c r="C43" s="28">
        <f>IF(design_type=2,"-",PI()*comm_diam^2/4*comm_height_length)</f>
        <v>87.964594300514207</v>
      </c>
      <c r="D43" s="694" t="s">
        <v>1239</v>
      </c>
      <c r="E43" s="7"/>
    </row>
    <row r="44" spans="1:5" x14ac:dyDescent="0.2">
      <c r="A44" s="6"/>
      <c r="B44" s="3" t="s">
        <v>1422</v>
      </c>
      <c r="C44" s="28">
        <f>IF(design_type=2,"-",comm_vol*7.48)</f>
        <v>657.97516536784633</v>
      </c>
      <c r="D44" s="694" t="s">
        <v>1332</v>
      </c>
      <c r="E44"/>
    </row>
    <row r="45" spans="1:5" s="26" customFormat="1" x14ac:dyDescent="0.2">
      <c r="A45"/>
      <c r="B45" s="3"/>
      <c r="C45" s="28"/>
      <c r="D45" s="694"/>
    </row>
    <row r="46" spans="1:5" s="26" customFormat="1" x14ac:dyDescent="0.2">
      <c r="A46" s="736" t="s">
        <v>1590</v>
      </c>
      <c r="B46" s="31"/>
      <c r="D46" s="695"/>
    </row>
    <row r="47" spans="1:5" s="26" customFormat="1" x14ac:dyDescent="0.2">
      <c r="A47" s="128" t="s">
        <v>3146</v>
      </c>
      <c r="B47" s="31"/>
      <c r="D47" s="695"/>
    </row>
    <row r="48" spans="1:5" x14ac:dyDescent="0.2">
      <c r="A48" s="129" t="s">
        <v>291</v>
      </c>
      <c r="B48" s="3" t="s">
        <v>1789</v>
      </c>
      <c r="C48" s="26">
        <f>IF(design_type=2,"-",IF(design_type=1,bed_depth*(1+bed_expansion)+free_board,IF(design_type=3,bed_depth*(1+bed_expansion_fluidized)+IF(design_flow&lt;1,freeboard_fluidized_small,freeboard_fluidized),"-")))</f>
        <v>6.5500000000000007</v>
      </c>
      <c r="D48" s="694" t="s">
        <v>605</v>
      </c>
      <c r="E48"/>
    </row>
    <row r="49" spans="1:6" x14ac:dyDescent="0.2">
      <c r="A49" s="129" t="s">
        <v>1329</v>
      </c>
      <c r="B49" s="3" t="s">
        <v>1788</v>
      </c>
      <c r="C49" s="26">
        <f>IF(design_type=2,"-",(SA*4/PI())^0.5+(2*Vessel_thickness))</f>
        <v>3.9804663983014201</v>
      </c>
      <c r="D49" s="694" t="s">
        <v>605</v>
      </c>
      <c r="E49"/>
    </row>
    <row r="50" spans="1:6" s="26" customFormat="1" x14ac:dyDescent="0.2">
      <c r="A50" s="738" t="s">
        <v>3147</v>
      </c>
      <c r="B50" s="31" t="s">
        <v>3148</v>
      </c>
      <c r="C50" s="26">
        <f>IF(design_type=2,"-",VLOOKUP(comm_diam,vessel_size_table_cl,2))</f>
        <v>4.5</v>
      </c>
      <c r="D50" s="695" t="s">
        <v>605</v>
      </c>
    </row>
    <row r="51" spans="1:6" s="26" customFormat="1" x14ac:dyDescent="0.2">
      <c r="A51" s="738" t="s">
        <v>3149</v>
      </c>
      <c r="B51" s="31" t="s">
        <v>3150</v>
      </c>
      <c r="C51" s="26">
        <f>IF(design_type=2,"-",VLOOKUP(comm_diam,vessel_size_table_cl,3))</f>
        <v>12</v>
      </c>
      <c r="D51" s="695" t="s">
        <v>605</v>
      </c>
    </row>
    <row r="52" spans="1:6" s="26" customFormat="1" x14ac:dyDescent="0.2">
      <c r="A52" s="738"/>
      <c r="B52" s="31"/>
      <c r="D52" s="695"/>
    </row>
    <row r="53" spans="1:6" s="26" customFormat="1" x14ac:dyDescent="0.2">
      <c r="A53" s="128" t="s">
        <v>3151</v>
      </c>
      <c r="B53" s="31"/>
      <c r="D53" s="695"/>
    </row>
    <row r="54" spans="1:6" s="26" customFormat="1" x14ac:dyDescent="0.2">
      <c r="A54" s="739" t="s">
        <v>3152</v>
      </c>
      <c r="B54" s="3" t="s">
        <v>3153</v>
      </c>
      <c r="C54" s="26">
        <f>IF(design_type=2,"-",comm_height_length*(comm_diam*comm_diam/2*ASIN(SQRT(free_board/comm_diam))-(comm_diam/2-free_board)*SQRT((comm_diam-free_board)*free_board)))</f>
        <v>17.197175780522599</v>
      </c>
      <c r="D54" s="694" t="s">
        <v>1239</v>
      </c>
      <c r="E54" s="7" t="s">
        <v>3158</v>
      </c>
    </row>
    <row r="55" spans="1:6" s="26" customFormat="1" x14ac:dyDescent="0.2">
      <c r="A55" s="739" t="s">
        <v>3154</v>
      </c>
      <c r="B55" s="3" t="s">
        <v>3155</v>
      </c>
      <c r="C55" s="26">
        <f>IF(design_type=2,"-",comm_height_length*(comm_diam*comm_diam/2*ASIN(SQRT(horiz_underdrain/comm_diam))-(comm_diam/2-horiz_underdrain)*SQRT((comm_diam-horiz_underdrain)*horiz_underdrain)))</f>
        <v>30.129529150415927</v>
      </c>
      <c r="D55" s="694" t="s">
        <v>1239</v>
      </c>
    </row>
    <row r="56" spans="1:6" x14ac:dyDescent="0.2">
      <c r="A56" s="740" t="s">
        <v>3156</v>
      </c>
      <c r="B56" s="3" t="s">
        <v>3157</v>
      </c>
      <c r="C56" s="26">
        <f>IF(design_type=2,"-",freeboard_horiz_void+underdrain_horiz_void)</f>
        <v>47.326704930938526</v>
      </c>
      <c r="D56" s="694" t="s">
        <v>1239</v>
      </c>
      <c r="E56" s="26"/>
    </row>
    <row r="57" spans="1:6" x14ac:dyDescent="0.2">
      <c r="A57" s="740"/>
      <c r="B57" s="3"/>
      <c r="C57" s="26"/>
      <c r="D57" s="694"/>
      <c r="E57"/>
    </row>
    <row r="58" spans="1:6" x14ac:dyDescent="0.2">
      <c r="A58" s="128" t="s">
        <v>3159</v>
      </c>
      <c r="B58" s="3"/>
      <c r="C58" s="26"/>
      <c r="D58" s="694"/>
      <c r="E58"/>
    </row>
    <row r="59" spans="1:6" x14ac:dyDescent="0.2">
      <c r="A59" s="739" t="s">
        <v>3160</v>
      </c>
      <c r="B59" s="3" t="s">
        <v>3161</v>
      </c>
      <c r="C59" s="26">
        <f>IF(design_type=2,"-",(comm_height_length-free_board)*PI()*comm_diam^2/4)</f>
        <v>75.398223686155035</v>
      </c>
      <c r="D59" s="694" t="s">
        <v>1239</v>
      </c>
      <c r="E59" s="129"/>
    </row>
    <row r="60" spans="1:6" x14ac:dyDescent="0.2">
      <c r="A60" s="739" t="s">
        <v>3162</v>
      </c>
      <c r="B60" s="3" t="s">
        <v>3163</v>
      </c>
      <c r="C60" s="26">
        <f>IF(design_type=2,"-",comm_vol-horiz_void)</f>
        <v>40.637889369575682</v>
      </c>
      <c r="D60" s="694" t="s">
        <v>1239</v>
      </c>
      <c r="E60" s="129"/>
    </row>
    <row r="61" spans="1:6" x14ac:dyDescent="0.2">
      <c r="A61" s="739" t="s">
        <v>3164</v>
      </c>
      <c r="B61" s="3" t="s">
        <v>3165</v>
      </c>
      <c r="C61" s="26">
        <f>IF(design_type=2,"-",CHOOSE(tank_geom,vert_vol_available,horiz_vol_available))</f>
        <v>75.398223686155035</v>
      </c>
      <c r="D61" s="694" t="s">
        <v>1239</v>
      </c>
      <c r="E61" s="7" t="s">
        <v>3166</v>
      </c>
    </row>
    <row r="62" spans="1:6" x14ac:dyDescent="0.2">
      <c r="D62" s="734"/>
      <c r="E62" s="3"/>
      <c r="F62" s="7"/>
    </row>
    <row r="63" spans="1:6" x14ac:dyDescent="0.2">
      <c r="A63" s="2" t="s">
        <v>66</v>
      </c>
      <c r="D63" s="734"/>
      <c r="E63" s="3"/>
      <c r="F63" s="7"/>
    </row>
    <row r="64" spans="1:6" x14ac:dyDescent="0.2">
      <c r="A64" s="128" t="s">
        <v>44</v>
      </c>
      <c r="B64" s="31" t="s">
        <v>45</v>
      </c>
      <c r="C64" s="65" t="str">
        <f>IF(OR(design_type=1,design_type=3),"-",design_flow_rate*EBCT/7.48)</f>
        <v>-</v>
      </c>
      <c r="D64" s="694" t="s">
        <v>68</v>
      </c>
      <c r="E64" s="7"/>
    </row>
    <row r="65" spans="1:7" x14ac:dyDescent="0.2">
      <c r="A65" s="128" t="s">
        <v>46</v>
      </c>
      <c r="B65" s="31" t="s">
        <v>47</v>
      </c>
      <c r="C65" s="35" t="str">
        <f>IF(OR(design_type=1,design_type=3),"-",ROUNDUP(min_basin_vol/(basin_width*basin_length*basin_op_depth),0))</f>
        <v>-</v>
      </c>
      <c r="D65" s="694"/>
      <c r="E65" s="7"/>
    </row>
    <row r="66" spans="1:7" x14ac:dyDescent="0.2">
      <c r="A66" s="128" t="s">
        <v>48</v>
      </c>
      <c r="B66" s="31" t="s">
        <v>49</v>
      </c>
      <c r="C66" s="382" t="str">
        <f>IF(OR(design_type=1,design_type=3),"-",basin_op_depth*(1+bed_expansion)+basin_freeboard)</f>
        <v>-</v>
      </c>
      <c r="D66" s="694" t="s">
        <v>3506</v>
      </c>
      <c r="E66" s="7"/>
    </row>
    <row r="67" spans="1:7" x14ac:dyDescent="0.2">
      <c r="A67" s="128" t="s">
        <v>50</v>
      </c>
      <c r="B67" s="31" t="s">
        <v>51</v>
      </c>
      <c r="C67" s="65" t="str">
        <f>IF(OR(design_type=1,design_type=3),"-",basin_width*basin_length*basin_depth*7.48)</f>
        <v>-</v>
      </c>
      <c r="D67" s="694" t="s">
        <v>1332</v>
      </c>
      <c r="E67" s="7"/>
    </row>
    <row r="68" spans="1:7" x14ac:dyDescent="0.2">
      <c r="A68" s="128" t="s">
        <v>52</v>
      </c>
      <c r="B68" s="31" t="s">
        <v>53</v>
      </c>
      <c r="C68" s="383" t="str">
        <f>IF(OR(design_type=1,design_type=3),"-",IF(NRD_I&lt;&gt;"",NRD_I,IF(op_num_basins=1,NRD_small_1,CHOOSE(ss_cat2,NRD_small,NRD_basins_medium,NRD_basins_large))))</f>
        <v>-</v>
      </c>
      <c r="D68" s="694" t="s">
        <v>606</v>
      </c>
      <c r="E68" s="7"/>
    </row>
    <row r="69" spans="1:7" x14ac:dyDescent="0.2">
      <c r="A69" s="128" t="s">
        <v>818</v>
      </c>
      <c r="B69" s="31" t="s">
        <v>819</v>
      </c>
      <c r="C69" s="383" t="str">
        <f>IF(OR(design_type=1,design_type=3),"-",design_flow_rate/(op_num_basins*(basin_width*basin_length)))</f>
        <v>-</v>
      </c>
      <c r="D69" s="694" t="s">
        <v>2764</v>
      </c>
      <c r="E69" s="7"/>
    </row>
    <row r="70" spans="1:7" x14ac:dyDescent="0.2">
      <c r="A70" s="128" t="s">
        <v>54</v>
      </c>
      <c r="B70" s="31" t="s">
        <v>55</v>
      </c>
      <c r="C70">
        <f>IF(OR(design_type=1,design_type=3),0,op_num_basins+NRD_g)</f>
        <v>0</v>
      </c>
      <c r="D70" s="694" t="s">
        <v>606</v>
      </c>
      <c r="E70" s="7"/>
    </row>
    <row r="71" spans="1:7" x14ac:dyDescent="0.2">
      <c r="A71" s="128" t="s">
        <v>56</v>
      </c>
      <c r="B71" s="31" t="s">
        <v>57</v>
      </c>
      <c r="C71" s="10" t="str">
        <f>IF(OR(design_type=1,design_type=3),"-",(2*(basin_width*total_num_basins+conc_thick*(total_num_basins+1))*basin_depth*conc_thick+(total_num_basins+1)*basin_length*basin_depth*conc_thick+(basin_length+2*conc_thick)*(basin_width*total_num_basins+conc_thick*(total_num_basins+1))*conc_thick)/27)</f>
        <v>-</v>
      </c>
      <c r="D71" s="694" t="s">
        <v>69</v>
      </c>
      <c r="E71" s="7" t="s">
        <v>265</v>
      </c>
    </row>
    <row r="72" spans="1:7" x14ac:dyDescent="0.2">
      <c r="A72" s="128" t="s">
        <v>58</v>
      </c>
      <c r="B72" s="31" t="s">
        <v>59</v>
      </c>
      <c r="C72" s="10" t="str">
        <f>IF(OR(design_type=1,design_type=3),"-",((total_num_basins*basin_width+(total_num_basins+1)*conc_thick+overexcavate)*(basin_length+2*conc_thick+overexcavate)*(basin_depth+conc_thick+overexcavate)+0.5*(3*(basin_depth+conc_thick+overexcavate)*(basin_depth+conc_thick+overexcavate)*(basin_length+2*conc_thick+overexcavate)))/27)</f>
        <v>-</v>
      </c>
      <c r="D72" s="694" t="s">
        <v>69</v>
      </c>
      <c r="E72" s="7" t="s">
        <v>266</v>
      </c>
    </row>
    <row r="73" spans="1:7" x14ac:dyDescent="0.2">
      <c r="A73" s="128" t="s">
        <v>60</v>
      </c>
      <c r="B73" s="31" t="s">
        <v>61</v>
      </c>
      <c r="C73" s="10" t="str">
        <f>IF(OR(design_type=1,design_type=3),"-",excavation_vol-(total_num_basins*basin_width+(total_num_basins+1)*conc_thick)*(basin_length+2*conc_thick)*(basin_depth+conc_thick)/27)</f>
        <v>-</v>
      </c>
      <c r="D73" s="694" t="s">
        <v>69</v>
      </c>
      <c r="E73"/>
    </row>
    <row r="74" spans="1:7" x14ac:dyDescent="0.2">
      <c r="A74" s="128" t="s">
        <v>62</v>
      </c>
      <c r="B74" s="31" t="s">
        <v>63</v>
      </c>
      <c r="C74" t="str">
        <f>IF(OR(design_type=1,design_type=3),"-",2*(total_num_basins*basin_width+2*conc_thick/2+(total_num_basins-1)*conc_thick)+2*(basin_length+2*conc_thick/2))</f>
        <v>-</v>
      </c>
      <c r="D74" s="694" t="s">
        <v>1429</v>
      </c>
      <c r="E74" s="7" t="s">
        <v>267</v>
      </c>
    </row>
    <row r="75" spans="1:7" x14ac:dyDescent="0.2">
      <c r="A75" s="128" t="s">
        <v>64</v>
      </c>
      <c r="B75" s="31" t="s">
        <v>65</v>
      </c>
      <c r="C75" t="str">
        <f>IF(OR(design_type=1,design_type=3),"-",basin_width*basin_length)</f>
        <v>-</v>
      </c>
      <c r="D75" s="694" t="s">
        <v>1202</v>
      </c>
      <c r="E75" s="7" t="s">
        <v>3688</v>
      </c>
    </row>
    <row r="76" spans="1:7" x14ac:dyDescent="0.2">
      <c r="D76" s="694"/>
      <c r="E76" s="3"/>
      <c r="F76" s="7"/>
    </row>
    <row r="77" spans="1:7" x14ac:dyDescent="0.2">
      <c r="D77" s="734"/>
      <c r="E77" s="3"/>
      <c r="F77" s="7"/>
    </row>
    <row r="78" spans="1:7" x14ac:dyDescent="0.2">
      <c r="A78" s="2" t="s">
        <v>67</v>
      </c>
      <c r="D78" s="734"/>
      <c r="E78" s="3"/>
      <c r="F78" s="7"/>
    </row>
    <row r="79" spans="1:7" x14ac:dyDescent="0.2">
      <c r="A79" s="128" t="s">
        <v>424</v>
      </c>
      <c r="B79" s="3" t="s">
        <v>3520</v>
      </c>
      <c r="C79" s="28">
        <f>IF(OR(design_type=1,design_type=3),IF(tank_geom=1,comm_SA*bed_depth,IF(tank_geom=2,comm_vol-underdrain_horiz_void-void_above)),basin_width*basin_length*basin_op_depth)</f>
        <v>46.495571273128938</v>
      </c>
      <c r="D79" s="694" t="s">
        <v>1239</v>
      </c>
      <c r="E79"/>
    </row>
    <row r="80" spans="1:7" x14ac:dyDescent="0.2">
      <c r="A80" s="128" t="s">
        <v>425</v>
      </c>
      <c r="B80" s="3" t="s">
        <v>1591</v>
      </c>
      <c r="C80" s="28">
        <f>media_volume*GAC_density</f>
        <v>1394.8671381938682</v>
      </c>
      <c r="D80" s="694" t="s">
        <v>2591</v>
      </c>
      <c r="E80"/>
      <c r="G80" s="22"/>
    </row>
    <row r="81" spans="1:7" x14ac:dyDescent="0.2">
      <c r="A81" s="128" t="s">
        <v>423</v>
      </c>
      <c r="B81" s="3" t="s">
        <v>1592</v>
      </c>
      <c r="C81" s="65">
        <f>resin_per_vessel*IF(OR(design_type=1,design_type=3),final_num_tanks,total_num_basins)</f>
        <v>4184.6014145816043</v>
      </c>
      <c r="D81" s="694" t="s">
        <v>2591</v>
      </c>
      <c r="E81"/>
      <c r="G81" s="22"/>
    </row>
    <row r="82" spans="1:7" s="26" customFormat="1" x14ac:dyDescent="0.2">
      <c r="A82" s="129" t="s">
        <v>43</v>
      </c>
      <c r="B82" s="3" t="s">
        <v>1589</v>
      </c>
      <c r="C82" s="28">
        <f>media_volume*(1+bed_expansion)</f>
        <v>69.743356909693404</v>
      </c>
      <c r="D82" s="694" t="s">
        <v>1239</v>
      </c>
      <c r="E82" s="32" t="s">
        <v>426</v>
      </c>
    </row>
    <row r="83" spans="1:7" s="26" customFormat="1" ht="12" customHeight="1" x14ac:dyDescent="0.2">
      <c r="B83"/>
      <c r="C83" s="3"/>
      <c r="D83" s="733"/>
      <c r="E83" s="11"/>
    </row>
  </sheetData>
  <phoneticPr fontId="0"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A1:E160"/>
  <sheetViews>
    <sheetView workbookViewId="0">
      <pane ySplit="3" topLeftCell="A4" activePane="bottomLeft" state="frozen"/>
      <selection pane="bottomLeft"/>
    </sheetView>
  </sheetViews>
  <sheetFormatPr defaultRowHeight="12.75" x14ac:dyDescent="0.2"/>
  <cols>
    <col min="1" max="1" width="67.140625" customWidth="1"/>
    <col min="2" max="2" width="30.42578125" customWidth="1"/>
    <col min="3" max="3" width="14.28515625" customWidth="1"/>
    <col min="4" max="4" width="10.42578125" customWidth="1"/>
    <col min="5" max="5" width="9.140625" style="694"/>
  </cols>
  <sheetData>
    <row r="1" spans="1:5" x14ac:dyDescent="0.2">
      <c r="A1" s="1" t="s">
        <v>3855</v>
      </c>
      <c r="B1" s="3"/>
      <c r="C1" s="694"/>
      <c r="D1" s="694"/>
    </row>
    <row r="2" spans="1:5" x14ac:dyDescent="0.2">
      <c r="A2" s="694"/>
      <c r="B2" s="3"/>
      <c r="C2" s="694"/>
      <c r="D2" s="694"/>
    </row>
    <row r="3" spans="1:5" x14ac:dyDescent="0.2">
      <c r="A3" s="193" t="s">
        <v>3853</v>
      </c>
      <c r="B3" s="193" t="s">
        <v>1640</v>
      </c>
      <c r="C3" s="194" t="s">
        <v>1641</v>
      </c>
      <c r="D3" s="193" t="s">
        <v>1642</v>
      </c>
      <c r="E3" s="193" t="s">
        <v>594</v>
      </c>
    </row>
    <row r="4" spans="1:5" x14ac:dyDescent="0.2">
      <c r="A4" s="2" t="s">
        <v>4287</v>
      </c>
      <c r="B4" s="1"/>
      <c r="C4" s="195"/>
      <c r="D4" s="1"/>
      <c r="E4" s="1"/>
    </row>
    <row r="5" spans="1:5" x14ac:dyDescent="0.2">
      <c r="A5" s="128" t="s">
        <v>1256</v>
      </c>
      <c r="B5" s="3" t="s">
        <v>3646</v>
      </c>
      <c r="C5" s="157">
        <f>MAX(VLOOKUP(10^6,pl_cst_cost_cl,1)-1,VLOOKUP(10^6,fg_cst_cost_cl,1)-1,VLOOKUP(10^6,ss_cst_cost_cl,1)-1)</f>
        <v>30000</v>
      </c>
      <c r="D5" s="694" t="s">
        <v>2766</v>
      </c>
      <c r="E5" s="7" t="s">
        <v>3788</v>
      </c>
    </row>
    <row r="6" spans="1:5" x14ac:dyDescent="0.2">
      <c r="A6" s="732" t="s">
        <v>4284</v>
      </c>
      <c r="B6" s="3" t="s">
        <v>3791</v>
      </c>
      <c r="C6" s="157">
        <f>MAX(VLOOKUP(10^6,pl_cst_cost_cl,1)-1,VLOOKUP(10^6,fg_cst_cost_cl,1)-1)</f>
        <v>30000</v>
      </c>
      <c r="D6" s="694" t="s">
        <v>2766</v>
      </c>
      <c r="E6" s="7" t="s">
        <v>4285</v>
      </c>
    </row>
    <row r="7" spans="1:5" x14ac:dyDescent="0.2">
      <c r="A7" s="732" t="s">
        <v>4286</v>
      </c>
      <c r="B7" s="3" t="s">
        <v>3789</v>
      </c>
      <c r="C7" s="65">
        <f>MAX(VLOOKUP(10^6,pl_cst_cost_cl,1)-1,VLOOKUP(10^6,ss_cst_cost_cl,1)-1)</f>
        <v>30000</v>
      </c>
      <c r="D7" s="694" t="s">
        <v>2766</v>
      </c>
      <c r="E7" s="7" t="s">
        <v>3790</v>
      </c>
    </row>
    <row r="8" spans="1:5" x14ac:dyDescent="0.2">
      <c r="A8" s="627"/>
      <c r="B8" s="3"/>
      <c r="C8" s="65"/>
      <c r="D8" s="694"/>
      <c r="E8" s="7"/>
    </row>
    <row r="9" spans="1:5" x14ac:dyDescent="0.2">
      <c r="A9" s="2" t="s">
        <v>1796</v>
      </c>
      <c r="C9" s="3"/>
      <c r="D9" s="26"/>
    </row>
    <row r="10" spans="1:5" x14ac:dyDescent="0.2">
      <c r="A10" s="128" t="s">
        <v>1801</v>
      </c>
      <c r="B10" s="3" t="s">
        <v>1798</v>
      </c>
      <c r="C10" s="26">
        <f>IF(e_donor_type_I="acetic acid",1,IF(e_donor_type_I="ethanol",2,""))</f>
        <v>1</v>
      </c>
      <c r="D10" s="695" t="s">
        <v>1799</v>
      </c>
      <c r="E10"/>
    </row>
    <row r="11" spans="1:5" x14ac:dyDescent="0.2">
      <c r="A11" s="627" t="s">
        <v>1802</v>
      </c>
      <c r="B11" s="3" t="s">
        <v>1805</v>
      </c>
      <c r="C11" s="26">
        <f>e_donor_dose_I</f>
        <v>10</v>
      </c>
      <c r="D11" s="694" t="s">
        <v>512</v>
      </c>
      <c r="E11"/>
    </row>
    <row r="12" spans="1:5" x14ac:dyDescent="0.2">
      <c r="A12" s="732" t="s">
        <v>3978</v>
      </c>
      <c r="B12" s="3" t="s">
        <v>3979</v>
      </c>
      <c r="C12" s="82">
        <f>e_donor_dose*design_flow*8.34</f>
        <v>10.3416</v>
      </c>
      <c r="D12" s="694" t="s">
        <v>1800</v>
      </c>
      <c r="E12"/>
    </row>
    <row r="13" spans="1:5" x14ac:dyDescent="0.2">
      <c r="A13" s="732" t="s">
        <v>3980</v>
      </c>
      <c r="B13" s="3" t="s">
        <v>1806</v>
      </c>
      <c r="C13" s="82">
        <f>IF(e_donor_type=1,e_donor_day_100pct/CH3NOOH_strength,e_donor_day_100pct)</f>
        <v>51.707999999999998</v>
      </c>
      <c r="D13" s="694" t="s">
        <v>1800</v>
      </c>
      <c r="E13" s="7"/>
    </row>
    <row r="14" spans="1:5" x14ac:dyDescent="0.2">
      <c r="A14" s="732" t="s">
        <v>3981</v>
      </c>
      <c r="B14" s="3" t="s">
        <v>1807</v>
      </c>
      <c r="C14" s="506">
        <f>e_donor_day/IF(e_donor_type=1,CH3NOOH_dens,IF(e_donor_type=2,ethanol_dens,""))</f>
        <v>6.1410926365795726</v>
      </c>
      <c r="D14" s="694" t="s">
        <v>1803</v>
      </c>
      <c r="E14"/>
    </row>
    <row r="15" spans="1:5" x14ac:dyDescent="0.2">
      <c r="A15" s="627" t="s">
        <v>1808</v>
      </c>
      <c r="B15" s="3" t="s">
        <v>1809</v>
      </c>
      <c r="C15" s="28">
        <f>e_donor_day_vol*(average_flow/design_flow)*chem_storage</f>
        <v>52.00118764845606</v>
      </c>
      <c r="D15" s="695" t="s">
        <v>1332</v>
      </c>
      <c r="E15"/>
    </row>
    <row r="16" spans="1:5" x14ac:dyDescent="0.2">
      <c r="A16" s="732" t="s">
        <v>3797</v>
      </c>
      <c r="B16" s="3" t="s">
        <v>3798</v>
      </c>
      <c r="C16" s="28">
        <f>IF(e_donor_type=1,e_donor_day*chem_storage,0)</f>
        <v>1551.24</v>
      </c>
      <c r="D16" s="695" t="s">
        <v>2591</v>
      </c>
      <c r="E16"/>
    </row>
    <row r="17" spans="1:5" x14ac:dyDescent="0.2">
      <c r="A17" s="732" t="s">
        <v>3799</v>
      </c>
      <c r="B17" s="3" t="s">
        <v>3800</v>
      </c>
      <c r="C17" s="28">
        <f>IF(e_donor_type=2,e_donor_store,0)</f>
        <v>0</v>
      </c>
      <c r="D17" s="695" t="s">
        <v>1332</v>
      </c>
      <c r="E17"/>
    </row>
    <row r="18" spans="1:5" x14ac:dyDescent="0.2">
      <c r="A18" s="128"/>
      <c r="D18" s="694"/>
      <c r="E18"/>
    </row>
    <row r="19" spans="1:5" x14ac:dyDescent="0.2">
      <c r="A19" s="128" t="s">
        <v>1794</v>
      </c>
      <c r="B19" s="3" t="s">
        <v>1810</v>
      </c>
      <c r="C19" s="28">
        <f>ROUNDUP(e_donor_store/max_chem_tank_size,0)</f>
        <v>1</v>
      </c>
      <c r="D19" s="694" t="s">
        <v>606</v>
      </c>
      <c r="E19"/>
    </row>
    <row r="20" spans="1:5" x14ac:dyDescent="0.2">
      <c r="A20" s="627" t="s">
        <v>1793</v>
      </c>
      <c r="B20" s="3" t="s">
        <v>1811</v>
      </c>
      <c r="C20" s="28">
        <f>ROUNDUP(e_donor_store/e_donor_tanks,0)</f>
        <v>53</v>
      </c>
      <c r="D20" s="694" t="s">
        <v>1332</v>
      </c>
      <c r="E20"/>
    </row>
    <row r="21" spans="1:5" x14ac:dyDescent="0.2">
      <c r="A21" s="128" t="s">
        <v>869</v>
      </c>
      <c r="B21" s="57" t="s">
        <v>861</v>
      </c>
      <c r="C21" s="65">
        <f>e_donor_day_vol*design_flow/average_flow</f>
        <v>21.757013912453342</v>
      </c>
      <c r="D21" s="694" t="s">
        <v>2766</v>
      </c>
      <c r="E21"/>
    </row>
    <row r="22" spans="1:5" x14ac:dyDescent="0.2">
      <c r="A22" s="128" t="s">
        <v>870</v>
      </c>
      <c r="B22" s="3" t="s">
        <v>862</v>
      </c>
      <c r="C22" s="65">
        <f>IF(e_donor_day_tank_vol_needed&lt;day_tank_needed,0,ROUNDUP(e_donor_day_tank_vol_needed/max_chem_tank_size,0))</f>
        <v>1</v>
      </c>
      <c r="D22" s="694" t="s">
        <v>606</v>
      </c>
      <c r="E22"/>
    </row>
    <row r="23" spans="1:5" x14ac:dyDescent="0.2">
      <c r="A23" s="128" t="s">
        <v>871</v>
      </c>
      <c r="B23" s="3" t="s">
        <v>863</v>
      </c>
      <c r="C23" s="65">
        <f>IF(e_donor_day_tanks=0,0,ROUNDUP(e_donor_day_tank_vol_needed/e_donor_day_tanks,0))</f>
        <v>22</v>
      </c>
      <c r="D23" s="694" t="s">
        <v>2766</v>
      </c>
      <c r="E23"/>
    </row>
    <row r="24" spans="1:5" x14ac:dyDescent="0.2">
      <c r="A24" s="128" t="s">
        <v>886</v>
      </c>
      <c r="B24" s="543" t="s">
        <v>887</v>
      </c>
      <c r="C24" s="58">
        <f>MAX(VLOOKUP(10^6,port_mix_cost_cl,1)-0.1,VLOOKUP(10^6,mount_mix_cost_cl,1)-0.1,VLOOKUP(10^6,imp_mix_cost_cl,1)-0.1)</f>
        <v>30</v>
      </c>
      <c r="D24" s="694" t="s">
        <v>1694</v>
      </c>
      <c r="E24"/>
    </row>
    <row r="25" spans="1:5" x14ac:dyDescent="0.2">
      <c r="A25" s="128" t="s">
        <v>888</v>
      </c>
      <c r="B25" s="3" t="s">
        <v>900</v>
      </c>
      <c r="C25" s="58">
        <f>IF(AND(include_cmix=1,e_donor_tanks&lt;&gt;0),ROUNDUP(e_donor_tank_vol/1000*cmix_hp_per/cmix_hp_max,0),0)</f>
        <v>0</v>
      </c>
      <c r="D25" s="694" t="s">
        <v>606</v>
      </c>
      <c r="E25"/>
    </row>
    <row r="26" spans="1:5" x14ac:dyDescent="0.2">
      <c r="A26" s="128" t="s">
        <v>889</v>
      </c>
      <c r="B26" s="3" t="s">
        <v>901</v>
      </c>
      <c r="C26" s="6">
        <f>e_donor_tanks*e_donor_cmix_per_tank</f>
        <v>0</v>
      </c>
      <c r="D26" s="694" t="s">
        <v>606</v>
      </c>
      <c r="E26"/>
    </row>
    <row r="27" spans="1:5" x14ac:dyDescent="0.2">
      <c r="A27" s="128" t="s">
        <v>890</v>
      </c>
      <c r="B27" s="3" t="s">
        <v>902</v>
      </c>
      <c r="C27" s="6">
        <f>IF(e_donor_cmixers&lt;&gt;0,MAX(min_cmix_hp,e_donor_tank_vol/1000*cmix_hp_per/e_donor_cmix_per_tank),0)</f>
        <v>0</v>
      </c>
      <c r="D27" s="694" t="s">
        <v>1694</v>
      </c>
      <c r="E27"/>
    </row>
    <row r="28" spans="1:5" x14ac:dyDescent="0.2">
      <c r="A28" s="128" t="s">
        <v>891</v>
      </c>
      <c r="B28" s="3" t="s">
        <v>903</v>
      </c>
      <c r="C28" s="6">
        <f>IF(AND(include_cmix=1,e_donor_day_tanks&lt;&gt;0),ROUNDUP(e_donor_day_tank_vol/1000*cmix_hp_per/cmix_hp_max,0),0)</f>
        <v>0</v>
      </c>
      <c r="D28" s="694" t="s">
        <v>606</v>
      </c>
      <c r="E28"/>
    </row>
    <row r="29" spans="1:5" x14ac:dyDescent="0.2">
      <c r="A29" s="128" t="s">
        <v>892</v>
      </c>
      <c r="B29" s="3" t="s">
        <v>904</v>
      </c>
      <c r="C29" s="6">
        <f>e_donor_day_tanks*e_donor_dmix_per_tank</f>
        <v>0</v>
      </c>
      <c r="D29" s="694" t="s">
        <v>606</v>
      </c>
      <c r="E29"/>
    </row>
    <row r="30" spans="1:5" x14ac:dyDescent="0.2">
      <c r="A30" s="128" t="s">
        <v>893</v>
      </c>
      <c r="B30" s="3" t="s">
        <v>905</v>
      </c>
      <c r="C30" s="6">
        <f>IF(e_donor_dmixers&lt;&gt;0,MAX(min_cmix_hp,e_donor_day_tank_vol/1000*cmix_hp_per/e_donor_dmix_per_tank),0)</f>
        <v>0</v>
      </c>
      <c r="D30" s="694" t="s">
        <v>1694</v>
      </c>
      <c r="E30"/>
    </row>
    <row r="31" spans="1:5" x14ac:dyDescent="0.2">
      <c r="A31" s="627"/>
      <c r="B31" s="3"/>
      <c r="C31" s="28"/>
      <c r="D31" s="694"/>
      <c r="E31"/>
    </row>
    <row r="32" spans="1:5" x14ac:dyDescent="0.2">
      <c r="A32" s="736" t="s">
        <v>433</v>
      </c>
      <c r="B32" s="3"/>
      <c r="C32" s="28"/>
      <c r="D32" s="694"/>
      <c r="E32"/>
    </row>
    <row r="33" spans="1:5" x14ac:dyDescent="0.2">
      <c r="A33" s="627" t="s">
        <v>434</v>
      </c>
      <c r="B33" s="3" t="s">
        <v>440</v>
      </c>
      <c r="C33" s="28" t="b">
        <f>IF(OR(ClO4_in="",O2_in="",NO3_in=""), FALSE,TRUE)</f>
        <v>0</v>
      </c>
      <c r="D33" s="694"/>
      <c r="E33"/>
    </row>
    <row r="34" spans="1:5" x14ac:dyDescent="0.2">
      <c r="A34" s="627" t="s">
        <v>435</v>
      </c>
      <c r="B34" s="3" t="s">
        <v>437</v>
      </c>
      <c r="C34" s="508" t="str">
        <f>IF(dose_calc,((2.248*O2_in)+(0.515*NO3_in)+(1.447*ClO4_in)),"NA")</f>
        <v>NA</v>
      </c>
      <c r="D34" s="694" t="s">
        <v>512</v>
      </c>
      <c r="E34" s="32" t="s">
        <v>3983</v>
      </c>
    </row>
    <row r="35" spans="1:5" x14ac:dyDescent="0.2">
      <c r="A35" s="627" t="s">
        <v>436</v>
      </c>
      <c r="B35" s="3" t="s">
        <v>438</v>
      </c>
      <c r="C35" s="508" t="str">
        <f>IF(dose_calc,(0.903*O2_in+2.229*NO3_in+0.581*ClO4_in),"NA")</f>
        <v>NA</v>
      </c>
      <c r="D35" s="694" t="s">
        <v>512</v>
      </c>
      <c r="E35" s="32" t="s">
        <v>439</v>
      </c>
    </row>
    <row r="36" spans="1:5" x14ac:dyDescent="0.2">
      <c r="A36" s="1"/>
      <c r="B36" s="5"/>
      <c r="C36" s="3"/>
      <c r="D36" s="28"/>
    </row>
    <row r="37" spans="1:5" x14ac:dyDescent="0.2">
      <c r="A37" s="2" t="s">
        <v>2370</v>
      </c>
      <c r="C37" s="3"/>
      <c r="D37" s="26"/>
    </row>
    <row r="38" spans="1:5" x14ac:dyDescent="0.2">
      <c r="A38" s="732" t="s">
        <v>3856</v>
      </c>
      <c r="B38" s="3" t="s">
        <v>1815</v>
      </c>
      <c r="C38" s="26">
        <f>IF(nutrient_option_I="no additional nutrients required",1,IF(nutrient_option_I="additional nitrogen required",2,IF(nutrient_option_I="additional phosphorous required",3,IF(nutrient_option_I="both nitrogen and phosphorous required",4,""))))</f>
        <v>3</v>
      </c>
      <c r="D38" s="695" t="s">
        <v>1814</v>
      </c>
      <c r="E38"/>
    </row>
    <row r="39" spans="1:5" x14ac:dyDescent="0.2">
      <c r="A39" s="128"/>
      <c r="B39" s="3"/>
      <c r="C39" s="26"/>
      <c r="D39" s="695"/>
      <c r="E39"/>
    </row>
    <row r="40" spans="1:5" x14ac:dyDescent="0.2">
      <c r="A40" s="736" t="s">
        <v>884</v>
      </c>
      <c r="B40" s="3"/>
      <c r="C40" s="26"/>
      <c r="D40" s="695"/>
      <c r="E40"/>
    </row>
    <row r="41" spans="1:5" x14ac:dyDescent="0.2">
      <c r="A41" s="627" t="s">
        <v>1821</v>
      </c>
      <c r="B41" s="3" t="s">
        <v>3209</v>
      </c>
      <c r="C41" s="82">
        <f>IF(OR(nutrient_option=2,nutrient_option=4),NH4Cl_dose_I,0)</f>
        <v>0</v>
      </c>
      <c r="D41" s="694" t="s">
        <v>512</v>
      </c>
      <c r="E41"/>
    </row>
    <row r="42" spans="1:5" x14ac:dyDescent="0.2">
      <c r="A42" s="732" t="s">
        <v>1822</v>
      </c>
      <c r="B42" s="3" t="s">
        <v>1816</v>
      </c>
      <c r="C42" s="82">
        <f>IF(OR(nutrient_option=2,nutrient_option=4),NH4Cl_dose*design_flow*8.34,0)</f>
        <v>0</v>
      </c>
      <c r="D42" s="694" t="s">
        <v>1800</v>
      </c>
      <c r="E42"/>
    </row>
    <row r="43" spans="1:5" x14ac:dyDescent="0.2">
      <c r="A43" s="627" t="s">
        <v>865</v>
      </c>
      <c r="B43" s="3" t="s">
        <v>1817</v>
      </c>
      <c r="C43" s="506">
        <f>IF(OR(nutrient_option=2,nutrient_option=4),NH4Cl_day/NH4CL_dens,0)</f>
        <v>0</v>
      </c>
      <c r="D43" s="694" t="s">
        <v>1803</v>
      </c>
      <c r="E43"/>
    </row>
    <row r="44" spans="1:5" x14ac:dyDescent="0.2">
      <c r="A44" s="627" t="s">
        <v>1823</v>
      </c>
      <c r="B44" s="3" t="s">
        <v>1818</v>
      </c>
      <c r="C44" s="28">
        <f>IF(OR(nutrient_option=2,nutrient_option=4),NH4Cl_vol*(average_flow/design_flow)*chem_storage,0)</f>
        <v>0</v>
      </c>
      <c r="D44" s="695" t="s">
        <v>1332</v>
      </c>
      <c r="E44"/>
    </row>
    <row r="45" spans="1:5" x14ac:dyDescent="0.2">
      <c r="A45" s="732" t="s">
        <v>3801</v>
      </c>
      <c r="B45" s="3" t="s">
        <v>3802</v>
      </c>
      <c r="C45" s="28">
        <f>IF(OR(nutrient_option=2,nutrient_option=4),NH4Cl_day*(average_flow/design_flow)*chem_storage,0)</f>
        <v>0</v>
      </c>
      <c r="D45" s="695" t="s">
        <v>2591</v>
      </c>
      <c r="E45"/>
    </row>
    <row r="46" spans="1:5" x14ac:dyDescent="0.2">
      <c r="A46" s="128" t="s">
        <v>1824</v>
      </c>
      <c r="B46" s="3" t="s">
        <v>1819</v>
      </c>
      <c r="C46" s="28">
        <f>IF(OR(nutrient_option=2,nutrient_option=4),ROUNDUP(NH4Cl_store/max_chem_tank_size,0),0)</f>
        <v>0</v>
      </c>
      <c r="D46" s="694" t="s">
        <v>606</v>
      </c>
      <c r="E46"/>
    </row>
    <row r="47" spans="1:5" x14ac:dyDescent="0.2">
      <c r="A47" s="627" t="s">
        <v>2362</v>
      </c>
      <c r="B47" s="3" t="s">
        <v>1820</v>
      </c>
      <c r="C47" s="28">
        <f>IF(OR(nutrient_option=2,nutrient_option=4),ROUNDUP(NH4Cl_store/NH4Cl_tanks,0),0)</f>
        <v>0</v>
      </c>
      <c r="D47" s="694" t="s">
        <v>1332</v>
      </c>
      <c r="E47"/>
    </row>
    <row r="48" spans="1:5" x14ac:dyDescent="0.2">
      <c r="A48" s="128" t="s">
        <v>872</v>
      </c>
      <c r="B48" s="57" t="s">
        <v>875</v>
      </c>
      <c r="C48" s="65">
        <f>NH4Cl_vol</f>
        <v>0</v>
      </c>
      <c r="D48" s="694" t="s">
        <v>2766</v>
      </c>
      <c r="E48"/>
    </row>
    <row r="49" spans="1:5" x14ac:dyDescent="0.2">
      <c r="A49" s="128" t="s">
        <v>873</v>
      </c>
      <c r="B49" s="3" t="s">
        <v>876</v>
      </c>
      <c r="C49" s="65">
        <f>IF(NH4Cl_day_tank_vol_needed&lt;day_tank_needed,0,ROUNDUP(NH4Cl_day_tank_vol_needed/max_chem_tank_size,0))</f>
        <v>0</v>
      </c>
      <c r="D49" s="694" t="s">
        <v>606</v>
      </c>
      <c r="E49"/>
    </row>
    <row r="50" spans="1:5" x14ac:dyDescent="0.2">
      <c r="A50" s="128" t="s">
        <v>874</v>
      </c>
      <c r="B50" s="3" t="s">
        <v>877</v>
      </c>
      <c r="C50" s="65">
        <f>IF(NH4Cl_day_tanks=0,0,ROUNDUP(NH4Cl_day_tank_vol_needed/NH4Cl_day_tanks,0))</f>
        <v>0</v>
      </c>
      <c r="D50" s="694" t="s">
        <v>2766</v>
      </c>
      <c r="E50"/>
    </row>
    <row r="51" spans="1:5" x14ac:dyDescent="0.2">
      <c r="A51" s="128" t="s">
        <v>888</v>
      </c>
      <c r="B51" s="3" t="s">
        <v>894</v>
      </c>
      <c r="C51" s="58">
        <f>IF(AND(include_cmix=1,NH4Cl_tanks&lt;&gt;0),ROUNDUP(NH4Cl_tank_vol/1000*cmix_hp_per/cmix_hp_max,0),0)</f>
        <v>0</v>
      </c>
      <c r="D51" s="694" t="s">
        <v>606</v>
      </c>
      <c r="E51"/>
    </row>
    <row r="52" spans="1:5" x14ac:dyDescent="0.2">
      <c r="A52" s="128" t="s">
        <v>889</v>
      </c>
      <c r="B52" s="3" t="s">
        <v>895</v>
      </c>
      <c r="C52" s="6">
        <f>NH4Cl_tanks*NH4Cl_cmix_per_tank</f>
        <v>0</v>
      </c>
      <c r="D52" s="694" t="s">
        <v>606</v>
      </c>
      <c r="E52"/>
    </row>
    <row r="53" spans="1:5" x14ac:dyDescent="0.2">
      <c r="A53" s="128" t="s">
        <v>890</v>
      </c>
      <c r="B53" s="3" t="s">
        <v>896</v>
      </c>
      <c r="C53" s="6">
        <f>IF(NH4Cl_cmixers&lt;&gt;0,MAX(min_cmix_hp,NH4Cl_tank_vol/1000*cmix_hp_per/NH4Cl_cmix_per_tank),0)</f>
        <v>0</v>
      </c>
      <c r="D53" s="694" t="s">
        <v>1694</v>
      </c>
      <c r="E53"/>
    </row>
    <row r="54" spans="1:5" x14ac:dyDescent="0.2">
      <c r="A54" s="128" t="s">
        <v>891</v>
      </c>
      <c r="B54" s="3" t="s">
        <v>897</v>
      </c>
      <c r="C54" s="6">
        <f>IF(AND(include_cmix=1,NH4Cl_day_tanks&lt;&gt;0),ROUNDUP(NH4Cl_day_tank_vol/1000*cmix_hp_per/cmix_hp_max,0),0)</f>
        <v>0</v>
      </c>
      <c r="D54" s="694" t="s">
        <v>606</v>
      </c>
      <c r="E54"/>
    </row>
    <row r="55" spans="1:5" x14ac:dyDescent="0.2">
      <c r="A55" s="128" t="s">
        <v>892</v>
      </c>
      <c r="B55" s="3" t="s">
        <v>898</v>
      </c>
      <c r="C55" s="6">
        <f>NH4Cl_day_tanks*NH4Cl_dmix_per_tank</f>
        <v>0</v>
      </c>
      <c r="D55" s="694" t="s">
        <v>606</v>
      </c>
      <c r="E55"/>
    </row>
    <row r="56" spans="1:5" x14ac:dyDescent="0.2">
      <c r="A56" s="128" t="s">
        <v>893</v>
      </c>
      <c r="B56" s="3" t="s">
        <v>899</v>
      </c>
      <c r="C56" s="6">
        <f>IF(NH4Cl_dmixers&lt;&gt;0,MAX(min_cmix_hp,NH4Cl_day_tank_vol/1000*cmix_hp_per/NH4Cl_dmix_per_tank),0)</f>
        <v>0</v>
      </c>
      <c r="D56" s="694" t="s">
        <v>1694</v>
      </c>
      <c r="E56"/>
    </row>
    <row r="57" spans="1:5" x14ac:dyDescent="0.2">
      <c r="A57" s="128"/>
      <c r="B57" s="543"/>
      <c r="C57" s="58"/>
      <c r="D57" s="694"/>
      <c r="E57"/>
    </row>
    <row r="58" spans="1:5" x14ac:dyDescent="0.2">
      <c r="A58" s="736" t="s">
        <v>885</v>
      </c>
      <c r="B58" s="3"/>
      <c r="C58" s="65"/>
      <c r="D58" s="694"/>
      <c r="E58"/>
    </row>
    <row r="59" spans="1:5" x14ac:dyDescent="0.2">
      <c r="A59" s="627" t="s">
        <v>1790</v>
      </c>
      <c r="B59" s="3" t="s">
        <v>1791</v>
      </c>
      <c r="C59" s="888">
        <f>IF(H3PO4_pct=0.75,13.17,10.14)</f>
        <v>13.17</v>
      </c>
      <c r="D59" s="694" t="s">
        <v>1804</v>
      </c>
      <c r="E59" s="7" t="s">
        <v>4381</v>
      </c>
    </row>
    <row r="60" spans="1:5" x14ac:dyDescent="0.2">
      <c r="A60" s="732" t="s">
        <v>3970</v>
      </c>
      <c r="B60" s="3" t="s">
        <v>3971</v>
      </c>
      <c r="C60" s="889">
        <f>H3PO4_pct*(30.9738/98.2134)</f>
        <v>0.23652933306453094</v>
      </c>
      <c r="D60" s="694" t="s">
        <v>3968</v>
      </c>
      <c r="E60" s="7" t="s">
        <v>3969</v>
      </c>
    </row>
    <row r="61" spans="1:5" x14ac:dyDescent="0.2">
      <c r="A61" s="732" t="s">
        <v>3982</v>
      </c>
      <c r="B61" s="3" t="s">
        <v>3973</v>
      </c>
      <c r="C61" s="82">
        <f>IF(OR(nutrient_option=3,nutrient_option=4),H3PO4_dose_I*3.7854*0.000002204*(design_flow*1000000))</f>
        <v>1.0345346784</v>
      </c>
      <c r="D61" s="694" t="s">
        <v>1800</v>
      </c>
      <c r="E61" s="7" t="s">
        <v>3972</v>
      </c>
    </row>
    <row r="62" spans="1:5" x14ac:dyDescent="0.2">
      <c r="A62" s="732" t="s">
        <v>4379</v>
      </c>
      <c r="B62" s="3" t="s">
        <v>2365</v>
      </c>
      <c r="C62" s="82">
        <f>IF(OR(nutrient_option=3,nutrient_option=4),H3PO4_vol*H3PO4_dens,0)</f>
        <v>4.3738113366165621</v>
      </c>
      <c r="D62" s="694" t="s">
        <v>1800</v>
      </c>
      <c r="E62" s="7"/>
    </row>
    <row r="63" spans="1:5" x14ac:dyDescent="0.2">
      <c r="A63" s="627" t="s">
        <v>864</v>
      </c>
      <c r="B63" s="3" t="s">
        <v>2366</v>
      </c>
      <c r="C63" s="506">
        <f>IF(OR(nutrient_option=3,nutrient_option=4),lb_P_day/H3PO4_strength/H3PO4_dens,0)</f>
        <v>0.33210412578713455</v>
      </c>
      <c r="D63" s="694" t="s">
        <v>1803</v>
      </c>
      <c r="E63"/>
    </row>
    <row r="64" spans="1:5" x14ac:dyDescent="0.2">
      <c r="A64" s="627" t="s">
        <v>866</v>
      </c>
      <c r="B64" s="3" t="s">
        <v>2367</v>
      </c>
      <c r="C64" s="28">
        <f>IF(OR(nutrient_option=3,nutrient_option=4),H3PO4_vol*(average_flow/design_flow)*chem_storage,0)</f>
        <v>2.8121720328749302</v>
      </c>
      <c r="D64" s="695" t="s">
        <v>1332</v>
      </c>
      <c r="E64"/>
    </row>
    <row r="65" spans="1:5" x14ac:dyDescent="0.2">
      <c r="A65" s="732" t="s">
        <v>3803</v>
      </c>
      <c r="B65" s="3" t="s">
        <v>3804</v>
      </c>
      <c r="C65" s="28">
        <f>IF(OR(nutrient_option=3,nutrient_option=4),H3PO4_store*H3PO4_dens,0)</f>
        <v>37.036305672962833</v>
      </c>
      <c r="D65" s="695" t="s">
        <v>2591</v>
      </c>
      <c r="E65"/>
    </row>
    <row r="66" spans="1:5" x14ac:dyDescent="0.2">
      <c r="A66" s="128" t="s">
        <v>867</v>
      </c>
      <c r="B66" s="3" t="s">
        <v>2368</v>
      </c>
      <c r="C66" s="28">
        <f>IF(OR(nutrient_option=3,nutrient_option=4),ROUNDUP(H3PO4_store/max_chem_tank_size_noSS,0),0)</f>
        <v>1</v>
      </c>
      <c r="D66" s="694" t="s">
        <v>606</v>
      </c>
      <c r="E66"/>
    </row>
    <row r="67" spans="1:5" x14ac:dyDescent="0.2">
      <c r="A67" s="627" t="s">
        <v>868</v>
      </c>
      <c r="B67" s="3" t="s">
        <v>2369</v>
      </c>
      <c r="C67" s="28">
        <f>IF(OR(nutrient_option=3,nutrient_option=4),ROUNDUP(H3PO4_store/H3PO4_tanks,0),0)</f>
        <v>3</v>
      </c>
      <c r="D67" s="694" t="s">
        <v>1332</v>
      </c>
      <c r="E67"/>
    </row>
    <row r="68" spans="1:5" x14ac:dyDescent="0.2">
      <c r="A68" s="128" t="s">
        <v>878</v>
      </c>
      <c r="B68" s="57" t="s">
        <v>881</v>
      </c>
      <c r="C68" s="65">
        <f>H3PO4_vol</f>
        <v>0.33210412578713455</v>
      </c>
      <c r="D68" s="694" t="s">
        <v>2766</v>
      </c>
      <c r="E68"/>
    </row>
    <row r="69" spans="1:5" x14ac:dyDescent="0.2">
      <c r="A69" s="128" t="s">
        <v>880</v>
      </c>
      <c r="B69" s="3" t="s">
        <v>882</v>
      </c>
      <c r="C69" s="65">
        <f>IF(H3PO4_day_tank_vol_needed&lt;day_tank_needed,0,ROUNDUP(H3PO4_day_tank_vol_needed/max_chem_tank_size_noSS,0))</f>
        <v>0</v>
      </c>
      <c r="D69" s="694" t="s">
        <v>606</v>
      </c>
      <c r="E69"/>
    </row>
    <row r="70" spans="1:5" x14ac:dyDescent="0.2">
      <c r="A70" s="128" t="s">
        <v>879</v>
      </c>
      <c r="B70" s="3" t="s">
        <v>883</v>
      </c>
      <c r="C70" s="65">
        <f>IF(H3PO4_day_tanks=0,0,ROUNDUP(H3PO4_day_tank_vol_needed/H3PO4_day_tanks,0))</f>
        <v>0</v>
      </c>
      <c r="D70" s="694" t="s">
        <v>2766</v>
      </c>
      <c r="E70"/>
    </row>
    <row r="71" spans="1:5" x14ac:dyDescent="0.2">
      <c r="A71" s="128" t="s">
        <v>888</v>
      </c>
      <c r="B71" s="3" t="s">
        <v>906</v>
      </c>
      <c r="C71" s="58">
        <f>IF(AND(include_cmix=1,H3PO4_tanks&lt;&gt;0),ROUNDUP(H3PO4_tank_vol/1000*cmix_hp_per/cmix_hp_max,0),0)</f>
        <v>0</v>
      </c>
      <c r="D71" s="694" t="s">
        <v>606</v>
      </c>
      <c r="E71"/>
    </row>
    <row r="72" spans="1:5" x14ac:dyDescent="0.2">
      <c r="A72" s="128" t="s">
        <v>889</v>
      </c>
      <c r="B72" s="3" t="s">
        <v>907</v>
      </c>
      <c r="C72" s="6">
        <f>H3PO4_tanks*H3PO4_cmix_per_tank</f>
        <v>0</v>
      </c>
      <c r="D72" s="694" t="s">
        <v>606</v>
      </c>
      <c r="E72"/>
    </row>
    <row r="73" spans="1:5" x14ac:dyDescent="0.2">
      <c r="A73" s="128" t="s">
        <v>890</v>
      </c>
      <c r="B73" s="3" t="s">
        <v>908</v>
      </c>
      <c r="C73" s="6">
        <f>IF(H3PO4_cmixers&lt;&gt;0,MAX(min_cmix_hp,H3PO4_tank_vol/1000*cmix_hp_per/H3PO4_cmix_per_tank),0)</f>
        <v>0</v>
      </c>
      <c r="D73" s="694" t="s">
        <v>1694</v>
      </c>
      <c r="E73"/>
    </row>
    <row r="74" spans="1:5" x14ac:dyDescent="0.2">
      <c r="A74" s="128" t="s">
        <v>891</v>
      </c>
      <c r="B74" s="3" t="s">
        <v>909</v>
      </c>
      <c r="C74" s="6">
        <f>IF(AND(include_cmix=1,H3PO4_day_tanks&lt;&gt;0),ROUNDUP(H3PO4_day_tank_vol/1000*cmix_hp_per/cmix_hp_max,0),0)</f>
        <v>0</v>
      </c>
      <c r="D74" s="694" t="s">
        <v>606</v>
      </c>
      <c r="E74"/>
    </row>
    <row r="75" spans="1:5" x14ac:dyDescent="0.2">
      <c r="A75" s="128" t="s">
        <v>892</v>
      </c>
      <c r="B75" s="3" t="s">
        <v>910</v>
      </c>
      <c r="C75" s="6">
        <f>H3PO4_day_tanks*H3PO4_dmix_per_tank</f>
        <v>0</v>
      </c>
      <c r="D75" s="694" t="s">
        <v>606</v>
      </c>
      <c r="E75"/>
    </row>
    <row r="76" spans="1:5" x14ac:dyDescent="0.2">
      <c r="A76" s="128" t="s">
        <v>893</v>
      </c>
      <c r="B76" s="3" t="s">
        <v>911</v>
      </c>
      <c r="C76" s="6">
        <f>IF(H3PO4_dmixers&lt;&gt;0,MAX(min_cmix_hp,H3PO4_day_tank_vol/1000*cmix_hp_per/H3PO4_dmix_per_tank),0)</f>
        <v>0</v>
      </c>
      <c r="D76" s="694" t="s">
        <v>1694</v>
      </c>
      <c r="E76"/>
    </row>
    <row r="78" spans="1:5" x14ac:dyDescent="0.2">
      <c r="A78" s="814" t="s">
        <v>3991</v>
      </c>
      <c r="B78" s="815"/>
      <c r="C78" s="815"/>
      <c r="D78" s="815"/>
      <c r="E78" s="815"/>
    </row>
    <row r="79" spans="1:5" x14ac:dyDescent="0.2">
      <c r="A79" s="815" t="s">
        <v>3984</v>
      </c>
      <c r="B79" s="815"/>
      <c r="C79" s="816" t="e">
        <f>VLOOKUP("Acetic Acid - Large Qty",chem_break_table_cl,2,FALSE)</f>
        <v>#N/A</v>
      </c>
      <c r="D79" s="815" t="s">
        <v>2591</v>
      </c>
      <c r="E79" s="725" t="s">
        <v>3985</v>
      </c>
    </row>
    <row r="80" spans="1:5" x14ac:dyDescent="0.2">
      <c r="A80" s="815" t="s">
        <v>3986</v>
      </c>
      <c r="B80" s="815"/>
      <c r="C80" s="816" t="e">
        <f>VLOOKUP("Acetic Acid - Mid Qty",chem_break_table_cl,2,FALSE)</f>
        <v>#N/A</v>
      </c>
      <c r="D80" s="815" t="s">
        <v>2591</v>
      </c>
      <c r="E80" s="725" t="s">
        <v>3985</v>
      </c>
    </row>
    <row r="81" spans="1:5" x14ac:dyDescent="0.2">
      <c r="A81" s="815" t="s">
        <v>3987</v>
      </c>
      <c r="B81" s="815"/>
      <c r="C81" s="816" t="e">
        <f>VLOOKUP("Acetic Acid - Small Qty",chem_break_table_cl,2,FALSE)</f>
        <v>#N/A</v>
      </c>
      <c r="D81" s="815" t="s">
        <v>2591</v>
      </c>
      <c r="E81" s="725" t="s">
        <v>3985</v>
      </c>
    </row>
    <row r="82" spans="1:5" x14ac:dyDescent="0.2">
      <c r="A82" s="815" t="s">
        <v>3988</v>
      </c>
      <c r="B82" s="817" t="s">
        <v>3990</v>
      </c>
      <c r="C82" s="815" t="str">
        <f>IF(AND(ISNA(C79),ISNA(C80),ISNA(C81)),"",IF(acetic_store&gt;=C79," - Large Qty",IF(acetic_store&gt;=C80," - Mid Qty"," - Small Qty")))</f>
        <v/>
      </c>
      <c r="D82" s="815"/>
      <c r="E82" s="725" t="s">
        <v>3989</v>
      </c>
    </row>
    <row r="83" spans="1:5" x14ac:dyDescent="0.2">
      <c r="B83" s="3"/>
      <c r="C83" s="10"/>
      <c r="D83" s="5"/>
      <c r="E83"/>
    </row>
    <row r="84" spans="1:5" x14ac:dyDescent="0.2">
      <c r="A84" s="814" t="s">
        <v>3992</v>
      </c>
      <c r="B84" s="815"/>
      <c r="C84" s="815"/>
      <c r="D84" s="815"/>
      <c r="E84" s="815"/>
    </row>
    <row r="85" spans="1:5" x14ac:dyDescent="0.2">
      <c r="A85" s="815" t="s">
        <v>3984</v>
      </c>
      <c r="B85" s="815"/>
      <c r="C85" s="816" t="e">
        <f>VLOOKUP("Ethanol - Large Qty",chem_break_table_cl,2,FALSE)</f>
        <v>#N/A</v>
      </c>
      <c r="D85" s="815" t="s">
        <v>1332</v>
      </c>
      <c r="E85" s="725" t="s">
        <v>3985</v>
      </c>
    </row>
    <row r="86" spans="1:5" x14ac:dyDescent="0.2">
      <c r="A86" s="815" t="s">
        <v>3986</v>
      </c>
      <c r="B86" s="815"/>
      <c r="C86" s="816" t="e">
        <f>VLOOKUP("Ethanol - Mid Qty",chem_break_table_cl,2,FALSE)</f>
        <v>#N/A</v>
      </c>
      <c r="D86" s="815" t="s">
        <v>1332</v>
      </c>
      <c r="E86" s="725" t="s">
        <v>3985</v>
      </c>
    </row>
    <row r="87" spans="1:5" x14ac:dyDescent="0.2">
      <c r="A87" s="815" t="s">
        <v>3987</v>
      </c>
      <c r="B87" s="815"/>
      <c r="C87" s="816" t="e">
        <f>VLOOKUP("Ethanol - Small Qty",chem_break_table_cl,2,FALSE)</f>
        <v>#N/A</v>
      </c>
      <c r="D87" s="815" t="s">
        <v>1332</v>
      </c>
      <c r="E87" s="725" t="s">
        <v>3985</v>
      </c>
    </row>
    <row r="88" spans="1:5" x14ac:dyDescent="0.2">
      <c r="A88" s="815" t="s">
        <v>3988</v>
      </c>
      <c r="B88" s="817" t="s">
        <v>3993</v>
      </c>
      <c r="C88" s="815" t="str">
        <f>IF(AND(ISNA(C85),ISNA(C86),ISNA(C87)),"",IF(ethanol_store&gt;=C85," - Large Qty",IF(ethanol_store&gt;=C86," - Mid Qty"," - Small Qty")))</f>
        <v/>
      </c>
      <c r="D88" s="815"/>
      <c r="E88" s="725" t="s">
        <v>3989</v>
      </c>
    </row>
    <row r="89" spans="1:5" x14ac:dyDescent="0.2">
      <c r="B89" s="3"/>
      <c r="C89" s="10"/>
      <c r="D89" s="5"/>
      <c r="E89"/>
    </row>
    <row r="90" spans="1:5" x14ac:dyDescent="0.2">
      <c r="A90" s="814" t="s">
        <v>3995</v>
      </c>
      <c r="B90" s="815"/>
      <c r="C90" s="815"/>
      <c r="D90" s="815"/>
      <c r="E90" s="815"/>
    </row>
    <row r="91" spans="1:5" x14ac:dyDescent="0.2">
      <c r="A91" s="815" t="s">
        <v>3984</v>
      </c>
      <c r="B91" s="815"/>
      <c r="C91" s="816" t="e">
        <f>VLOOKUP("Ammonium Chloride - Large Qty",chem_break_table_cl,2,FALSE)</f>
        <v>#N/A</v>
      </c>
      <c r="D91" s="815" t="s">
        <v>2591</v>
      </c>
      <c r="E91" s="725" t="s">
        <v>3985</v>
      </c>
    </row>
    <row r="92" spans="1:5" x14ac:dyDescent="0.2">
      <c r="A92" s="815" t="s">
        <v>3986</v>
      </c>
      <c r="B92" s="815"/>
      <c r="C92" s="816" t="e">
        <f>VLOOKUP("Ammonium Chloride - Mid Qty",chem_break_table_cl,2,FALSE)</f>
        <v>#N/A</v>
      </c>
      <c r="D92" s="815" t="s">
        <v>2591</v>
      </c>
      <c r="E92" s="725" t="s">
        <v>3985</v>
      </c>
    </row>
    <row r="93" spans="1:5" x14ac:dyDescent="0.2">
      <c r="A93" s="815" t="s">
        <v>3987</v>
      </c>
      <c r="B93" s="815"/>
      <c r="C93" s="816" t="e">
        <f>VLOOKUP("Ammonium Chloride - Small Qty",chem_break_table_cl,2,FALSE)</f>
        <v>#N/A</v>
      </c>
      <c r="D93" s="815" t="s">
        <v>2591</v>
      </c>
      <c r="E93" s="725" t="s">
        <v>3985</v>
      </c>
    </row>
    <row r="94" spans="1:5" x14ac:dyDescent="0.2">
      <c r="A94" s="815" t="s">
        <v>3988</v>
      </c>
      <c r="B94" s="817" t="s">
        <v>3994</v>
      </c>
      <c r="C94" s="815" t="str">
        <f>IF(AND(ISNA(C91),ISNA(C92),ISNA(C93)),"",IF(NH4Cl_store_lbs&gt;=C91," - Large Qty",IF(NH4Cl_store_lbs&gt;=C92," - Mid Qty"," - Small Qty")))</f>
        <v/>
      </c>
      <c r="D94" s="815"/>
      <c r="E94" s="725" t="s">
        <v>3989</v>
      </c>
    </row>
    <row r="95" spans="1:5" x14ac:dyDescent="0.2">
      <c r="B95" s="3"/>
      <c r="C95" s="10"/>
      <c r="D95" s="5"/>
      <c r="E95"/>
    </row>
    <row r="96" spans="1:5" x14ac:dyDescent="0.2">
      <c r="A96" s="814" t="s">
        <v>3996</v>
      </c>
      <c r="B96" s="815"/>
      <c r="C96" s="815"/>
      <c r="D96" s="815"/>
      <c r="E96" s="815"/>
    </row>
    <row r="97" spans="1:5" x14ac:dyDescent="0.2">
      <c r="A97" s="815" t="s">
        <v>3984</v>
      </c>
      <c r="B97" s="815"/>
      <c r="C97" s="816">
        <f>VLOOKUP("Phosphoric Acid "&amp;TEXT(H3PO4_pct,"0%")&amp;" - Large Qty",chem_break_table_cl,2,FALSE)</f>
        <v>44000</v>
      </c>
      <c r="D97" s="815" t="s">
        <v>2591</v>
      </c>
      <c r="E97" s="725" t="s">
        <v>3985</v>
      </c>
    </row>
    <row r="98" spans="1:5" x14ac:dyDescent="0.2">
      <c r="A98" s="815" t="s">
        <v>3986</v>
      </c>
      <c r="B98" s="815"/>
      <c r="C98" s="816">
        <f>VLOOKUP("Phosphoric Acid "&amp;TEXT(H3PO4_pct,"0%")&amp;" - Mid Qty",chem_break_table_cl,2,FALSE)</f>
        <v>3621.75</v>
      </c>
      <c r="D98" s="815" t="s">
        <v>2591</v>
      </c>
      <c r="E98" s="725" t="s">
        <v>3985</v>
      </c>
    </row>
    <row r="99" spans="1:5" x14ac:dyDescent="0.2">
      <c r="A99" s="815" t="s">
        <v>3987</v>
      </c>
      <c r="B99" s="815"/>
      <c r="C99" s="816">
        <f>VLOOKUP("Phosphoric Acid "&amp;TEXT(H3PO4_pct,"0%")&amp;" - Small Qty",chem_break_table_cl,2,FALSE)</f>
        <v>0</v>
      </c>
      <c r="D99" s="815" t="s">
        <v>2591</v>
      </c>
      <c r="E99" s="725" t="s">
        <v>3985</v>
      </c>
    </row>
    <row r="100" spans="1:5" x14ac:dyDescent="0.2">
      <c r="A100" s="815" t="s">
        <v>3988</v>
      </c>
      <c r="B100" s="817" t="s">
        <v>3997</v>
      </c>
      <c r="C100" s="815" t="str">
        <f>IF(AND(ISNA(C97),ISNA(C98),ISNA(C99)),"",IF(H3PO4_store_lbs&gt;=C97," - Large Qty",IF(H3PO4_store_lbs&gt;=C98," - Mid Qty"," - Small Qty")))</f>
        <v xml:space="preserve"> - Small Qty</v>
      </c>
      <c r="D100" s="815"/>
      <c r="E100" s="725" t="s">
        <v>3989</v>
      </c>
    </row>
    <row r="102" spans="1:5" x14ac:dyDescent="0.2">
      <c r="A102" s="2" t="s">
        <v>4067</v>
      </c>
    </row>
    <row r="103" spans="1:5" x14ac:dyDescent="0.2">
      <c r="A103" s="694" t="s">
        <v>44</v>
      </c>
      <c r="B103" s="3" t="s">
        <v>4077</v>
      </c>
      <c r="C103">
        <f>MAX(e_donor_tanks*e_donor_tank_vol*sec_cont_pct_of_total,e_donor_tank_vol*sec_cont_pct_of_largest)/7.48</f>
        <v>7.7941176470588234</v>
      </c>
      <c r="D103" s="694" t="s">
        <v>1239</v>
      </c>
      <c r="E103" s="725" t="s">
        <v>4085</v>
      </c>
    </row>
    <row r="104" spans="1:5" x14ac:dyDescent="0.2">
      <c r="A104" s="694" t="s">
        <v>4060</v>
      </c>
      <c r="B104" s="3" t="s">
        <v>4078</v>
      </c>
      <c r="C104">
        <f>IF(e_donor_tanks=0,0,e_donor_fp-e_donor_tanks*PI()*(e_donor_st_diam/2)^2)</f>
        <v>12.858407346410207</v>
      </c>
      <c r="D104" s="694" t="s">
        <v>1226</v>
      </c>
      <c r="E104" s="725" t="s">
        <v>4086</v>
      </c>
    </row>
    <row r="105" spans="1:5" x14ac:dyDescent="0.2">
      <c r="A105" s="694" t="s">
        <v>4061</v>
      </c>
      <c r="B105" s="3" t="s">
        <v>4079</v>
      </c>
      <c r="C105">
        <f>IF(e_donor_tanks=0,0,e_donor_st_cont_volume/e_donor_st_cont_fp+sec_cont_freeboard/12)</f>
        <v>1.1061495360259195</v>
      </c>
      <c r="D105" s="694" t="s">
        <v>605</v>
      </c>
      <c r="E105"/>
    </row>
    <row r="106" spans="1:5" x14ac:dyDescent="0.2">
      <c r="A106" s="694" t="s">
        <v>4062</v>
      </c>
      <c r="B106" s="3" t="s">
        <v>4080</v>
      </c>
      <c r="C106">
        <f>IF(e_donor_tanks=0,0,MIN(sec_cont_max_thick,e_donor_st_curb_height))</f>
        <v>1</v>
      </c>
      <c r="D106" s="694" t="s">
        <v>605</v>
      </c>
      <c r="E106"/>
    </row>
    <row r="107" spans="1:5" x14ac:dyDescent="0.2">
      <c r="A107" s="694" t="s">
        <v>4063</v>
      </c>
      <c r="B107" s="3" t="s">
        <v>4081</v>
      </c>
      <c r="C107">
        <f>IF(e_donor_tanks=0,0,e_donor_tanks*e_donor_st_diam+2*space_e_donor_st+(e_donor_tanks-1)*space_e_donor_st+2*e_donor_st_curb_thick)</f>
        <v>6</v>
      </c>
      <c r="D107" s="694" t="s">
        <v>605</v>
      </c>
      <c r="E107"/>
    </row>
    <row r="108" spans="1:5" x14ac:dyDescent="0.2">
      <c r="A108" s="694" t="s">
        <v>4064</v>
      </c>
      <c r="B108" s="3" t="s">
        <v>4082</v>
      </c>
      <c r="C108">
        <f>IF(e_donor_tanks=0,0,e_donor_st_diam+2*space_e_donor_st)</f>
        <v>4</v>
      </c>
      <c r="D108" s="694" t="s">
        <v>605</v>
      </c>
      <c r="E108"/>
    </row>
    <row r="109" spans="1:5" x14ac:dyDescent="0.2">
      <c r="A109" s="694" t="s">
        <v>4065</v>
      </c>
      <c r="B109" s="3" t="s">
        <v>4083</v>
      </c>
      <c r="C109">
        <f>IF(e_donor_tanks=0,0,ROUNDUP((e_donor_st_curb_len_long*2+e_donor_st_curb_len_short*2)*e_donor_st_curb_height*e_donor_st_curb_thick/27,0))</f>
        <v>1</v>
      </c>
      <c r="D109" s="694" t="s">
        <v>2337</v>
      </c>
      <c r="E109" s="725" t="s">
        <v>4087</v>
      </c>
    </row>
    <row r="110" spans="1:5" x14ac:dyDescent="0.2">
      <c r="A110" s="694" t="s">
        <v>4066</v>
      </c>
      <c r="B110" s="3" t="s">
        <v>4084</v>
      </c>
      <c r="C110">
        <f>IF(e_donor_tanks=0,0,ROUNDUP((e_donor_fp+2*(e_donor_st_curb_len_long-2*e_donor_st_curb_thick)*e_donor_st_curb_height+2*e_donor_st_curb_len_short*e_donor_st_curb_height)/sec_cont_coating_cvg,0))</f>
        <v>1</v>
      </c>
      <c r="D110" s="694" t="s">
        <v>2766</v>
      </c>
      <c r="E110" s="725" t="s">
        <v>4088</v>
      </c>
    </row>
    <row r="111" spans="1:5" x14ac:dyDescent="0.2">
      <c r="D111" s="695"/>
      <c r="E111" s="26"/>
    </row>
    <row r="112" spans="1:5" x14ac:dyDescent="0.2">
      <c r="A112" s="2" t="s">
        <v>4068</v>
      </c>
      <c r="D112" s="695"/>
      <c r="E112" s="26"/>
    </row>
    <row r="113" spans="1:5" x14ac:dyDescent="0.2">
      <c r="A113" s="694" t="s">
        <v>44</v>
      </c>
      <c r="B113" s="3" t="s">
        <v>4069</v>
      </c>
      <c r="C113">
        <f>MAX(e_donor_day_tanks*e_donor_day_tank_vol*sec_cont_pct_of_total,e_donor_day_tank_vol*sec_cont_pct_of_largest)/7.48</f>
        <v>3.2352941176470589</v>
      </c>
      <c r="D113" s="694" t="s">
        <v>1239</v>
      </c>
      <c r="E113" s="725" t="s">
        <v>4085</v>
      </c>
    </row>
    <row r="114" spans="1:5" x14ac:dyDescent="0.2">
      <c r="A114" s="694" t="s">
        <v>4060</v>
      </c>
      <c r="B114" s="3" t="s">
        <v>4070</v>
      </c>
      <c r="C114">
        <f>IF(e_donor_day_tanks=0,0,e_donor_day_fp-e_donor_day_tanks*PI()*(e_donor_dt_diam/2)^2)</f>
        <v>12.858407346410207</v>
      </c>
      <c r="D114" s="694" t="s">
        <v>1226</v>
      </c>
      <c r="E114" s="725" t="s">
        <v>4086</v>
      </c>
    </row>
    <row r="115" spans="1:5" x14ac:dyDescent="0.2">
      <c r="A115" s="694" t="s">
        <v>4061</v>
      </c>
      <c r="B115" s="3" t="s">
        <v>4071</v>
      </c>
      <c r="C115">
        <f>IF(e_donor_day_tanks=0,0,e_donor_dt_cont_volume/e_donor_dt_cont_fp+sec_cont_freeboard/12)</f>
        <v>0.75160924136924967</v>
      </c>
      <c r="D115" s="694" t="s">
        <v>605</v>
      </c>
      <c r="E115"/>
    </row>
    <row r="116" spans="1:5" x14ac:dyDescent="0.2">
      <c r="A116" s="694" t="s">
        <v>4062</v>
      </c>
      <c r="B116" s="3" t="s">
        <v>4072</v>
      </c>
      <c r="C116">
        <f>IF(e_donor_day_tanks=0,0,MIN(sec_cont_max_thick,e_donor_dt_curb_height))</f>
        <v>0.75160924136924967</v>
      </c>
      <c r="D116" s="694" t="s">
        <v>605</v>
      </c>
      <c r="E116"/>
    </row>
    <row r="117" spans="1:5" x14ac:dyDescent="0.2">
      <c r="A117" s="694" t="s">
        <v>4063</v>
      </c>
      <c r="B117" s="3" t="s">
        <v>4073</v>
      </c>
      <c r="C117">
        <f>IF(e_donor_day_tanks=0,0,e_donor_day_tanks*e_donor_dt_diam+2*space_e_donor_dt+(e_donor_day_tanks-1)*space_e_donor_dt+2*e_donor_dt_curb_thick)</f>
        <v>5.5032184827384993</v>
      </c>
      <c r="D117" s="694" t="s">
        <v>605</v>
      </c>
      <c r="E117"/>
    </row>
    <row r="118" spans="1:5" x14ac:dyDescent="0.2">
      <c r="A118" s="694" t="s">
        <v>4064</v>
      </c>
      <c r="B118" s="3" t="s">
        <v>4074</v>
      </c>
      <c r="C118">
        <f>IF(e_donor_day_tanks=0,0,e_donor_dt_diam+2*space_e_donor_dt)</f>
        <v>4</v>
      </c>
      <c r="D118" s="694" t="s">
        <v>605</v>
      </c>
      <c r="E118"/>
    </row>
    <row r="119" spans="1:5" x14ac:dyDescent="0.2">
      <c r="A119" s="694" t="s">
        <v>4065</v>
      </c>
      <c r="B119" s="3" t="s">
        <v>4075</v>
      </c>
      <c r="C119">
        <f>IF(e_donor_day_tanks=0,0,ROUNDUP((e_donor_dt_curb_len_long*2+e_donor_dt_curb_len_short*2)*e_donor_dt_curb_height*e_donor_dt_curb_thick/27,0))</f>
        <v>1</v>
      </c>
      <c r="D119" s="694" t="s">
        <v>2337</v>
      </c>
      <c r="E119" s="725" t="s">
        <v>4087</v>
      </c>
    </row>
    <row r="120" spans="1:5" x14ac:dyDescent="0.2">
      <c r="A120" s="694" t="s">
        <v>4066</v>
      </c>
      <c r="B120" s="3" t="s">
        <v>4076</v>
      </c>
      <c r="C120">
        <f>IF(e_donor_day_tanks=0,0,ROUNDUP((e_donor_day_fp+2*(e_donor_dt_curb_len_long-2*e_donor_dt_curb_thick)*e_donor_dt_curb_height+2*e_donor_dt_curb_len_short*e_donor_dt_curb_height)/sec_cont_coating_cvg,0))</f>
        <v>1</v>
      </c>
      <c r="D120" s="694" t="s">
        <v>2766</v>
      </c>
      <c r="E120" s="725" t="s">
        <v>4088</v>
      </c>
    </row>
    <row r="122" spans="1:5" x14ac:dyDescent="0.2">
      <c r="A122" s="2" t="s">
        <v>4089</v>
      </c>
    </row>
    <row r="123" spans="1:5" x14ac:dyDescent="0.2">
      <c r="A123" s="694" t="s">
        <v>44</v>
      </c>
      <c r="B123" s="3" t="s">
        <v>4091</v>
      </c>
      <c r="C123">
        <f>MAX(NH4Cl_tanks*NH4Cl_tank_vol*sec_cont_pct_of_total,NH4Cl_tank_vol*sec_cont_pct_of_largest)/7.48</f>
        <v>0</v>
      </c>
      <c r="D123" s="694" t="s">
        <v>1239</v>
      </c>
      <c r="E123" s="725" t="s">
        <v>4085</v>
      </c>
    </row>
    <row r="124" spans="1:5" x14ac:dyDescent="0.2">
      <c r="A124" s="694" t="s">
        <v>4060</v>
      </c>
      <c r="B124" s="3" t="s">
        <v>4092</v>
      </c>
      <c r="C124">
        <f>IF(NH4Cl_tanks=0,0,NH4Cl_donor_fp-NH4Cl_tanks*PI()*(NH4Cl_st_diam/2)^2)</f>
        <v>0</v>
      </c>
      <c r="D124" s="694" t="s">
        <v>1226</v>
      </c>
      <c r="E124" s="725" t="s">
        <v>4086</v>
      </c>
    </row>
    <row r="125" spans="1:5" x14ac:dyDescent="0.2">
      <c r="A125" s="694" t="s">
        <v>4061</v>
      </c>
      <c r="B125" s="3" t="s">
        <v>4093</v>
      </c>
      <c r="C125">
        <f>IF(NH4Cl_tanks=0,0,NH4Cl_st_cont_volume/NH4Cl_st_cont_fp+sec_cont_freeboard/12)</f>
        <v>0</v>
      </c>
      <c r="D125" s="694" t="s">
        <v>605</v>
      </c>
      <c r="E125"/>
    </row>
    <row r="126" spans="1:5" x14ac:dyDescent="0.2">
      <c r="A126" s="694" t="s">
        <v>4062</v>
      </c>
      <c r="B126" s="3" t="s">
        <v>4094</v>
      </c>
      <c r="C126">
        <f>IF(NH4Cl_tanks=0,0,MIN(sec_cont_max_thick,NH4Cl_st_curb_height))</f>
        <v>0</v>
      </c>
      <c r="D126" s="694" t="s">
        <v>605</v>
      </c>
      <c r="E126"/>
    </row>
    <row r="127" spans="1:5" x14ac:dyDescent="0.2">
      <c r="A127" s="694" t="s">
        <v>4063</v>
      </c>
      <c r="B127" s="3" t="s">
        <v>4095</v>
      </c>
      <c r="C127">
        <f>IF(NH4Cl_tanks=0,0,NH4Cl_tanks*NH4Cl_st_diam+2*space_NH4Cl_st+(NH4Cl_tanks-1)*space_NH4Cl_st+2*NH4Cl_st_curb_thick)</f>
        <v>0</v>
      </c>
      <c r="D127" s="694" t="s">
        <v>605</v>
      </c>
      <c r="E127"/>
    </row>
    <row r="128" spans="1:5" x14ac:dyDescent="0.2">
      <c r="A128" s="694" t="s">
        <v>4064</v>
      </c>
      <c r="B128" s="3" t="s">
        <v>4096</v>
      </c>
      <c r="C128">
        <f>IF(NH4Cl_tanks=0,0,NH4Cl_st_diam+2*space_NH4Cl_st)</f>
        <v>0</v>
      </c>
      <c r="D128" s="694" t="s">
        <v>605</v>
      </c>
      <c r="E128"/>
    </row>
    <row r="129" spans="1:5" x14ac:dyDescent="0.2">
      <c r="A129" s="694" t="s">
        <v>4065</v>
      </c>
      <c r="B129" s="3" t="s">
        <v>4097</v>
      </c>
      <c r="C129">
        <f>IF(NH4Cl_tanks=0,0,ROUNDUP((NH4Cl_st_curb_len_long*2+NH4Cl_st_curb_len_short*2)*NH4Cl_st_curb_height*NH4Cl_st_curb_thick/27,0))</f>
        <v>0</v>
      </c>
      <c r="D129" s="694" t="s">
        <v>2337</v>
      </c>
      <c r="E129" s="725" t="s">
        <v>4087</v>
      </c>
    </row>
    <row r="130" spans="1:5" x14ac:dyDescent="0.2">
      <c r="A130" s="694" t="s">
        <v>4066</v>
      </c>
      <c r="B130" s="3" t="s">
        <v>4098</v>
      </c>
      <c r="C130">
        <f>IF(NH4Cl_tanks=0,0,ROUNDUP((NH4Cl_donor_fp+2*(NH4Cl_st_curb_len_long-2*NH4Cl_st_curb_thick)*NH4Cl_st_curb_height+2*NH4Cl_st_curb_len_short*NH4Cl_st_curb_height)/sec_cont_coating_cvg,0))</f>
        <v>0</v>
      </c>
      <c r="D130" s="694" t="s">
        <v>2766</v>
      </c>
      <c r="E130" s="725" t="s">
        <v>4088</v>
      </c>
    </row>
    <row r="131" spans="1:5" x14ac:dyDescent="0.2">
      <c r="D131" s="695"/>
      <c r="E131" s="26"/>
    </row>
    <row r="132" spans="1:5" x14ac:dyDescent="0.2">
      <c r="A132" s="2" t="s">
        <v>4090</v>
      </c>
      <c r="D132" s="695"/>
      <c r="E132" s="26"/>
    </row>
    <row r="133" spans="1:5" x14ac:dyDescent="0.2">
      <c r="A133" s="694" t="s">
        <v>44</v>
      </c>
      <c r="B133" s="3" t="s">
        <v>4099</v>
      </c>
      <c r="C133">
        <f>MAX(NH4Cl_day_tanks*NH4Cl_day_tank_vol*sec_cont_pct_of_total,NH4Cl_day_tank_vol*sec_cont_pct_of_largest)/7.48</f>
        <v>0</v>
      </c>
      <c r="D133" s="694" t="s">
        <v>1239</v>
      </c>
      <c r="E133" s="725" t="s">
        <v>4085</v>
      </c>
    </row>
    <row r="134" spans="1:5" x14ac:dyDescent="0.2">
      <c r="A134" s="694" t="s">
        <v>4060</v>
      </c>
      <c r="B134" s="3" t="s">
        <v>4100</v>
      </c>
      <c r="C134">
        <f>IF(NH4Cl_day_tanks=0,0,NH4Cl_donor_day_fp-NH4Cl_day_tanks*PI()*(NH4Cl_dt_diam/2)^2)</f>
        <v>0</v>
      </c>
      <c r="D134" s="694" t="s">
        <v>1226</v>
      </c>
      <c r="E134" s="725" t="s">
        <v>4086</v>
      </c>
    </row>
    <row r="135" spans="1:5" x14ac:dyDescent="0.2">
      <c r="A135" s="694" t="s">
        <v>4061</v>
      </c>
      <c r="B135" s="3" t="s">
        <v>4101</v>
      </c>
      <c r="C135">
        <f>IF(NH4Cl_day_tanks=0,0,NH4Cl_dt_cont_volume/NH4Cl_dt_cont_fp+sec_cont_freeboard/12)</f>
        <v>0</v>
      </c>
      <c r="D135" s="694" t="s">
        <v>605</v>
      </c>
      <c r="E135"/>
    </row>
    <row r="136" spans="1:5" x14ac:dyDescent="0.2">
      <c r="A136" s="694" t="s">
        <v>4062</v>
      </c>
      <c r="B136" s="3" t="s">
        <v>4102</v>
      </c>
      <c r="C136">
        <f>IF(NH4Cl_day_tanks=0,0,MIN(sec_cont_max_thick,NH4Cl_dt_curb_height))</f>
        <v>0</v>
      </c>
      <c r="D136" s="694" t="s">
        <v>605</v>
      </c>
      <c r="E136"/>
    </row>
    <row r="137" spans="1:5" x14ac:dyDescent="0.2">
      <c r="A137" s="694" t="s">
        <v>4063</v>
      </c>
      <c r="B137" s="3" t="s">
        <v>4103</v>
      </c>
      <c r="C137">
        <f>IF(NH4Cl_day_tanks=0,0,NH4Cl_day_tanks*NH4Cl_dt_diam+2*space_NH4Cl_dt+(NH4Cl_day_tanks-1)*space_NH4Cl_dt+2*NH4Cl_dt_curb_thick)</f>
        <v>0</v>
      </c>
      <c r="D137" s="694" t="s">
        <v>605</v>
      </c>
      <c r="E137"/>
    </row>
    <row r="138" spans="1:5" x14ac:dyDescent="0.2">
      <c r="A138" s="694" t="s">
        <v>4064</v>
      </c>
      <c r="B138" s="3" t="s">
        <v>4104</v>
      </c>
      <c r="C138">
        <f>IF(NH4Cl_day_tanks=0,0,NH4Cl_dt_diam+2*space_NH4Cl_dt)</f>
        <v>0</v>
      </c>
      <c r="D138" s="694" t="s">
        <v>605</v>
      </c>
      <c r="E138"/>
    </row>
    <row r="139" spans="1:5" x14ac:dyDescent="0.2">
      <c r="A139" s="694" t="s">
        <v>4065</v>
      </c>
      <c r="B139" s="3" t="s">
        <v>4105</v>
      </c>
      <c r="C139">
        <f>IF(NH4Cl_day_tanks=0,0,ROUNDUP((NH4Cl_dt_curb_len_long*2+NH4Cl_dt_curb_len_short*2)*NH4Cl_dt_curb_height*NH4Cl_dt_curb_thick/27,0))</f>
        <v>0</v>
      </c>
      <c r="D139" s="694" t="s">
        <v>2337</v>
      </c>
      <c r="E139" s="725" t="s">
        <v>4087</v>
      </c>
    </row>
    <row r="140" spans="1:5" x14ac:dyDescent="0.2">
      <c r="A140" s="694" t="s">
        <v>4066</v>
      </c>
      <c r="B140" s="3" t="s">
        <v>4106</v>
      </c>
      <c r="C140">
        <f>IF(NH4Cl_day_tanks=0,0,ROUNDUP((NH4Cl_donor_day_fp+2*(NH4Cl_dt_curb_len_long-2*NH4Cl_dt_curb_thick)*NH4Cl_dt_curb_height+2*NH4Cl_dt_curb_len_short*NH4Cl_dt_curb_height)/sec_cont_coating_cvg,0))</f>
        <v>0</v>
      </c>
      <c r="D140" s="694" t="s">
        <v>2766</v>
      </c>
      <c r="E140" s="725" t="s">
        <v>4088</v>
      </c>
    </row>
    <row r="142" spans="1:5" x14ac:dyDescent="0.2">
      <c r="A142" s="2" t="s">
        <v>4107</v>
      </c>
    </row>
    <row r="143" spans="1:5" x14ac:dyDescent="0.2">
      <c r="A143" s="694" t="s">
        <v>44</v>
      </c>
      <c r="B143" s="3" t="s">
        <v>4109</v>
      </c>
      <c r="C143">
        <f>MAX(H3PO4_tanks*H3PO4_tank_vol*sec_cont_pct_of_total,H3PO4_tank_vol*sec_cont_pct_of_largest)/7.48</f>
        <v>0.44117647058823528</v>
      </c>
      <c r="D143" s="694" t="s">
        <v>1239</v>
      </c>
      <c r="E143" s="725" t="s">
        <v>4085</v>
      </c>
    </row>
    <row r="144" spans="1:5" x14ac:dyDescent="0.2">
      <c r="A144" s="694" t="s">
        <v>4060</v>
      </c>
      <c r="B144" s="3" t="s">
        <v>4110</v>
      </c>
      <c r="C144">
        <f>IF(H3PO4_tanks=0,0,H3PO4_donor_fp-H3PO4_tanks*PI()*(H3PO4_st_diam/2)^2)</f>
        <v>8.2146018366025508</v>
      </c>
      <c r="D144" s="694" t="s">
        <v>1226</v>
      </c>
      <c r="E144" s="725" t="s">
        <v>4086</v>
      </c>
    </row>
    <row r="145" spans="1:5" x14ac:dyDescent="0.2">
      <c r="A145" s="694" t="s">
        <v>4061</v>
      </c>
      <c r="B145" s="3" t="s">
        <v>4111</v>
      </c>
      <c r="C145">
        <f>IF(H3PO4_tanks=0,0,H3PO4_st_cont_volume/H3PO4_st_cont_fp+sec_cont_freeboard/12)</f>
        <v>0.55370637303715009</v>
      </c>
      <c r="D145" s="694" t="s">
        <v>605</v>
      </c>
      <c r="E145"/>
    </row>
    <row r="146" spans="1:5" x14ac:dyDescent="0.2">
      <c r="A146" s="694" t="s">
        <v>4062</v>
      </c>
      <c r="B146" s="3" t="s">
        <v>4112</v>
      </c>
      <c r="C146">
        <f>IF(H3PO4_tanks=0,0,MIN(sec_cont_max_thick,H3PO4_st_curb_height))</f>
        <v>0.55370637303715009</v>
      </c>
      <c r="D146" s="694" t="s">
        <v>605</v>
      </c>
      <c r="E146"/>
    </row>
    <row r="147" spans="1:5" x14ac:dyDescent="0.2">
      <c r="A147" s="694" t="s">
        <v>4063</v>
      </c>
      <c r="B147" s="3" t="s">
        <v>4113</v>
      </c>
      <c r="C147">
        <f>IF(H3PO4_tanks=0,0,H3PO4_tanks*H3PO4_st_diam+2*space_H3PO4_st+(H3PO4_tanks-1)*space_H3PO4_st+2*H3PO4_st_curb_thick)</f>
        <v>4.1074127460743002</v>
      </c>
      <c r="D147" s="694" t="s">
        <v>605</v>
      </c>
      <c r="E147"/>
    </row>
    <row r="148" spans="1:5" x14ac:dyDescent="0.2">
      <c r="A148" s="694" t="s">
        <v>4064</v>
      </c>
      <c r="B148" s="3" t="s">
        <v>4114</v>
      </c>
      <c r="C148">
        <f>IF(H3PO4_tanks=0,0,H3PO4_st_diam+2*space_H3PO4_st)</f>
        <v>3</v>
      </c>
      <c r="D148" s="694" t="s">
        <v>605</v>
      </c>
      <c r="E148"/>
    </row>
    <row r="149" spans="1:5" x14ac:dyDescent="0.2">
      <c r="A149" s="694" t="s">
        <v>4065</v>
      </c>
      <c r="B149" s="3" t="s">
        <v>4115</v>
      </c>
      <c r="C149">
        <f>IF(H3PO4_tanks=0,0,ROUNDUP((H3PO4_st_curb_len_long*2+H3PO4_st_curb_len_short*2)*H3PO4_st_curb_height*H3PO4_st_curb_thick/27,0))</f>
        <v>1</v>
      </c>
      <c r="D149" s="694" t="s">
        <v>2337</v>
      </c>
      <c r="E149" s="725" t="s">
        <v>4087</v>
      </c>
    </row>
    <row r="150" spans="1:5" x14ac:dyDescent="0.2">
      <c r="A150" s="694" t="s">
        <v>4066</v>
      </c>
      <c r="B150" s="3" t="s">
        <v>4116</v>
      </c>
      <c r="C150">
        <f>IF(H3PO4_tanks=0,0,ROUNDUP((H3PO4_donor_fp+2*(H3PO4_st_curb_len_long-2*H3PO4_st_curb_thick)*H3PO4_st_curb_height+2*H3PO4_st_curb_len_short*H3PO4_st_curb_height)/sec_cont_coating_cvg,0))</f>
        <v>1</v>
      </c>
      <c r="D150" s="694" t="s">
        <v>2766</v>
      </c>
      <c r="E150" s="725" t="s">
        <v>4088</v>
      </c>
    </row>
    <row r="151" spans="1:5" x14ac:dyDescent="0.2">
      <c r="D151" s="695"/>
      <c r="E151" s="26"/>
    </row>
    <row r="152" spans="1:5" x14ac:dyDescent="0.2">
      <c r="A152" s="2" t="s">
        <v>4108</v>
      </c>
      <c r="D152" s="695"/>
      <c r="E152" s="26"/>
    </row>
    <row r="153" spans="1:5" x14ac:dyDescent="0.2">
      <c r="A153" s="694" t="s">
        <v>44</v>
      </c>
      <c r="B153" s="3" t="s">
        <v>4117</v>
      </c>
      <c r="C153">
        <f>MAX(H3PO4_day_tanks*H3PO4_day_tank_vol*sec_cont_pct_of_total,H3PO4_day_tank_vol*sec_cont_pct_of_largest)/7.48</f>
        <v>0</v>
      </c>
      <c r="D153" s="694" t="s">
        <v>1239</v>
      </c>
      <c r="E153" s="725" t="s">
        <v>4085</v>
      </c>
    </row>
    <row r="154" spans="1:5" x14ac:dyDescent="0.2">
      <c r="A154" s="694" t="s">
        <v>4060</v>
      </c>
      <c r="B154" s="3" t="s">
        <v>4118</v>
      </c>
      <c r="C154">
        <f>IF(H3PO4_day_tanks=0,0,H3PO4_donor_day_fp-H3PO4_day_tanks*PI()*(H3PO4_dt_diam/2)^2)</f>
        <v>0</v>
      </c>
      <c r="D154" s="694" t="s">
        <v>1226</v>
      </c>
      <c r="E154" s="725" t="s">
        <v>4086</v>
      </c>
    </row>
    <row r="155" spans="1:5" x14ac:dyDescent="0.2">
      <c r="A155" s="694" t="s">
        <v>4061</v>
      </c>
      <c r="B155" s="3" t="s">
        <v>4119</v>
      </c>
      <c r="C155">
        <f>IF(H3PO4_day_tanks=0,0,H3PO4_dt_cont_volume/H3PO4_dt_cont_fp+sec_cont_freeboard/12)</f>
        <v>0</v>
      </c>
      <c r="D155" s="694" t="s">
        <v>605</v>
      </c>
      <c r="E155"/>
    </row>
    <row r="156" spans="1:5" x14ac:dyDescent="0.2">
      <c r="A156" s="694" t="s">
        <v>4062</v>
      </c>
      <c r="B156" s="3" t="s">
        <v>4120</v>
      </c>
      <c r="C156">
        <f>IF(H3PO4_day_tanks=0,0,MIN(sec_cont_max_thick,H3PO4_dt_curb_height))</f>
        <v>0</v>
      </c>
      <c r="D156" s="694" t="s">
        <v>605</v>
      </c>
      <c r="E156"/>
    </row>
    <row r="157" spans="1:5" x14ac:dyDescent="0.2">
      <c r="A157" s="694" t="s">
        <v>4063</v>
      </c>
      <c r="B157" s="3" t="s">
        <v>4121</v>
      </c>
      <c r="C157">
        <f>IF(H3PO4_day_tanks=0,0,H3PO4_day_tanks*H3PO4_dt_diam+2*space_H3PO4_dt+(H3PO4_day_tanks-1)*space_H3PO4_dt+2*H3PO4_dt_curb_thick)</f>
        <v>0</v>
      </c>
      <c r="D157" s="694" t="s">
        <v>605</v>
      </c>
      <c r="E157"/>
    </row>
    <row r="158" spans="1:5" x14ac:dyDescent="0.2">
      <c r="A158" s="694" t="s">
        <v>4064</v>
      </c>
      <c r="B158" s="3" t="s">
        <v>4122</v>
      </c>
      <c r="C158">
        <f>IF(H3PO4_day_tanks=0,0,H3PO4_dt_diam+2*space_H3PO4_dt)</f>
        <v>0</v>
      </c>
      <c r="D158" s="694" t="s">
        <v>605</v>
      </c>
      <c r="E158"/>
    </row>
    <row r="159" spans="1:5" x14ac:dyDescent="0.2">
      <c r="A159" s="694" t="s">
        <v>4065</v>
      </c>
      <c r="B159" s="3" t="s">
        <v>4123</v>
      </c>
      <c r="C159">
        <f>IF(H3PO4_day_tanks=0,0,ROUNDUP((H3PO4_dt_curb_len_long*2+H3PO4_dt_curb_len_short*2)*H3PO4_dt_curb_height*H3PO4_dt_curb_thick/27,0))</f>
        <v>0</v>
      </c>
      <c r="D159" s="694" t="s">
        <v>2337</v>
      </c>
      <c r="E159" s="725" t="s">
        <v>4087</v>
      </c>
    </row>
    <row r="160" spans="1:5" x14ac:dyDescent="0.2">
      <c r="A160" s="694" t="s">
        <v>4066</v>
      </c>
      <c r="B160" s="3" t="s">
        <v>4124</v>
      </c>
      <c r="C160">
        <f>IF(H3PO4_day_tanks=0,0,ROUNDUP((H3PO4_donor_day_fp+2*(H3PO4_dt_curb_len_long-2*H3PO4_dt_curb_thick)*H3PO4_dt_curb_height+2*H3PO4_dt_curb_len_short*H3PO4_dt_curb_height)/sec_cont_coating_cvg,0))</f>
        <v>0</v>
      </c>
      <c r="D160" s="694" t="s">
        <v>2766</v>
      </c>
      <c r="E160" s="725" t="s">
        <v>4088</v>
      </c>
    </row>
  </sheetData>
  <phoneticPr fontId="0" type="noConversion"/>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E47"/>
  <sheetViews>
    <sheetView zoomScaleNormal="100" workbookViewId="0">
      <pane ySplit="3" topLeftCell="A4" activePane="bottomLeft" state="frozen"/>
      <selection pane="bottomLeft"/>
    </sheetView>
  </sheetViews>
  <sheetFormatPr defaultRowHeight="12.75" x14ac:dyDescent="0.2"/>
  <cols>
    <col min="1" max="1" width="47.140625" style="26" customWidth="1"/>
    <col min="2" max="2" width="19.85546875" style="31" customWidth="1"/>
    <col min="3" max="3" width="12.85546875" style="26" customWidth="1"/>
    <col min="4" max="4" width="13.7109375" style="695" customWidth="1"/>
    <col min="5" max="5" width="9.140625" style="26" customWidth="1"/>
  </cols>
  <sheetData>
    <row r="1" spans="1:5" x14ac:dyDescent="0.2">
      <c r="A1" s="1" t="s">
        <v>3960</v>
      </c>
      <c r="B1" s="3"/>
      <c r="C1" s="694"/>
      <c r="D1" s="694"/>
      <c r="E1" s="694"/>
    </row>
    <row r="2" spans="1:5" x14ac:dyDescent="0.2">
      <c r="A2" s="694"/>
      <c r="B2" s="3"/>
      <c r="C2" s="694"/>
      <c r="D2" s="694"/>
      <c r="E2" s="694"/>
    </row>
    <row r="3" spans="1:5" x14ac:dyDescent="0.2">
      <c r="A3" s="193" t="s">
        <v>3853</v>
      </c>
      <c r="B3" s="193" t="s">
        <v>1640</v>
      </c>
      <c r="C3" s="194" t="s">
        <v>1641</v>
      </c>
      <c r="D3" s="193" t="s">
        <v>1642</v>
      </c>
      <c r="E3" s="193" t="s">
        <v>594</v>
      </c>
    </row>
    <row r="4" spans="1:5" x14ac:dyDescent="0.2">
      <c r="A4" s="5" t="s">
        <v>2962</v>
      </c>
      <c r="B4" s="3" t="s">
        <v>2418</v>
      </c>
      <c r="C4" s="508" t="str">
        <f>IF(dose_calc,((1.016*O2_in)+(0.155*NO3_in)+(0.659*ClO4_in)),"NA")</f>
        <v>NA</v>
      </c>
      <c r="D4" s="694" t="s">
        <v>512</v>
      </c>
      <c r="E4" s="32" t="s">
        <v>2963</v>
      </c>
    </row>
    <row r="5" spans="1:5" x14ac:dyDescent="0.2">
      <c r="A5" s="5"/>
      <c r="B5" s="3"/>
      <c r="C5" s="508"/>
      <c r="D5" s="694"/>
      <c r="E5" s="32"/>
    </row>
    <row r="6" spans="1:5" x14ac:dyDescent="0.2">
      <c r="A6" s="656" t="s">
        <v>1931</v>
      </c>
    </row>
    <row r="7" spans="1:5" x14ac:dyDescent="0.2">
      <c r="A7" s="5" t="s">
        <v>422</v>
      </c>
      <c r="B7" s="3" t="s">
        <v>406</v>
      </c>
      <c r="C7" s="28">
        <f>IF(design_type=3,0,back_interval_I)</f>
        <v>24</v>
      </c>
      <c r="D7" s="695" t="s">
        <v>407</v>
      </c>
      <c r="E7" s="32" t="s">
        <v>1922</v>
      </c>
    </row>
    <row r="8" spans="1:5" x14ac:dyDescent="0.2">
      <c r="A8" s="26" t="s">
        <v>3226</v>
      </c>
      <c r="B8" s="31" t="s">
        <v>2580</v>
      </c>
      <c r="C8" s="28">
        <f>ROUND(h2oflush_backwash_rate*IF(design_type=2,basin_width*basin_length,0)+IF(design_type=1,comm_SA,0),0)</f>
        <v>13</v>
      </c>
      <c r="D8" s="695" t="s">
        <v>2765</v>
      </c>
      <c r="E8" s="7" t="s">
        <v>1975</v>
      </c>
    </row>
    <row r="9" spans="1:5" x14ac:dyDescent="0.2">
      <c r="A9" s="26" t="s">
        <v>2581</v>
      </c>
      <c r="B9" s="31" t="s">
        <v>2582</v>
      </c>
      <c r="C9" s="28">
        <f>water_flush*backwash_time</f>
        <v>130</v>
      </c>
      <c r="D9" s="695" t="s">
        <v>2766</v>
      </c>
    </row>
    <row r="10" spans="1:5" x14ac:dyDescent="0.2">
      <c r="A10"/>
      <c r="B10" s="3"/>
      <c r="C10" s="28"/>
      <c r="E10"/>
    </row>
    <row r="11" spans="1:5" x14ac:dyDescent="0.2">
      <c r="A11" s="656" t="s">
        <v>1934</v>
      </c>
    </row>
    <row r="12" spans="1:5" x14ac:dyDescent="0.2">
      <c r="A12" s="5" t="s">
        <v>1920</v>
      </c>
      <c r="B12" s="3" t="s">
        <v>1921</v>
      </c>
      <c r="C12" s="26">
        <f>IF(include_post=0,0,filter_back_interval_I)</f>
        <v>36</v>
      </c>
      <c r="D12" s="695" t="s">
        <v>407</v>
      </c>
      <c r="E12" s="32" t="s">
        <v>1922</v>
      </c>
    </row>
    <row r="13" spans="1:5" x14ac:dyDescent="0.2">
      <c r="A13" s="26" t="s">
        <v>3226</v>
      </c>
      <c r="B13" s="31" t="s">
        <v>1932</v>
      </c>
      <c r="C13" s="28">
        <f>IF(include_post=0,0,ROUND(filter_h2oflush_backwash_rate*IF(filter_type=1,filt_basin_area,comm_SA_filt),0))</f>
        <v>188</v>
      </c>
      <c r="D13" s="695" t="s">
        <v>2765</v>
      </c>
      <c r="E13" s="7" t="s">
        <v>1976</v>
      </c>
    </row>
    <row r="14" spans="1:5" x14ac:dyDescent="0.2">
      <c r="A14" s="26" t="s">
        <v>2581</v>
      </c>
      <c r="B14" s="31" t="s">
        <v>1933</v>
      </c>
      <c r="C14" s="28">
        <f>IF(include_post=0,0,filter_water_flush*filter_backwash_time)</f>
        <v>1316</v>
      </c>
      <c r="D14" s="695" t="s">
        <v>2766</v>
      </c>
    </row>
    <row r="15" spans="1:5" x14ac:dyDescent="0.2">
      <c r="A15"/>
      <c r="B15" s="3"/>
      <c r="C15" s="28"/>
      <c r="E15"/>
    </row>
    <row r="16" spans="1:5" x14ac:dyDescent="0.2">
      <c r="A16" s="26" t="s">
        <v>3403</v>
      </c>
      <c r="B16" s="31" t="s">
        <v>3585</v>
      </c>
      <c r="C16" s="87">
        <f>IF(no_backwash_I="existing pumps",1,IF(no_backwash_I="new pumps","",IF(ss_cat2=1,1,"")))</f>
        <v>1</v>
      </c>
      <c r="D16" s="694" t="s">
        <v>3404</v>
      </c>
      <c r="E16" s="301"/>
    </row>
    <row r="17" spans="1:5" x14ac:dyDescent="0.2">
      <c r="A17" t="s">
        <v>3405</v>
      </c>
      <c r="B17" s="3" t="s">
        <v>3177</v>
      </c>
      <c r="C17" s="87">
        <f>IF(no_back_tank_I="existing storage",1,IF(no_back_tank_I="new storage","",IF(ss_cat2=2,"",1)))</f>
        <v>1</v>
      </c>
      <c r="D17" s="694" t="s">
        <v>3406</v>
      </c>
      <c r="E17" s="7"/>
    </row>
    <row r="18" spans="1:5" x14ac:dyDescent="0.2">
      <c r="A18" t="s">
        <v>3175</v>
      </c>
      <c r="B18" s="3" t="s">
        <v>3176</v>
      </c>
      <c r="C18" s="647">
        <f>MAX(VLOOKUP(10^6,st_bwt_cost_cl,1)-1,VLOOKUP(10^6,fg_bwt_cost_cl,1)-1,VLOOKUP(10^6,hdpe_bwt_cost_cl,1)-1)</f>
        <v>289000</v>
      </c>
      <c r="D18" s="694" t="s">
        <v>2766</v>
      </c>
      <c r="E18" s="7" t="s">
        <v>3645</v>
      </c>
    </row>
    <row r="19" spans="1:5" x14ac:dyDescent="0.2">
      <c r="A19" t="s">
        <v>3224</v>
      </c>
      <c r="B19" s="3" t="s">
        <v>3225</v>
      </c>
      <c r="C19">
        <f>IF(no_back_tank=1,0,ROUNDUP((water_flush+filter_water_flush)/max_back_tank_size,0))</f>
        <v>0</v>
      </c>
      <c r="D19" s="694" t="s">
        <v>606</v>
      </c>
      <c r="E19"/>
    </row>
    <row r="20" spans="1:5" x14ac:dyDescent="0.2">
      <c r="A20" t="s">
        <v>2471</v>
      </c>
      <c r="B20" s="3" t="s">
        <v>2472</v>
      </c>
      <c r="C20" s="28">
        <f>IF(back_tanks=0,0,(waterflush_vol+filter_waterflush_vol)/back_tanks)</f>
        <v>0</v>
      </c>
      <c r="D20" s="695" t="s">
        <v>2766</v>
      </c>
      <c r="E20"/>
    </row>
    <row r="21" spans="1:5" x14ac:dyDescent="0.2">
      <c r="A21"/>
      <c r="B21" s="3"/>
      <c r="C21" s="28"/>
      <c r="E21"/>
    </row>
    <row r="22" spans="1:5" x14ac:dyDescent="0.2">
      <c r="A22" s="656" t="s">
        <v>2371</v>
      </c>
    </row>
    <row r="23" spans="1:5" x14ac:dyDescent="0.2">
      <c r="A23" s="26" t="s">
        <v>282</v>
      </c>
      <c r="B23" s="31" t="s">
        <v>3437</v>
      </c>
      <c r="C23" s="29">
        <f>IF(air_scour_I="yes",(IF(design_type=1,comm_SA,basin_length*basin_width)+IF(filter_type=1,filt_basin_area,IF(filter_type=2,comm_SA_filt,0)))*air_scour_vol,"NA")</f>
        <v>100.53096491487338</v>
      </c>
      <c r="D23" s="695" t="s">
        <v>3438</v>
      </c>
    </row>
    <row r="24" spans="1:5" x14ac:dyDescent="0.2">
      <c r="A24" s="26" t="s">
        <v>283</v>
      </c>
      <c r="B24" s="31" t="s">
        <v>285</v>
      </c>
      <c r="C24" s="29">
        <f>IF(design_type=3,biomass_air_scour*design_flow_rate/60,0)</f>
        <v>0</v>
      </c>
      <c r="D24" s="695" t="s">
        <v>3438</v>
      </c>
      <c r="E24" s="7" t="s">
        <v>284</v>
      </c>
    </row>
    <row r="25" spans="1:5" x14ac:dyDescent="0.2">
      <c r="A25" s="30"/>
    </row>
    <row r="47" spans="1:1" x14ac:dyDescent="0.2">
      <c r="A47" s="26" t="s">
        <v>286</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F192"/>
  <sheetViews>
    <sheetView zoomScaleNormal="100" workbookViewId="0">
      <pane ySplit="3" topLeftCell="A4" activePane="bottomLeft" state="frozen"/>
      <selection pane="bottomLeft"/>
    </sheetView>
  </sheetViews>
  <sheetFormatPr defaultRowHeight="12.75" x14ac:dyDescent="0.2"/>
  <cols>
    <col min="1" max="1" width="53.5703125" customWidth="1"/>
    <col min="2" max="2" width="26" customWidth="1"/>
    <col min="3" max="3" width="11.42578125" bestFit="1" customWidth="1"/>
    <col min="4" max="4" width="13.5703125" style="694" customWidth="1"/>
  </cols>
  <sheetData>
    <row r="1" spans="1:5" x14ac:dyDescent="0.2">
      <c r="A1" s="1" t="s">
        <v>3857</v>
      </c>
      <c r="B1" s="3"/>
      <c r="C1" s="694"/>
      <c r="E1" s="694"/>
    </row>
    <row r="2" spans="1:5" x14ac:dyDescent="0.2">
      <c r="A2" s="694"/>
      <c r="B2" s="3"/>
      <c r="C2" s="694"/>
      <c r="E2" s="694"/>
    </row>
    <row r="3" spans="1:5" x14ac:dyDescent="0.2">
      <c r="A3" s="193" t="s">
        <v>3853</v>
      </c>
      <c r="B3" s="193" t="s">
        <v>1640</v>
      </c>
      <c r="C3" s="194" t="s">
        <v>1641</v>
      </c>
      <c r="D3" s="193" t="s">
        <v>1642</v>
      </c>
      <c r="E3" s="193" t="s">
        <v>594</v>
      </c>
    </row>
    <row r="4" spans="1:5" x14ac:dyDescent="0.2">
      <c r="A4" s="5" t="s">
        <v>2961</v>
      </c>
      <c r="B4" s="3" t="s">
        <v>1966</v>
      </c>
      <c r="C4" s="590">
        <f>IF(include_post_h2o2_I="hydrogen peroxide",1,0)</f>
        <v>0</v>
      </c>
      <c r="D4" s="695" t="s">
        <v>2812</v>
      </c>
    </row>
    <row r="5" spans="1:5" x14ac:dyDescent="0.2">
      <c r="A5" s="5" t="s">
        <v>2971</v>
      </c>
      <c r="B5" s="3" t="s">
        <v>1919</v>
      </c>
      <c r="C5" s="590">
        <f>IF(include_post_I="no",0,1)</f>
        <v>1</v>
      </c>
      <c r="D5" s="695" t="s">
        <v>2974</v>
      </c>
    </row>
    <row r="6" spans="1:5" x14ac:dyDescent="0.2">
      <c r="A6" s="5" t="s">
        <v>2972</v>
      </c>
      <c r="B6" s="3" t="s">
        <v>2973</v>
      </c>
      <c r="C6" s="590">
        <f>IF(include_post=0,0,IF(filter_type_I="gravity basin",1,2))</f>
        <v>2</v>
      </c>
      <c r="D6" s="695" t="s">
        <v>2987</v>
      </c>
    </row>
    <row r="7" spans="1:5" x14ac:dyDescent="0.2">
      <c r="A7" s="5" t="s">
        <v>355</v>
      </c>
      <c r="B7" s="3" t="s">
        <v>356</v>
      </c>
      <c r="C7" s="590">
        <f>IF(include_post=0,0,IF(include_coag_filt_I="yes",1,0))</f>
        <v>1</v>
      </c>
      <c r="D7" s="695" t="s">
        <v>2974</v>
      </c>
    </row>
    <row r="9" spans="1:5" x14ac:dyDescent="0.2">
      <c r="A9" s="2" t="s">
        <v>2797</v>
      </c>
    </row>
    <row r="10" spans="1:5" x14ac:dyDescent="0.2">
      <c r="A10" t="s">
        <v>2808</v>
      </c>
      <c r="B10" s="3" t="s">
        <v>2809</v>
      </c>
      <c r="C10" s="647">
        <f>IF(include_post_h2o2=1,0,design_flow_rate*hrt_aeration/7.48)</f>
        <v>92.097445038621501</v>
      </c>
      <c r="D10" s="694" t="s">
        <v>2766</v>
      </c>
    </row>
    <row r="11" spans="1:5" x14ac:dyDescent="0.2">
      <c r="A11" t="s">
        <v>2798</v>
      </c>
      <c r="B11" s="3" t="s">
        <v>2799</v>
      </c>
      <c r="C11" s="647">
        <f>IF(include_post_h2o2=1,0,MAX(VLOOKUP(10^6,st_bwt_cost_cl,1)-1,VLOOKUP(10^6,fg_bwt_cost_cl,1)-1,VLOOKUP(10^6,hdpe_bwt_cost_cl,1)-1))</f>
        <v>289000</v>
      </c>
      <c r="D11" s="694" t="s">
        <v>2766</v>
      </c>
      <c r="E11" s="7" t="s">
        <v>2800</v>
      </c>
    </row>
    <row r="12" spans="1:5" x14ac:dyDescent="0.2">
      <c r="A12" t="s">
        <v>2810</v>
      </c>
      <c r="B12" s="3" t="s">
        <v>2801</v>
      </c>
      <c r="C12">
        <f>IF(include_post_h2o2=1,0,ROUNDUP(aeration_tank_vol_required/max_aeration_tank_size,0))</f>
        <v>1</v>
      </c>
      <c r="D12" s="694" t="s">
        <v>606</v>
      </c>
    </row>
    <row r="13" spans="1:5" x14ac:dyDescent="0.2">
      <c r="A13" t="s">
        <v>2811</v>
      </c>
      <c r="B13" s="3" t="s">
        <v>2802</v>
      </c>
      <c r="C13" s="28">
        <f>IF(include_post_h2o2=1,0,aeration_tank_vol_required/aeration_tanks)</f>
        <v>92.097445038621501</v>
      </c>
      <c r="D13" s="694" t="s">
        <v>2766</v>
      </c>
    </row>
    <row r="14" spans="1:5" x14ac:dyDescent="0.2">
      <c r="A14" s="5" t="s">
        <v>305</v>
      </c>
      <c r="B14" s="3" t="s">
        <v>306</v>
      </c>
      <c r="C14" s="28">
        <f>aeration_tank_vol/7.48/(4*PI()*(aer_tank_diam/2)^2)</f>
        <v>0.97979703369189597</v>
      </c>
      <c r="D14" s="694" t="s">
        <v>3506</v>
      </c>
    </row>
    <row r="15" spans="1:5" x14ac:dyDescent="0.2">
      <c r="A15" t="s">
        <v>2813</v>
      </c>
      <c r="B15" s="3" t="s">
        <v>2816</v>
      </c>
      <c r="C15" s="28">
        <f>IF(include_post_h2o2=1,0,design_flow_rate*rate_aeration/100)</f>
        <v>5.5972222222222232</v>
      </c>
      <c r="D15" s="694" t="s">
        <v>2819</v>
      </c>
    </row>
    <row r="16" spans="1:5" x14ac:dyDescent="0.2">
      <c r="A16" s="5" t="s">
        <v>2814</v>
      </c>
      <c r="B16" s="3" t="s">
        <v>2815</v>
      </c>
      <c r="C16" s="28">
        <f>IF(include_post_h2o2=1,0,MAX(VLOOKUP(10^6,diffuser_cost_cl,1)-1))</f>
        <v>43.1</v>
      </c>
      <c r="D16" s="694" t="s">
        <v>2819</v>
      </c>
      <c r="E16" s="7" t="s">
        <v>3645</v>
      </c>
    </row>
    <row r="17" spans="1:5" x14ac:dyDescent="0.2">
      <c r="A17" t="s">
        <v>2817</v>
      </c>
      <c r="B17" s="3" t="s">
        <v>2818</v>
      </c>
      <c r="C17" s="28">
        <f>IF(include_post_h2o2=1,0,ROUNDUP(air_flow_tot/max_diffuser_size,0))</f>
        <v>1</v>
      </c>
      <c r="D17" s="695" t="s">
        <v>606</v>
      </c>
    </row>
    <row r="18" spans="1:5" x14ac:dyDescent="0.2">
      <c r="A18" t="s">
        <v>2820</v>
      </c>
      <c r="B18" s="3" t="s">
        <v>2821</v>
      </c>
      <c r="C18" s="655">
        <f>IF(include_post_h2o2=1,0,air_flow_tot/total_diffusers)</f>
        <v>5.5972222222222232</v>
      </c>
      <c r="D18" s="695" t="s">
        <v>2819</v>
      </c>
    </row>
    <row r="19" spans="1:5" x14ac:dyDescent="0.2">
      <c r="B19" s="3"/>
      <c r="C19" s="655"/>
      <c r="D19" s="695"/>
    </row>
    <row r="20" spans="1:5" x14ac:dyDescent="0.2">
      <c r="A20" s="656" t="s">
        <v>82</v>
      </c>
    </row>
    <row r="21" spans="1:5" ht="12" customHeight="1" x14ac:dyDescent="0.2">
      <c r="A21" s="694" t="s">
        <v>4386</v>
      </c>
      <c r="B21" s="3" t="s">
        <v>85</v>
      </c>
      <c r="C21" s="65">
        <f>IF(include_post_h2o2=0,0,H2O2_dose*design_flow*8.34)</f>
        <v>0</v>
      </c>
      <c r="D21" s="694" t="s">
        <v>1800</v>
      </c>
      <c r="E21" s="7" t="s">
        <v>88</v>
      </c>
    </row>
    <row r="22" spans="1:5" x14ac:dyDescent="0.2">
      <c r="A22" s="694" t="s">
        <v>4385</v>
      </c>
      <c r="B22" s="3" t="s">
        <v>86</v>
      </c>
      <c r="C22" s="65">
        <f>IF(include_post_h2o2=0,0,H2O2_day/H2O2_grade*(8.34*H2O2_sg))</f>
        <v>0</v>
      </c>
      <c r="D22" s="694" t="s">
        <v>1803</v>
      </c>
      <c r="E22" s="7" t="s">
        <v>89</v>
      </c>
    </row>
    <row r="23" spans="1:5" x14ac:dyDescent="0.2">
      <c r="A23" s="5" t="s">
        <v>104</v>
      </c>
      <c r="B23" s="3" t="s">
        <v>87</v>
      </c>
      <c r="C23" s="65">
        <f>IF(include_post_h2o2=0,0,solution_day*(average_flow/design_flow)*H2O2_days)</f>
        <v>0</v>
      </c>
      <c r="D23" s="694" t="s">
        <v>1332</v>
      </c>
    </row>
    <row r="24" spans="1:5" x14ac:dyDescent="0.2">
      <c r="A24" s="694" t="s">
        <v>3805</v>
      </c>
      <c r="B24" s="3" t="s">
        <v>3806</v>
      </c>
      <c r="C24" s="65">
        <f>IF(include_post_h2o2=0,0,H2O2_day*(average_flow/design_flow)*H2O2_days)</f>
        <v>0</v>
      </c>
      <c r="D24" s="694" t="s">
        <v>2591</v>
      </c>
    </row>
    <row r="25" spans="1:5" x14ac:dyDescent="0.2">
      <c r="A25" s="694" t="s">
        <v>4288</v>
      </c>
      <c r="B25" s="3" t="s">
        <v>106</v>
      </c>
      <c r="C25" s="65">
        <f>IF(include_post_h2o2=0,0,ROUNDUP(H2O2_store_gal/max_chem_tank_size_H2O2,0))</f>
        <v>0</v>
      </c>
      <c r="D25" s="694" t="s">
        <v>606</v>
      </c>
    </row>
    <row r="26" spans="1:5" x14ac:dyDescent="0.2">
      <c r="A26" s="694" t="s">
        <v>4289</v>
      </c>
      <c r="B26" s="3" t="s">
        <v>107</v>
      </c>
      <c r="C26" s="65">
        <f>IF(include_post_h2o2=0,0,ROUNDUP(H2O2_store_gal/H2O2_tanks,0))</f>
        <v>0</v>
      </c>
      <c r="D26" s="694" t="s">
        <v>1332</v>
      </c>
    </row>
    <row r="27" spans="1:5" x14ac:dyDescent="0.2">
      <c r="A27" s="694" t="s">
        <v>156</v>
      </c>
      <c r="B27" s="3" t="s">
        <v>1945</v>
      </c>
      <c r="C27" s="65">
        <f>IF(include_post_h2o2=0,0,n_mixers)</f>
        <v>0</v>
      </c>
    </row>
    <row r="28" spans="1:5" x14ac:dyDescent="0.2">
      <c r="A28" s="67" t="s">
        <v>2002</v>
      </c>
      <c r="B28" s="57" t="s">
        <v>858</v>
      </c>
      <c r="C28" s="65">
        <f>solution_day</f>
        <v>0</v>
      </c>
      <c r="D28" s="694" t="s">
        <v>2766</v>
      </c>
    </row>
    <row r="29" spans="1:5" x14ac:dyDescent="0.2">
      <c r="A29" s="694" t="s">
        <v>4290</v>
      </c>
      <c r="B29" s="3" t="s">
        <v>859</v>
      </c>
      <c r="C29" s="65">
        <f>IF(H2O2_day_tank_vol_needed&lt;day_tank_needed,0,ROUNDUP(H2O2_day_tank_vol_needed/max_chem_tank_size_H2O2,0))</f>
        <v>0</v>
      </c>
      <c r="D29" s="694" t="s">
        <v>606</v>
      </c>
    </row>
    <row r="30" spans="1:5" x14ac:dyDescent="0.2">
      <c r="A30" s="694" t="s">
        <v>4291</v>
      </c>
      <c r="B30" s="3" t="s">
        <v>860</v>
      </c>
      <c r="C30" s="65">
        <f>IF(H2O2_day_tanks=0,0,ROUNDUP(H2O2_day_tank_vol_needed/H2O2_day_tanks,0))</f>
        <v>0</v>
      </c>
      <c r="D30" s="694" t="s">
        <v>2766</v>
      </c>
    </row>
    <row r="31" spans="1:5" x14ac:dyDescent="0.2">
      <c r="A31" s="694" t="s">
        <v>4292</v>
      </c>
      <c r="B31" s="3" t="s">
        <v>912</v>
      </c>
      <c r="C31" s="58">
        <f>IF(AND(include_cmix=1,H2O2_tanks&lt;&gt;0),ROUNDUP(H2O2_tank_vol/1000*cmix_hp_per/cmix_hp_max,0),0)</f>
        <v>0</v>
      </c>
      <c r="D31" s="694" t="s">
        <v>606</v>
      </c>
    </row>
    <row r="32" spans="1:5" x14ac:dyDescent="0.2">
      <c r="A32" s="694" t="s">
        <v>4293</v>
      </c>
      <c r="B32" s="3" t="s">
        <v>913</v>
      </c>
      <c r="C32" s="6">
        <f>H2O2_tanks*H2O2_cmix_per_tank</f>
        <v>0</v>
      </c>
      <c r="D32" s="694" t="s">
        <v>606</v>
      </c>
    </row>
    <row r="33" spans="1:5" x14ac:dyDescent="0.2">
      <c r="A33" s="694" t="s">
        <v>4294</v>
      </c>
      <c r="B33" s="3" t="s">
        <v>914</v>
      </c>
      <c r="C33" s="594">
        <f>IF(H2O2_cmixers&lt;&gt;0,MAX(min_cmix_hp,H2O2_tank_vol/1000*cmix_hp_per/H2O2_cmix_per_tank),0)</f>
        <v>0</v>
      </c>
      <c r="D33" s="694" t="s">
        <v>1694</v>
      </c>
    </row>
    <row r="34" spans="1:5" x14ac:dyDescent="0.2">
      <c r="A34" s="694" t="s">
        <v>4295</v>
      </c>
      <c r="B34" s="3" t="s">
        <v>915</v>
      </c>
      <c r="C34" s="6">
        <f>IF(AND(include_cmix=1,H2O2_day_tanks&lt;&gt;0),ROUNDUP(H2O2_day_tank_vol/1000*cmix_hp_per/cmix_hp_max,0),0)</f>
        <v>0</v>
      </c>
      <c r="D34" s="694" t="s">
        <v>606</v>
      </c>
    </row>
    <row r="35" spans="1:5" x14ac:dyDescent="0.2">
      <c r="A35" s="694" t="s">
        <v>4296</v>
      </c>
      <c r="B35" s="3" t="s">
        <v>916</v>
      </c>
      <c r="C35" s="6">
        <f>H2O2_day_tanks*H2O2_dmix_per_tank</f>
        <v>0</v>
      </c>
      <c r="D35" s="694" t="s">
        <v>606</v>
      </c>
    </row>
    <row r="36" spans="1:5" x14ac:dyDescent="0.2">
      <c r="A36" s="694" t="s">
        <v>4297</v>
      </c>
      <c r="B36" s="3" t="s">
        <v>917</v>
      </c>
      <c r="C36" s="594">
        <f>IF(H2O2_dmixers&lt;&gt;0,MAX(min_cmix_hp,H2O2_day_tank_vol/1000*cmix_hp_per/H2O2_dmix_per_tank),0)</f>
        <v>0</v>
      </c>
      <c r="D36" s="694" t="s">
        <v>1694</v>
      </c>
    </row>
    <row r="37" spans="1:5" x14ac:dyDescent="0.2">
      <c r="A37" t="s">
        <v>3930</v>
      </c>
      <c r="B37" s="3" t="s">
        <v>3931</v>
      </c>
      <c r="C37" s="594">
        <f>MAX(VLOOKUP(10^6,in_mix_cost_cl,1)-0.1,VLOOKUP(10^6,pl_in_mix_cost_cl,1)-0.1)</f>
        <v>42</v>
      </c>
      <c r="D37" s="694" t="s">
        <v>105</v>
      </c>
      <c r="E37" s="7" t="s">
        <v>1149</v>
      </c>
    </row>
    <row r="38" spans="1:5" x14ac:dyDescent="0.2">
      <c r="A38" s="5" t="s">
        <v>90</v>
      </c>
      <c r="B38" s="3" t="s">
        <v>91</v>
      </c>
      <c r="C38" s="65">
        <f>IF(include_post_h2o2=0,0,MIN(mixer_size_max,H202_pipe_diam))</f>
        <v>0</v>
      </c>
      <c r="D38" s="694" t="s">
        <v>105</v>
      </c>
      <c r="E38" s="7"/>
    </row>
    <row r="39" spans="1:5" x14ac:dyDescent="0.2">
      <c r="A39" s="5" t="s">
        <v>110</v>
      </c>
      <c r="B39" s="3" t="s">
        <v>111</v>
      </c>
      <c r="C39" s="65">
        <f>IF(include_post_h2o2=0,0,solution_day/24)</f>
        <v>0</v>
      </c>
      <c r="D39" s="694" t="s">
        <v>3747</v>
      </c>
      <c r="E39" s="7" t="s">
        <v>114</v>
      </c>
    </row>
    <row r="40" spans="1:5" x14ac:dyDescent="0.2">
      <c r="A40" s="5" t="s">
        <v>112</v>
      </c>
      <c r="B40" s="3" t="s">
        <v>113</v>
      </c>
      <c r="C40" s="65">
        <f>IF(include_post_h2o2=0,0,solution_day*H2O2_grade/H2O2_dilute_conc/24/60)</f>
        <v>0</v>
      </c>
      <c r="D40" s="694" t="s">
        <v>2765</v>
      </c>
      <c r="E40" s="7" t="s">
        <v>115</v>
      </c>
    </row>
    <row r="42" spans="1:5" x14ac:dyDescent="0.2">
      <c r="A42" s="814" t="s">
        <v>4002</v>
      </c>
      <c r="B42" s="815"/>
      <c r="C42" s="815"/>
      <c r="D42" s="815"/>
      <c r="E42" s="815"/>
    </row>
    <row r="43" spans="1:5" x14ac:dyDescent="0.2">
      <c r="A43" s="815" t="s">
        <v>3984</v>
      </c>
      <c r="B43" s="815"/>
      <c r="C43" s="816">
        <f>VLOOKUP("Hydrogen Peroxide - Large Qty",chem_break_table_cl,2,FALSE)</f>
        <v>50000</v>
      </c>
      <c r="D43" s="815" t="s">
        <v>2591</v>
      </c>
      <c r="E43" s="725" t="s">
        <v>3985</v>
      </c>
    </row>
    <row r="44" spans="1:5" x14ac:dyDescent="0.2">
      <c r="A44" s="815" t="s">
        <v>3986</v>
      </c>
      <c r="B44" s="815"/>
      <c r="C44" s="816">
        <f>VLOOKUP("Hydrogen Peroxide - Mid Qty",chem_break_table_cl,2,FALSE)</f>
        <v>50000</v>
      </c>
      <c r="D44" s="815" t="s">
        <v>2591</v>
      </c>
      <c r="E44" s="725" t="s">
        <v>3985</v>
      </c>
    </row>
    <row r="45" spans="1:5" x14ac:dyDescent="0.2">
      <c r="A45" s="815" t="s">
        <v>3987</v>
      </c>
      <c r="B45" s="815"/>
      <c r="C45" s="816">
        <f>VLOOKUP("Hydrogen Peroxide - Small Qty",chem_break_table_cl,2,FALSE)</f>
        <v>0</v>
      </c>
      <c r="D45" s="815" t="s">
        <v>2591</v>
      </c>
      <c r="E45" s="725" t="s">
        <v>3985</v>
      </c>
    </row>
    <row r="46" spans="1:5" x14ac:dyDescent="0.2">
      <c r="A46" s="815" t="s">
        <v>3988</v>
      </c>
      <c r="B46" s="817" t="s">
        <v>4001</v>
      </c>
      <c r="C46" s="815" t="str">
        <f>IF(AND(ISNA(C43),ISNA(C44),ISNA(C45)),"",IF(H2O2_store_lbs&gt;=C43," - Large Qty",IF(H2O2_store_lbs&gt;=C44," - Mid Qty"," - Small Qty")))</f>
        <v xml:space="preserve"> - Small Qty</v>
      </c>
      <c r="D46" s="815"/>
      <c r="E46" s="725" t="s">
        <v>3989</v>
      </c>
    </row>
    <row r="48" spans="1:5" x14ac:dyDescent="0.2">
      <c r="A48" s="2" t="s">
        <v>4125</v>
      </c>
      <c r="D48"/>
      <c r="E48" s="694"/>
    </row>
    <row r="49" spans="1:5" x14ac:dyDescent="0.2">
      <c r="A49" s="694" t="s">
        <v>44</v>
      </c>
      <c r="B49" s="3" t="s">
        <v>4127</v>
      </c>
      <c r="C49">
        <f>MAX(H2O2_tanks*H2O2_tank_vol*sec_cont_pct_of_total,H2O2_tank_vol*sec_cont_pct_of_largest)/7.48</f>
        <v>0</v>
      </c>
      <c r="D49" s="694" t="s">
        <v>1239</v>
      </c>
      <c r="E49" s="725" t="s">
        <v>4085</v>
      </c>
    </row>
    <row r="50" spans="1:5" x14ac:dyDescent="0.2">
      <c r="A50" s="694" t="s">
        <v>4060</v>
      </c>
      <c r="B50" s="3" t="s">
        <v>4128</v>
      </c>
      <c r="C50">
        <f>IF(H2O2_tanks=0,0,H2O2_donor_fp-H2O2_tanks*PI()*(H2O2_st_diam/2)^2)</f>
        <v>0</v>
      </c>
      <c r="D50" s="694" t="s">
        <v>1226</v>
      </c>
      <c r="E50" s="725" t="s">
        <v>4086</v>
      </c>
    </row>
    <row r="51" spans="1:5" x14ac:dyDescent="0.2">
      <c r="A51" s="694" t="s">
        <v>4061</v>
      </c>
      <c r="B51" s="3" t="s">
        <v>4129</v>
      </c>
      <c r="C51">
        <f>IF(H2O2_tanks=0,0,H2O2_st_cont_volume/H2O2_st_cont_fp+sec_cont_freeboard/12)</f>
        <v>0</v>
      </c>
      <c r="D51" s="694" t="s">
        <v>605</v>
      </c>
    </row>
    <row r="52" spans="1:5" x14ac:dyDescent="0.2">
      <c r="A52" s="694" t="s">
        <v>4062</v>
      </c>
      <c r="B52" s="3" t="s">
        <v>4130</v>
      </c>
      <c r="C52">
        <f>IF(H2O2_tanks=0,0,MIN(sec_cont_max_thick,H2O2_st_curb_height))</f>
        <v>0</v>
      </c>
      <c r="D52" s="694" t="s">
        <v>605</v>
      </c>
    </row>
    <row r="53" spans="1:5" x14ac:dyDescent="0.2">
      <c r="A53" s="694" t="s">
        <v>4063</v>
      </c>
      <c r="B53" s="3" t="s">
        <v>4131</v>
      </c>
      <c r="C53">
        <f>IF(H2O2_tanks=0,0,H2O2_tanks*H2O2_st_diam+2*space_H2O2_st+(H2O2_tanks-1)*space_H2O2_st+2*H2O2_st_curb_thick)</f>
        <v>0</v>
      </c>
      <c r="D53" s="694" t="s">
        <v>605</v>
      </c>
    </row>
    <row r="54" spans="1:5" x14ac:dyDescent="0.2">
      <c r="A54" s="694" t="s">
        <v>4064</v>
      </c>
      <c r="B54" s="3" t="s">
        <v>4132</v>
      </c>
      <c r="C54">
        <f>IF(H2O2_tanks=0,0,H2O2_st_diam+2*space_H2O2_st)</f>
        <v>0</v>
      </c>
      <c r="D54" s="694" t="s">
        <v>605</v>
      </c>
    </row>
    <row r="55" spans="1:5" x14ac:dyDescent="0.2">
      <c r="A55" s="694" t="s">
        <v>4065</v>
      </c>
      <c r="B55" s="3" t="s">
        <v>4133</v>
      </c>
      <c r="C55">
        <f>IF(H2O2_tanks=0,0,ROUNDUP((H2O2_st_curb_len_long*2+H2O2_st_curb_len_short*2)*H2O2_st_curb_height*H2O2_st_curb_thick/27,0))</f>
        <v>0</v>
      </c>
      <c r="D55" s="694" t="s">
        <v>2337</v>
      </c>
      <c r="E55" s="725" t="s">
        <v>4087</v>
      </c>
    </row>
    <row r="56" spans="1:5" x14ac:dyDescent="0.2">
      <c r="A56" s="694" t="s">
        <v>4066</v>
      </c>
      <c r="B56" s="3" t="s">
        <v>4134</v>
      </c>
      <c r="C56">
        <f>IF(H2O2_tanks=0,0,ROUNDUP((H2O2_donor_fp+2*(H2O2_st_curb_len_long-2*H2O2_st_curb_thick)*H2O2_st_curb_height+2*H2O2_st_curb_len_short*H2O2_st_curb_height)/sec_cont_coating_cvg,0))</f>
        <v>0</v>
      </c>
      <c r="D56" s="694" t="s">
        <v>2766</v>
      </c>
      <c r="E56" s="725" t="s">
        <v>4088</v>
      </c>
    </row>
    <row r="57" spans="1:5" x14ac:dyDescent="0.2">
      <c r="D57" s="695"/>
      <c r="E57" s="26"/>
    </row>
    <row r="58" spans="1:5" x14ac:dyDescent="0.2">
      <c r="A58" s="2" t="s">
        <v>4126</v>
      </c>
      <c r="D58" s="695"/>
      <c r="E58" s="26"/>
    </row>
    <row r="59" spans="1:5" x14ac:dyDescent="0.2">
      <c r="A59" s="694" t="s">
        <v>44</v>
      </c>
      <c r="B59" s="3" t="s">
        <v>4135</v>
      </c>
      <c r="C59">
        <f>MAX(H2O2_day_tanks*H2O2_day_tank_vol*sec_cont_pct_of_total,H2O2_day_tank_vol*sec_cont_pct_of_largest)/7.48</f>
        <v>0</v>
      </c>
      <c r="D59" s="694" t="s">
        <v>1239</v>
      </c>
      <c r="E59" s="725" t="s">
        <v>4085</v>
      </c>
    </row>
    <row r="60" spans="1:5" x14ac:dyDescent="0.2">
      <c r="A60" s="694" t="s">
        <v>4060</v>
      </c>
      <c r="B60" s="3" t="s">
        <v>4136</v>
      </c>
      <c r="C60">
        <f>IF(H2O2_day_tanks=0,0,H2O2_donor_day_fp-H2O2_day_tanks*PI()*(H2O2_dt_diam/2)^2)</f>
        <v>0</v>
      </c>
      <c r="D60" s="694" t="s">
        <v>1226</v>
      </c>
      <c r="E60" s="725" t="s">
        <v>4086</v>
      </c>
    </row>
    <row r="61" spans="1:5" x14ac:dyDescent="0.2">
      <c r="A61" s="694" t="s">
        <v>4061</v>
      </c>
      <c r="B61" s="3" t="s">
        <v>4137</v>
      </c>
      <c r="C61">
        <f>IF(H2O2_day_tanks=0,0,H2O2_dt_cont_volume/H2O2_dt_cont_fp+sec_cont_freeboard/12)</f>
        <v>0</v>
      </c>
      <c r="D61" s="694" t="s">
        <v>605</v>
      </c>
    </row>
    <row r="62" spans="1:5" x14ac:dyDescent="0.2">
      <c r="A62" s="694" t="s">
        <v>4062</v>
      </c>
      <c r="B62" s="3" t="s">
        <v>4138</v>
      </c>
      <c r="C62">
        <f>IF(H2O2_day_tanks=0,0,MIN(sec_cont_max_thick,H2O2_dt_curb_height))</f>
        <v>0</v>
      </c>
      <c r="D62" s="694" t="s">
        <v>605</v>
      </c>
    </row>
    <row r="63" spans="1:5" x14ac:dyDescent="0.2">
      <c r="A63" s="694" t="s">
        <v>4063</v>
      </c>
      <c r="B63" s="3" t="s">
        <v>4139</v>
      </c>
      <c r="C63">
        <f>IF(H2O2_day_tanks=0,0,H2O2_day_tanks*H2O2_dt_diam+2*space_H2O2_dt+(H2O2_day_tanks-1)*space_H2O2_dt+2*H2O2_dt_curb_thick)</f>
        <v>0</v>
      </c>
      <c r="D63" s="694" t="s">
        <v>605</v>
      </c>
    </row>
    <row r="64" spans="1:5" x14ac:dyDescent="0.2">
      <c r="A64" s="694" t="s">
        <v>4064</v>
      </c>
      <c r="B64" s="3" t="s">
        <v>4140</v>
      </c>
      <c r="C64">
        <f>IF(H2O2_day_tanks=0,0,H2O2_dt_diam+2*space_H2O2_dt)</f>
        <v>0</v>
      </c>
      <c r="D64" s="694" t="s">
        <v>605</v>
      </c>
    </row>
    <row r="65" spans="1:6" x14ac:dyDescent="0.2">
      <c r="A65" s="694" t="s">
        <v>4065</v>
      </c>
      <c r="B65" s="3" t="s">
        <v>4141</v>
      </c>
      <c r="C65">
        <f>IF(H2O2_day_tanks=0,0,ROUNDUP((H2O2_dt_curb_len_long*2+H2O2_dt_curb_len_short*2)*H2O2_dt_curb_height*H2O2_dt_curb_thick/27,0))</f>
        <v>0</v>
      </c>
      <c r="D65" s="694" t="s">
        <v>2337</v>
      </c>
      <c r="E65" s="725" t="s">
        <v>4087</v>
      </c>
    </row>
    <row r="66" spans="1:6" x14ac:dyDescent="0.2">
      <c r="A66" s="694" t="s">
        <v>4066</v>
      </c>
      <c r="B66" s="3" t="s">
        <v>4142</v>
      </c>
      <c r="C66">
        <f>IF(H2O2_day_tanks=0,0,ROUNDUP((H2O2_donor_day_fp+2*(H2O2_dt_curb_len_long-2*H2O2_dt_curb_thick)*H2O2_dt_curb_height+2*H2O2_dt_curb_len_short*H2O2_dt_curb_height)/sec_cont_coating_cvg,0))</f>
        <v>0</v>
      </c>
      <c r="D66" s="694" t="s">
        <v>2766</v>
      </c>
      <c r="E66" s="725" t="s">
        <v>4088</v>
      </c>
    </row>
    <row r="68" spans="1:6" x14ac:dyDescent="0.2">
      <c r="A68" s="2" t="s">
        <v>2986</v>
      </c>
    </row>
    <row r="69" spans="1:6" s="26" customFormat="1" x14ac:dyDescent="0.2">
      <c r="A69" s="128" t="s">
        <v>543</v>
      </c>
      <c r="B69" s="3" t="s">
        <v>2988</v>
      </c>
      <c r="C69" s="87">
        <f>IF(filter_type=2,IF(filt_tank_geom_I="horizontal",2,1),"-")</f>
        <v>1</v>
      </c>
      <c r="D69" s="694" t="s">
        <v>2164</v>
      </c>
    </row>
    <row r="70" spans="1:6" x14ac:dyDescent="0.2">
      <c r="A70" s="741"/>
    </row>
    <row r="71" spans="1:6" x14ac:dyDescent="0.2">
      <c r="A71" s="128" t="s">
        <v>3654</v>
      </c>
      <c r="B71" s="3" t="s">
        <v>2989</v>
      </c>
      <c r="C71" s="26">
        <f>IF(filter_type=2,ebct_filt,0)</f>
        <v>10</v>
      </c>
      <c r="D71" s="695" t="s">
        <v>3656</v>
      </c>
      <c r="E71" s="27"/>
      <c r="F71" s="26"/>
    </row>
    <row r="72" spans="1:6" x14ac:dyDescent="0.2">
      <c r="A72" s="128" t="s">
        <v>1227</v>
      </c>
      <c r="B72" s="3" t="s">
        <v>2984</v>
      </c>
      <c r="C72" s="340">
        <f>IF(filter_type=2,IF(tank_geom_filt=1,PI()*(filt_comm_diam-2*Vessel_thickness)*(filt_comm_diam-2*Vessel_thickness)/4,IF(tank_geom_filt=2,(filt_comm_diam-2*Vessel_thickness)*filt_comm_height_length,0)),"-")</f>
        <v>12.566370614359172</v>
      </c>
      <c r="D72" s="694" t="s">
        <v>1226</v>
      </c>
      <c r="E72" s="26"/>
    </row>
    <row r="73" spans="1:6" x14ac:dyDescent="0.2">
      <c r="A73" s="627" t="s">
        <v>3013</v>
      </c>
      <c r="B73" s="3" t="s">
        <v>3014</v>
      </c>
      <c r="C73" s="28">
        <f>IF(filter_type=2,IF(tank_geom_filt=1,comm_SA_filt*filt_bed_depth,IF(tank_geom_filt=2,comm_vol_filt-underdrain_horiz_void_filt-void_above_filt)),"-")</f>
        <v>57.805304826052186</v>
      </c>
      <c r="D73" s="694" t="s">
        <v>1239</v>
      </c>
    </row>
    <row r="74" spans="1:6" x14ac:dyDescent="0.2">
      <c r="A74" s="128" t="s">
        <v>393</v>
      </c>
      <c r="B74" s="3" t="s">
        <v>2990</v>
      </c>
      <c r="C74" s="40" t="str">
        <f>IF(filter_type=2,IF(tank_geom_filt=2,filt_comm_diam-filt_bed_depth-horiz_underdrain,"NA"),"-")</f>
        <v>NA</v>
      </c>
      <c r="D74" s="694" t="s">
        <v>605</v>
      </c>
      <c r="E74" s="26"/>
    </row>
    <row r="75" spans="1:6" x14ac:dyDescent="0.2">
      <c r="A75" s="128" t="s">
        <v>395</v>
      </c>
      <c r="B75" s="3" t="s">
        <v>2991</v>
      </c>
      <c r="C75" s="40" t="str">
        <f>IF(filter_type=2,IF(tank_geom_filt=2,filt_comm_height_length*(filt_comm_diam*filt_comm_diam/2*ASIN(SQRT(distance_above_filt/filt_comm_diam))-(filt_comm_diam/2-distance_above_filt)*SQRT((filt_comm_diam-distance_above_filt)*distance_above_filt)),"NA"),"-")</f>
        <v>NA</v>
      </c>
      <c r="D75" s="694" t="s">
        <v>1239</v>
      </c>
      <c r="E75" s="26"/>
    </row>
    <row r="76" spans="1:6" x14ac:dyDescent="0.2">
      <c r="A76" s="128" t="s">
        <v>1229</v>
      </c>
      <c r="B76" s="3" t="s">
        <v>2992</v>
      </c>
      <c r="C76" s="28">
        <f>IF(filter_type=2,IF(tank_geom_filt=1,(max_sa_filt*filt_bed_depth*7.48)/EBCT_tank_filt,media_volume_filt*7.48/EBCT_tank_filt),"-")</f>
        <v>43.23836800988704</v>
      </c>
      <c r="D76" s="694" t="s">
        <v>2765</v>
      </c>
    </row>
    <row r="77" spans="1:6" x14ac:dyDescent="0.2">
      <c r="A77" s="129" t="s">
        <v>289</v>
      </c>
      <c r="B77" s="3" t="s">
        <v>2993</v>
      </c>
      <c r="C77" s="26">
        <f>IF(filter_type=2,ROUNDUP(design_flow_rate/flow_per_vessel_filt,0),"-")</f>
        <v>2</v>
      </c>
      <c r="D77" s="694" t="s">
        <v>1232</v>
      </c>
    </row>
    <row r="78" spans="1:6" x14ac:dyDescent="0.2">
      <c r="A78" s="128" t="s">
        <v>1236</v>
      </c>
      <c r="B78" s="3" t="s">
        <v>2994</v>
      </c>
      <c r="C78" s="26">
        <f>IF(filter_type=2,ROUNDUP(design_flow_rate/flow_per_vessel_filt,0),"-")</f>
        <v>2</v>
      </c>
      <c r="D78" s="694" t="s">
        <v>606</v>
      </c>
    </row>
    <row r="79" spans="1:6" x14ac:dyDescent="0.2">
      <c r="A79" s="627" t="s">
        <v>2401</v>
      </c>
      <c r="B79" s="31" t="s">
        <v>3012</v>
      </c>
      <c r="C79" s="26">
        <f>IF(filter_type=2,IF(op_num_tanks_filt=1,filt_NRD_small_1,CHOOSE(ss_cat2,filt_NRD_small,filt_NRD_basins_medium,filt_NRD_basins_large)),"-")</f>
        <v>0</v>
      </c>
    </row>
    <row r="80" spans="1:6" x14ac:dyDescent="0.2">
      <c r="A80" s="128" t="s">
        <v>1234</v>
      </c>
      <c r="B80" s="3" t="s">
        <v>2995</v>
      </c>
      <c r="C80" s="26">
        <f>IF(filter_type=2,(op_num_tanks_filt+NRD_filt_p),0)</f>
        <v>2</v>
      </c>
      <c r="D80" s="694" t="s">
        <v>606</v>
      </c>
    </row>
    <row r="81" spans="1:6" x14ac:dyDescent="0.2">
      <c r="A81" s="128"/>
      <c r="B81" s="3"/>
      <c r="C81" s="26"/>
    </row>
    <row r="82" spans="1:6" x14ac:dyDescent="0.2">
      <c r="A82" s="736" t="s">
        <v>1587</v>
      </c>
      <c r="B82" s="31"/>
      <c r="C82" s="26"/>
      <c r="D82" s="695"/>
      <c r="E82" s="26"/>
      <c r="F82" s="26"/>
    </row>
    <row r="83" spans="1:6" x14ac:dyDescent="0.2">
      <c r="A83" s="737" t="s">
        <v>2414</v>
      </c>
      <c r="B83" s="3" t="s">
        <v>2996</v>
      </c>
      <c r="C83" s="29">
        <f>IF(filter_type=2,design_flow_rate*EBCT_tank_filt/(7.481),"-")</f>
        <v>115.10641773975553</v>
      </c>
      <c r="D83" s="694" t="s">
        <v>1239</v>
      </c>
    </row>
    <row r="84" spans="1:6" x14ac:dyDescent="0.2">
      <c r="A84" s="737" t="s">
        <v>2415</v>
      </c>
      <c r="B84" s="3" t="s">
        <v>2997</v>
      </c>
      <c r="C84" s="29">
        <f>IF(filter_type=2,contact_material_filt/op_num_tanks_filt,"-")</f>
        <v>57.553208869877764</v>
      </c>
      <c r="D84" s="694" t="s">
        <v>1239</v>
      </c>
    </row>
    <row r="85" spans="1:6" x14ac:dyDescent="0.2">
      <c r="A85" s="129" t="s">
        <v>290</v>
      </c>
      <c r="B85" s="3" t="s">
        <v>2998</v>
      </c>
      <c r="C85" s="29">
        <f>IF(filter_type=2,contact_mat_per_vessel_filt/filt_bed_depth,"-")</f>
        <v>12.511567145625602</v>
      </c>
      <c r="D85" s="694" t="s">
        <v>1226</v>
      </c>
    </row>
    <row r="86" spans="1:6" x14ac:dyDescent="0.2">
      <c r="A86" s="128"/>
      <c r="B86" s="3"/>
      <c r="C86" s="29"/>
    </row>
    <row r="87" spans="1:6" x14ac:dyDescent="0.2">
      <c r="A87" s="736" t="s">
        <v>1588</v>
      </c>
      <c r="B87" s="31"/>
      <c r="C87" s="29"/>
    </row>
    <row r="88" spans="1:6" x14ac:dyDescent="0.2">
      <c r="A88" s="128" t="s">
        <v>1333</v>
      </c>
      <c r="B88" s="3" t="s">
        <v>2999</v>
      </c>
      <c r="C88" s="26">
        <f>IF(filter_type=2,IF(tank_geom_filt=1,(filt_comm_diam-(2*Vessel_thickness))^2*PI()/4,IF(tank_geom_filt=2,(filt_comm_diam-(2*Vessel_thickness))*filt_comm_height_length)),"-")</f>
        <v>12.566370614359172</v>
      </c>
      <c r="D88" s="694" t="s">
        <v>1226</v>
      </c>
      <c r="E88" s="26"/>
    </row>
    <row r="89" spans="1:6" x14ac:dyDescent="0.2">
      <c r="A89" s="128" t="s">
        <v>816</v>
      </c>
      <c r="B89" s="3" t="s">
        <v>3000</v>
      </c>
      <c r="C89" s="26">
        <f>IF(filter_type=2,design_flow_rate/num_treat_lines_filt/comm_SA_filt,"-")</f>
        <v>3.4262522471171915</v>
      </c>
      <c r="D89" s="694" t="s">
        <v>2764</v>
      </c>
      <c r="E89" s="26"/>
    </row>
    <row r="90" spans="1:6" x14ac:dyDescent="0.2">
      <c r="A90" s="128" t="s">
        <v>1331</v>
      </c>
      <c r="B90" s="3" t="s">
        <v>3001</v>
      </c>
      <c r="C90" s="660">
        <f>IF(filter_type=2,PI()*filt_comm_diam^2/4*filt_comm_height_length,"-")</f>
        <v>100.53096491487338</v>
      </c>
      <c r="D90" s="694" t="s">
        <v>1239</v>
      </c>
      <c r="E90" s="7"/>
    </row>
    <row r="91" spans="1:6" x14ac:dyDescent="0.2">
      <c r="A91" s="907" t="s">
        <v>4451</v>
      </c>
      <c r="B91" s="3" t="s">
        <v>3002</v>
      </c>
      <c r="C91" s="660">
        <f>IF(filter_type=2,comm_vol_filt*7.48,"-")</f>
        <v>751.97161756325295</v>
      </c>
      <c r="D91" s="694" t="s">
        <v>1332</v>
      </c>
    </row>
    <row r="92" spans="1:6" x14ac:dyDescent="0.2">
      <c r="A92" s="128"/>
      <c r="B92" s="3"/>
      <c r="C92" s="26"/>
    </row>
    <row r="93" spans="1:6" x14ac:dyDescent="0.2">
      <c r="A93" s="736" t="s">
        <v>1590</v>
      </c>
      <c r="B93" s="31"/>
      <c r="C93" s="26"/>
      <c r="D93" s="695"/>
      <c r="E93" s="26"/>
      <c r="F93" s="26"/>
    </row>
    <row r="94" spans="1:6" x14ac:dyDescent="0.2">
      <c r="A94" s="128" t="s">
        <v>3146</v>
      </c>
      <c r="B94" s="31"/>
      <c r="C94" s="26"/>
      <c r="D94" s="695"/>
      <c r="E94" s="26"/>
      <c r="F94" s="26"/>
    </row>
    <row r="95" spans="1:6" x14ac:dyDescent="0.2">
      <c r="A95" s="129" t="s">
        <v>291</v>
      </c>
      <c r="B95" s="3" t="s">
        <v>3003</v>
      </c>
      <c r="C95" s="546">
        <f>IF(filter_type=2,filt_bed_depth*(1+filt_bed_expansion)+free_board,"-")</f>
        <v>7.8999999999999995</v>
      </c>
      <c r="D95" s="694" t="s">
        <v>605</v>
      </c>
    </row>
    <row r="96" spans="1:6" x14ac:dyDescent="0.2">
      <c r="A96" s="129" t="s">
        <v>1329</v>
      </c>
      <c r="B96" s="3" t="s">
        <v>3004</v>
      </c>
      <c r="C96" s="546">
        <f>IF(filter_type=2,(SA_filt*4/PI())^0.5+(2*Vessel_thickness),"-")</f>
        <v>3.9912682265690638</v>
      </c>
      <c r="D96" s="694" t="s">
        <v>605</v>
      </c>
    </row>
    <row r="97" spans="1:6" x14ac:dyDescent="0.2">
      <c r="A97" s="738" t="s">
        <v>3147</v>
      </c>
      <c r="B97" s="31" t="s">
        <v>3005</v>
      </c>
      <c r="C97" s="546">
        <f>IF(filter_type=2,VLOOKUP(filt_comm_diam,vessel_size_table_cl,2),"-")</f>
        <v>4.5</v>
      </c>
      <c r="D97" s="695" t="s">
        <v>605</v>
      </c>
      <c r="E97" s="26"/>
      <c r="F97" s="26"/>
    </row>
    <row r="98" spans="1:6" x14ac:dyDescent="0.2">
      <c r="A98" s="738" t="s">
        <v>3149</v>
      </c>
      <c r="B98" s="31" t="s">
        <v>3006</v>
      </c>
      <c r="C98" s="546">
        <f>IF(filter_type=2,VLOOKUP(filt_comm_diam,vessel_size_table_cl,3),"-")</f>
        <v>12</v>
      </c>
      <c r="D98" s="695" t="s">
        <v>605</v>
      </c>
      <c r="E98" s="26"/>
      <c r="F98" s="26"/>
    </row>
    <row r="99" spans="1:6" x14ac:dyDescent="0.2">
      <c r="A99" s="738"/>
      <c r="B99" s="31"/>
      <c r="C99" s="546"/>
      <c r="D99" s="695"/>
      <c r="E99" s="26"/>
      <c r="F99" s="26"/>
    </row>
    <row r="100" spans="1:6" x14ac:dyDescent="0.2">
      <c r="A100" s="128" t="s">
        <v>3151</v>
      </c>
      <c r="B100" s="31"/>
      <c r="C100" s="546"/>
      <c r="D100" s="695"/>
      <c r="E100" s="26"/>
      <c r="F100" s="26"/>
    </row>
    <row r="101" spans="1:6" x14ac:dyDescent="0.2">
      <c r="A101" s="739" t="s">
        <v>3152</v>
      </c>
      <c r="B101" s="3" t="s">
        <v>3007</v>
      </c>
      <c r="C101" s="546">
        <f>IF(filter_type=2,filt_comm_height_length*(filt_comm_diam*filt_comm_diam/2*ASIN(SQRT(free_board/filt_comm_diam))-(filt_comm_diam/2-free_board)*SQRT((filt_comm_diam-free_board)*free_board)),"-")</f>
        <v>19.653915177740114</v>
      </c>
      <c r="D101" s="694" t="s">
        <v>1239</v>
      </c>
      <c r="E101" s="7" t="s">
        <v>3158</v>
      </c>
      <c r="F101" s="26"/>
    </row>
    <row r="102" spans="1:6" x14ac:dyDescent="0.2">
      <c r="A102" s="739" t="s">
        <v>3154</v>
      </c>
      <c r="B102" s="3" t="s">
        <v>3008</v>
      </c>
      <c r="C102" s="546">
        <f>IF(filter_type=2,filt_comm_height_length*(filt_comm_diam*filt_comm_diam/2*ASIN(SQRT(horiz_underdrain/filt_comm_diam))-(filt_comm_diam/2-horiz_underdrain)*SQRT((filt_comm_diam-horiz_underdrain)*horiz_underdrain)),"-")</f>
        <v>34.433747600475343</v>
      </c>
      <c r="D102" s="694" t="s">
        <v>1239</v>
      </c>
      <c r="E102" s="26"/>
      <c r="F102" s="26"/>
    </row>
    <row r="103" spans="1:6" x14ac:dyDescent="0.2">
      <c r="A103" s="740" t="s">
        <v>3156</v>
      </c>
      <c r="B103" s="3" t="s">
        <v>3009</v>
      </c>
      <c r="C103" s="546">
        <f>IF(filter_type=2,freeboard_horiz_void_filt+underdrain_horiz_void_filt,"-")</f>
        <v>54.08766277821546</v>
      </c>
      <c r="D103" s="694" t="s">
        <v>1239</v>
      </c>
      <c r="E103" s="26"/>
    </row>
    <row r="104" spans="1:6" x14ac:dyDescent="0.2">
      <c r="A104" s="740"/>
      <c r="B104" s="3"/>
      <c r="C104" s="546"/>
    </row>
    <row r="105" spans="1:6" x14ac:dyDescent="0.2">
      <c r="A105" s="128" t="s">
        <v>3159</v>
      </c>
      <c r="B105" s="3"/>
      <c r="C105" s="546"/>
    </row>
    <row r="106" spans="1:6" x14ac:dyDescent="0.2">
      <c r="A106" s="739" t="s">
        <v>3160</v>
      </c>
      <c r="B106" s="3" t="s">
        <v>3010</v>
      </c>
      <c r="C106" s="546">
        <f>IF(filter_type=2,(filt_comm_height_length-free_board)*PI()*filt_comm_diam^2/4,"-")</f>
        <v>87.964594300514207</v>
      </c>
      <c r="D106" s="694" t="s">
        <v>1239</v>
      </c>
      <c r="E106" s="129"/>
    </row>
    <row r="107" spans="1:6" x14ac:dyDescent="0.2">
      <c r="A107" s="739" t="s">
        <v>3162</v>
      </c>
      <c r="B107" s="3" t="s">
        <v>3011</v>
      </c>
      <c r="C107" s="546">
        <f>IF(filter_type=2,comm_vol_filt-horiz_void_filt,"-")</f>
        <v>46.44330213665792</v>
      </c>
      <c r="D107" s="694" t="s">
        <v>1239</v>
      </c>
      <c r="E107" s="129"/>
    </row>
    <row r="108" spans="1:6" x14ac:dyDescent="0.2">
      <c r="A108" s="30"/>
    </row>
    <row r="109" spans="1:6" x14ac:dyDescent="0.2">
      <c r="A109" s="2" t="s">
        <v>2985</v>
      </c>
    </row>
    <row r="110" spans="1:6" x14ac:dyDescent="0.2">
      <c r="A110" s="627" t="s">
        <v>177</v>
      </c>
      <c r="B110" s="31" t="s">
        <v>173</v>
      </c>
      <c r="C110" s="65">
        <f>IF(filter_type=1,design_flow_rate*ebct_filt/7.48,0)</f>
        <v>0</v>
      </c>
      <c r="D110" s="694" t="s">
        <v>68</v>
      </c>
    </row>
    <row r="111" spans="1:6" x14ac:dyDescent="0.2">
      <c r="A111" s="627" t="s">
        <v>178</v>
      </c>
      <c r="B111" s="31" t="s">
        <v>201</v>
      </c>
      <c r="C111" s="65">
        <f>IF(filter_type=1,min_filt_vol/op_num_filters,0)</f>
        <v>0</v>
      </c>
      <c r="D111" s="694" t="s">
        <v>68</v>
      </c>
    </row>
    <row r="112" spans="1:6" x14ac:dyDescent="0.2">
      <c r="A112" s="627" t="s">
        <v>174</v>
      </c>
      <c r="B112" s="31" t="s">
        <v>188</v>
      </c>
      <c r="C112" s="65" t="str">
        <f>IF(filter_type=1,ROUNDUP(min_filt_vol/(filt_basin_width*filt_basin_length*filt_basin_op_depth),0),"-")</f>
        <v>-</v>
      </c>
    </row>
    <row r="113" spans="1:5" x14ac:dyDescent="0.2">
      <c r="A113" s="128" t="s">
        <v>48</v>
      </c>
      <c r="B113" s="31" t="s">
        <v>180</v>
      </c>
      <c r="C113" s="5">
        <f>IF(filter_type=1,filt_basin_op_depth*(1+filt_bed_expansion)+filt_freeboard,0)</f>
        <v>0</v>
      </c>
      <c r="D113" s="694" t="s">
        <v>3506</v>
      </c>
    </row>
    <row r="114" spans="1:5" x14ac:dyDescent="0.2">
      <c r="A114" s="627" t="s">
        <v>178</v>
      </c>
      <c r="B114" s="31" t="s">
        <v>179</v>
      </c>
      <c r="C114" s="65" t="str">
        <f>IF(filter_type=1,filt_basin_width*filt_basin_length*filt_basin_depth*7.48,"-")</f>
        <v>-</v>
      </c>
      <c r="D114" s="694" t="s">
        <v>1332</v>
      </c>
    </row>
    <row r="115" spans="1:5" x14ac:dyDescent="0.2">
      <c r="A115" s="128" t="s">
        <v>52</v>
      </c>
      <c r="B115" s="31" t="s">
        <v>181</v>
      </c>
      <c r="C115">
        <f>IF(filter_type=1,IF(op_num_filters=1,filt_NRD_small_1,CHOOSE(ss_cat2,filt_NRD_small,filt_NRD_basins_medium,filt_NRD_basins_large)),0)</f>
        <v>0</v>
      </c>
      <c r="D115" s="694" t="s">
        <v>606</v>
      </c>
    </row>
    <row r="116" spans="1:5" x14ac:dyDescent="0.2">
      <c r="A116" s="128" t="s">
        <v>54</v>
      </c>
      <c r="B116" s="31" t="s">
        <v>182</v>
      </c>
      <c r="C116">
        <f>IF(filter_type=1,op_num_filters+NRD_filt,0)</f>
        <v>0</v>
      </c>
      <c r="D116" s="694" t="s">
        <v>606</v>
      </c>
    </row>
    <row r="117" spans="1:5" x14ac:dyDescent="0.2">
      <c r="A117" s="128" t="s">
        <v>56</v>
      </c>
      <c r="B117" s="31" t="s">
        <v>183</v>
      </c>
      <c r="C117" s="10" t="str">
        <f>IF(filter_type=1,(2*(filt_basin_width*total_num_filt_basins+conc_thick*(total_num_filt_basins+1))*filt_basin_depth*conc_thick+(total_num_filt_basins+1)*filt_basin_length*filt_basin_depth*conc_thick+(filt_basin_length+2*conc_thick)*(filt_basin_width*total_num_filt_basins+conc_thick*(total_num_filt_basins+1))*conc_thick)/27,"-")</f>
        <v>-</v>
      </c>
      <c r="D117" s="694" t="s">
        <v>69</v>
      </c>
      <c r="E117" s="7" t="s">
        <v>265</v>
      </c>
    </row>
    <row r="118" spans="1:5" x14ac:dyDescent="0.2">
      <c r="A118" s="128" t="s">
        <v>58</v>
      </c>
      <c r="B118" s="31" t="s">
        <v>184</v>
      </c>
      <c r="C118" s="10" t="str">
        <f>IF(filter_type=1,((total_num_filt_basins*filt_basin_width+(total_num_filt_basins+1)*conc_thick+overexcavate)*(filt_basin_length+2*conc_thick+overexcavate)*(filt_basin_depth+conc_thick+overexcavate)+0.5*(3*(filt_basin_depth+conc_thick+overexcavate)*(filt_basin_depth+conc_thick+overexcavate)*(filt_basin_length+2*conc_thick+overexcavate)))/27,"-")</f>
        <v>-</v>
      </c>
      <c r="D118" s="694" t="s">
        <v>69</v>
      </c>
      <c r="E118" s="7" t="s">
        <v>266</v>
      </c>
    </row>
    <row r="119" spans="1:5" x14ac:dyDescent="0.2">
      <c r="A119" s="128" t="s">
        <v>60</v>
      </c>
      <c r="B119" s="31" t="s">
        <v>185</v>
      </c>
      <c r="C119" s="10" t="str">
        <f>IF(filter_type=1,filt_excavation_vol-(total_num_filt_basins*filt_basin_width+(total_num_filt_basins+1)*conc_thick)*(filt_basin_length+2*conc_thick)*(filt_basin_depth+conc_thick)/27,"-")</f>
        <v>-</v>
      </c>
      <c r="D119" s="694" t="s">
        <v>69</v>
      </c>
    </row>
    <row r="120" spans="1:5" x14ac:dyDescent="0.2">
      <c r="A120" s="128" t="s">
        <v>62</v>
      </c>
      <c r="B120" s="31" t="s">
        <v>186</v>
      </c>
      <c r="C120" s="9" t="str">
        <f>IF(filter_type=1,2*(total_num_filt_basins*filt_basin_width+2*conc_thick/2+(total_num_filt_basins-1)*conc_thick)+2*(filt_basin_length+2*conc_thick/2),"-")</f>
        <v>-</v>
      </c>
      <c r="D120" s="694" t="s">
        <v>1429</v>
      </c>
      <c r="E120" s="7" t="s">
        <v>267</v>
      </c>
    </row>
    <row r="121" spans="1:5" x14ac:dyDescent="0.2">
      <c r="A121" s="128" t="s">
        <v>64</v>
      </c>
      <c r="B121" s="31" t="s">
        <v>187</v>
      </c>
      <c r="C121" s="9" t="str">
        <f>IF(filter_type=1,filt_basin_width*filt_basin_length,"-")</f>
        <v>-</v>
      </c>
      <c r="D121" s="694" t="s">
        <v>1202</v>
      </c>
      <c r="E121" s="7"/>
    </row>
    <row r="122" spans="1:5" x14ac:dyDescent="0.2">
      <c r="B122" s="31"/>
      <c r="C122" s="9"/>
      <c r="E122" s="7"/>
    </row>
    <row r="123" spans="1:5" x14ac:dyDescent="0.2">
      <c r="A123" s="2" t="s">
        <v>189</v>
      </c>
      <c r="B123" s="3"/>
    </row>
    <row r="124" spans="1:5" x14ac:dyDescent="0.2">
      <c r="A124" s="627" t="s">
        <v>2730</v>
      </c>
      <c r="B124" s="31" t="s">
        <v>2768</v>
      </c>
      <c r="C124">
        <f>IF(filter_type=1,filt_bed_volume*(sand_fraction),IF(filter_type=2,media_volume_filt,0))</f>
        <v>57.805304826052186</v>
      </c>
      <c r="D124" s="694" t="s">
        <v>68</v>
      </c>
    </row>
    <row r="125" spans="1:5" x14ac:dyDescent="0.2">
      <c r="A125" s="627" t="s">
        <v>2728</v>
      </c>
      <c r="B125" s="31" t="s">
        <v>2769</v>
      </c>
      <c r="C125" s="28">
        <f>IF(filter_type=1,filt_bed_volume*anthracite_fraction*anthracite_density,IF(filter_type=2,media_volume_filt*anthracite_fraction*anthracite_density,0))</f>
        <v>1936.4777116727485</v>
      </c>
      <c r="D125" s="694" t="s">
        <v>2591</v>
      </c>
    </row>
    <row r="126" spans="1:5" x14ac:dyDescent="0.2">
      <c r="A126" s="627" t="s">
        <v>2729</v>
      </c>
      <c r="B126" s="31" t="s">
        <v>2770</v>
      </c>
      <c r="C126" s="28">
        <f>IF(filter_type=1,filt_bed_volume*garnet_fraction*garnet_density,IF(filter_type=2,media_volume_filt*garnet_fraction*garnet_density,0))</f>
        <v>0</v>
      </c>
      <c r="D126" s="694" t="s">
        <v>2591</v>
      </c>
    </row>
    <row r="127" spans="1:5" x14ac:dyDescent="0.2">
      <c r="A127" s="627" t="s">
        <v>190</v>
      </c>
      <c r="B127" s="31" t="s">
        <v>192</v>
      </c>
      <c r="C127" s="28">
        <f>IF(filter_type=1,filt_bed_volume*GAC_fraction*GAC_density,IF(filter_type=2,media_volume_filt*GAC_fraction*GAC_density,0))</f>
        <v>0</v>
      </c>
      <c r="D127" s="694" t="s">
        <v>2591</v>
      </c>
    </row>
    <row r="128" spans="1:5" x14ac:dyDescent="0.2">
      <c r="A128" s="128" t="s">
        <v>2717</v>
      </c>
      <c r="B128" s="543" t="s">
        <v>2718</v>
      </c>
      <c r="C128" s="28">
        <f>sand_each*IF(filter_type=1,total_num_filt_basins,IF(filter_type=2,final_num_tanks_filt,0))</f>
        <v>115.61060965210437</v>
      </c>
      <c r="D128" s="694" t="s">
        <v>68</v>
      </c>
    </row>
    <row r="129" spans="1:5" x14ac:dyDescent="0.2">
      <c r="A129" s="128" t="s">
        <v>2719</v>
      </c>
      <c r="B129" s="543" t="s">
        <v>2720</v>
      </c>
      <c r="C129" s="28">
        <f>anthracite_each*IF(filter_type=1,total_num_filt_basins,IF(filter_type=2,final_num_tanks_filt,0))</f>
        <v>3872.9554233454969</v>
      </c>
      <c r="D129" s="694" t="s">
        <v>2591</v>
      </c>
    </row>
    <row r="130" spans="1:5" x14ac:dyDescent="0.2">
      <c r="A130" s="128" t="s">
        <v>2721</v>
      </c>
      <c r="B130" s="543" t="s">
        <v>2722</v>
      </c>
      <c r="C130" s="28">
        <f>garnet_each*IF(filter_type=1,total_num_filt_basins,IF(filter_type=2,final_num_tanks_filt,0))</f>
        <v>0</v>
      </c>
      <c r="D130" s="694" t="s">
        <v>2591</v>
      </c>
    </row>
    <row r="131" spans="1:5" x14ac:dyDescent="0.2">
      <c r="A131" s="128" t="s">
        <v>2723</v>
      </c>
      <c r="B131" s="31" t="s">
        <v>191</v>
      </c>
      <c r="C131" s="28">
        <f>filt_GAC_each*IF(filter_type=1,total_num_filt_basins,IF(filter_type=2,final_num_tanks_filt,0))</f>
        <v>0</v>
      </c>
      <c r="D131" s="694" t="s">
        <v>2591</v>
      </c>
    </row>
    <row r="133" spans="1:5" x14ac:dyDescent="0.2">
      <c r="A133" s="2" t="s">
        <v>3248</v>
      </c>
      <c r="B133" s="3"/>
    </row>
    <row r="134" spans="1:5" x14ac:dyDescent="0.2">
      <c r="A134" s="732" t="s">
        <v>4200</v>
      </c>
      <c r="B134" s="3" t="s">
        <v>339</v>
      </c>
      <c r="C134">
        <f>IF(include_coag_filt=1,coag_dose_filt*8.34*average_flow,0)</f>
        <v>2.9190000000000005</v>
      </c>
      <c r="D134" s="694" t="s">
        <v>338</v>
      </c>
    </row>
    <row r="135" spans="1:5" x14ac:dyDescent="0.2">
      <c r="A135" s="732" t="s">
        <v>4201</v>
      </c>
      <c r="B135" s="3" t="s">
        <v>340</v>
      </c>
      <c r="C135">
        <f>IF(include_coag_filt=1,coag_dose_filt*8.34*design_flow,0)</f>
        <v>10.341600000000001</v>
      </c>
      <c r="D135" s="694" t="s">
        <v>338</v>
      </c>
    </row>
    <row r="136" spans="1:5" x14ac:dyDescent="0.2">
      <c r="A136" s="732" t="s">
        <v>4202</v>
      </c>
      <c r="B136" s="3" t="s">
        <v>4205</v>
      </c>
      <c r="C136">
        <f>coag_day/coag_pct_filt/coag_density_filt</f>
        <v>0.61582278481012676</v>
      </c>
      <c r="D136" s="694" t="s">
        <v>1803</v>
      </c>
    </row>
    <row r="137" spans="1:5" x14ac:dyDescent="0.2">
      <c r="A137" s="732" t="s">
        <v>4203</v>
      </c>
      <c r="B137" s="3" t="s">
        <v>4206</v>
      </c>
      <c r="C137">
        <f>coag_day_design_flow/coag_pct_filt/coag_density_filt</f>
        <v>2.1817721518987345</v>
      </c>
      <c r="D137" s="694" t="s">
        <v>1803</v>
      </c>
    </row>
    <row r="138" spans="1:5" x14ac:dyDescent="0.2">
      <c r="A138" s="732" t="s">
        <v>4233</v>
      </c>
      <c r="B138" s="3" t="s">
        <v>4234</v>
      </c>
      <c r="C138">
        <f>coag_day_gal_filt*cstore_days</f>
        <v>18.474683544303801</v>
      </c>
      <c r="D138" s="694" t="s">
        <v>2766</v>
      </c>
      <c r="E138" s="7"/>
    </row>
    <row r="139" spans="1:5" x14ac:dyDescent="0.2">
      <c r="A139" s="732" t="s">
        <v>4242</v>
      </c>
      <c r="B139" s="3" t="s">
        <v>342</v>
      </c>
      <c r="C139">
        <f>coag_day_gal_filt*365*coag_density_filt</f>
        <v>2663.5875000000005</v>
      </c>
      <c r="D139" s="694" t="s">
        <v>506</v>
      </c>
      <c r="E139" s="7"/>
    </row>
    <row r="140" spans="1:5" x14ac:dyDescent="0.2">
      <c r="A140" s="732"/>
      <c r="B140" s="3"/>
      <c r="E140" s="7"/>
    </row>
    <row r="141" spans="1:5" x14ac:dyDescent="0.2">
      <c r="A141" s="736" t="s">
        <v>4269</v>
      </c>
      <c r="B141" s="3"/>
      <c r="E141" s="61"/>
    </row>
    <row r="142" spans="1:5" ht="13.5" customHeight="1" x14ac:dyDescent="0.2">
      <c r="A142" s="627" t="s">
        <v>349</v>
      </c>
      <c r="B142" s="3" t="s">
        <v>350</v>
      </c>
      <c r="C142">
        <f>MAX(VLOOKUP(10^6,st_bwt_cost_cl,1)-1,VLOOKUP(10^6,fg_bwt_cost_cl,1)-1,VLOOKUP(10^6,hdpe_bwt_cost_cl,1)-1)</f>
        <v>289000</v>
      </c>
      <c r="D142" s="694" t="s">
        <v>1332</v>
      </c>
      <c r="E142" s="7" t="s">
        <v>1149</v>
      </c>
    </row>
    <row r="143" spans="1:5" x14ac:dyDescent="0.2">
      <c r="A143" s="732" t="s">
        <v>4199</v>
      </c>
      <c r="B143" s="3" t="s">
        <v>348</v>
      </c>
      <c r="C143">
        <f>IF(include_coag_filt=1,ROUNDUP(design_flow_rate*coag_mix_time/60/max_coag_mix_tank,0),0)</f>
        <v>1</v>
      </c>
      <c r="D143" s="694" t="s">
        <v>606</v>
      </c>
    </row>
    <row r="144" spans="1:5" x14ac:dyDescent="0.2">
      <c r="A144" s="627" t="s">
        <v>347</v>
      </c>
      <c r="B144" s="3" t="s">
        <v>351</v>
      </c>
      <c r="C144" s="9">
        <f>IF(include_coag_filt=1,design_flow_rate*coag_mix_time/60/coag_mix_tank,0)</f>
        <v>86.111111111111114</v>
      </c>
      <c r="D144" s="694" t="s">
        <v>1332</v>
      </c>
    </row>
    <row r="145" spans="1:5" x14ac:dyDescent="0.2">
      <c r="A145" s="627" t="s">
        <v>357</v>
      </c>
      <c r="B145" s="3" t="s">
        <v>362</v>
      </c>
      <c r="C145" s="648">
        <f>VLOOKUP(10^6,imp_mix_cost_cl,1)-0.1</f>
        <v>30</v>
      </c>
      <c r="D145" s="694" t="s">
        <v>1694</v>
      </c>
      <c r="E145" s="7" t="s">
        <v>811</v>
      </c>
    </row>
    <row r="146" spans="1:5" x14ac:dyDescent="0.2">
      <c r="A146" s="627" t="s">
        <v>358</v>
      </c>
      <c r="B146" s="3" t="s">
        <v>361</v>
      </c>
      <c r="C146" s="42">
        <f>IF(include_coag_filt=1,ROUNDUP(coag_mix_tank_size/1000*mix_hp_per/mix_hp_max,0),0)</f>
        <v>1</v>
      </c>
      <c r="D146" s="694" t="s">
        <v>606</v>
      </c>
    </row>
    <row r="147" spans="1:5" x14ac:dyDescent="0.2">
      <c r="A147" s="128" t="s">
        <v>596</v>
      </c>
      <c r="B147" s="3" t="s">
        <v>364</v>
      </c>
      <c r="C147" s="61">
        <f>IF(include_coag_filt=1,coag_mix_tank*mix_per_tank,0)</f>
        <v>1</v>
      </c>
      <c r="D147" s="694" t="s">
        <v>606</v>
      </c>
    </row>
    <row r="148" spans="1:5" x14ac:dyDescent="0.2">
      <c r="A148" s="732" t="s">
        <v>4268</v>
      </c>
      <c r="B148" s="3" t="s">
        <v>363</v>
      </c>
      <c r="C148" s="664">
        <f>IF(include_coag_filt=1,MAX(min_mix_hp,coag_mix_tank_size/1000*mix_hp_per/mix_per_tank),0)</f>
        <v>0.33333333333333331</v>
      </c>
      <c r="D148" s="694" t="s">
        <v>1694</v>
      </c>
      <c r="E148" s="7"/>
    </row>
    <row r="149" spans="1:5" x14ac:dyDescent="0.2">
      <c r="A149" s="732" t="s">
        <v>4235</v>
      </c>
      <c r="B149" s="3" t="s">
        <v>4238</v>
      </c>
      <c r="C149" s="88">
        <f>coag_day_gal_filt_design_flow/24</f>
        <v>9.0907172995780605E-2</v>
      </c>
      <c r="D149" s="694" t="s">
        <v>3747</v>
      </c>
    </row>
    <row r="150" spans="1:5" x14ac:dyDescent="0.2">
      <c r="A150" s="732" t="s">
        <v>4236</v>
      </c>
      <c r="B150" s="3" t="s">
        <v>4239</v>
      </c>
      <c r="C150">
        <f>IF(coag_day_gal_filt_design_flow=0,0,ROUNDUP(coag_rate_filt/max_cm_pump_size_noSS,0)+NRD_cm_pump)</f>
        <v>2</v>
      </c>
      <c r="D150" s="695" t="s">
        <v>606</v>
      </c>
    </row>
    <row r="151" spans="1:5" x14ac:dyDescent="0.2">
      <c r="A151" s="732" t="s">
        <v>4237</v>
      </c>
      <c r="B151" s="3" t="s">
        <v>4240</v>
      </c>
      <c r="C151">
        <f>IF(coag_day_gal_filt_design_flow=0,0,MAX(min_chem_flow,coag_rate_filt*(1+pump_safety_factor))/(cm_pumps_coag_filt-NRD_cm_pump))</f>
        <v>0.13</v>
      </c>
      <c r="D151" s="695" t="s">
        <v>3747</v>
      </c>
    </row>
    <row r="152" spans="1:5" x14ac:dyDescent="0.2">
      <c r="A152" s="5"/>
      <c r="B152" s="3"/>
      <c r="C152" s="61"/>
    </row>
    <row r="153" spans="1:5" x14ac:dyDescent="0.2">
      <c r="A153" s="736" t="s">
        <v>4270</v>
      </c>
    </row>
    <row r="154" spans="1:5" x14ac:dyDescent="0.2">
      <c r="A154" s="732" t="s">
        <v>4216</v>
      </c>
      <c r="B154" s="3" t="s">
        <v>4217</v>
      </c>
      <c r="C154">
        <f>coag_storage_gal_filt+coag_storage_lbs/coag_pct/coag_density</f>
        <v>18.474683544303801</v>
      </c>
      <c r="D154" s="694" t="s">
        <v>1332</v>
      </c>
      <c r="E154" s="7" t="s">
        <v>4271</v>
      </c>
    </row>
    <row r="155" spans="1:5" x14ac:dyDescent="0.2">
      <c r="A155" s="732" t="s">
        <v>4244</v>
      </c>
      <c r="B155" s="3" t="s">
        <v>4245</v>
      </c>
      <c r="C155">
        <f>coag_storage_gal*coag_density</f>
        <v>218.92500000000004</v>
      </c>
      <c r="D155" s="694" t="s">
        <v>2591</v>
      </c>
      <c r="E155" s="7" t="s">
        <v>4271</v>
      </c>
    </row>
    <row r="156" spans="1:5" x14ac:dyDescent="0.2">
      <c r="A156" s="732" t="s">
        <v>4218</v>
      </c>
      <c r="B156" s="3" t="s">
        <v>4219</v>
      </c>
      <c r="C156">
        <f>ROUNDUP(coag_storage_gal/max_chem_tank_size_noSS,0)</f>
        <v>1</v>
      </c>
      <c r="D156" s="694" t="s">
        <v>606</v>
      </c>
    </row>
    <row r="157" spans="1:5" x14ac:dyDescent="0.2">
      <c r="A157" s="732" t="s">
        <v>4220</v>
      </c>
      <c r="B157" s="3" t="s">
        <v>4221</v>
      </c>
      <c r="C157">
        <f>IF(coag_tanks&gt;0,ROUNDUP(coag_storage_gal/coag_tanks,0),0)</f>
        <v>19</v>
      </c>
      <c r="D157" s="694" t="s">
        <v>1332</v>
      </c>
    </row>
    <row r="158" spans="1:5" x14ac:dyDescent="0.2">
      <c r="A158" s="732" t="s">
        <v>4222</v>
      </c>
      <c r="B158" s="3" t="s">
        <v>4223</v>
      </c>
      <c r="C158">
        <f>IF(AND(include_cmix=1,coag_tanks&lt;&gt;0),ROUNDUP(coag_tank_vol/1000*cmix_hp_per/cmix_hp_max,0),0)</f>
        <v>0</v>
      </c>
      <c r="D158" s="694" t="s">
        <v>606</v>
      </c>
    </row>
    <row r="159" spans="1:5" x14ac:dyDescent="0.2">
      <c r="A159" s="732" t="s">
        <v>4224</v>
      </c>
      <c r="B159" s="3" t="s">
        <v>4225</v>
      </c>
      <c r="C159">
        <f>coag_tanks*coag_cmix_per_tank</f>
        <v>0</v>
      </c>
      <c r="D159" s="694" t="s">
        <v>606</v>
      </c>
    </row>
    <row r="160" spans="1:5" x14ac:dyDescent="0.2">
      <c r="A160" s="732" t="s">
        <v>4298</v>
      </c>
      <c r="B160" s="3" t="s">
        <v>4226</v>
      </c>
      <c r="C160">
        <f>IF(coag_cmixers&lt;&gt;0,MAX(min_cmix_hp,coag_tank_vol/1000*cmix_hp_per/coag_cmix_per_tank),0)</f>
        <v>0</v>
      </c>
      <c r="D160" s="694" t="s">
        <v>1694</v>
      </c>
    </row>
    <row r="161" spans="1:5" x14ac:dyDescent="0.2">
      <c r="A161" s="128" t="s">
        <v>2002</v>
      </c>
      <c r="B161" s="57" t="s">
        <v>4300</v>
      </c>
      <c r="C161" s="65">
        <f>coag_day_gal_filt_design_flow</f>
        <v>2.1817721518987345</v>
      </c>
      <c r="D161" s="694" t="s">
        <v>2766</v>
      </c>
      <c r="E161" s="7" t="s">
        <v>4299</v>
      </c>
    </row>
    <row r="162" spans="1:5" x14ac:dyDescent="0.2">
      <c r="A162" s="732" t="s">
        <v>4303</v>
      </c>
      <c r="B162" s="3" t="s">
        <v>4301</v>
      </c>
      <c r="C162" s="65">
        <f>IF(coag_day_tank_vol_needed&lt;day_tank_needed,0,ROUNDUP(coag_day_tank_vol_needed/max_chem_tank_size_noSS,0))</f>
        <v>0</v>
      </c>
      <c r="D162" s="694" t="s">
        <v>606</v>
      </c>
    </row>
    <row r="163" spans="1:5" x14ac:dyDescent="0.2">
      <c r="A163" s="732" t="s">
        <v>4304</v>
      </c>
      <c r="B163" s="3" t="s">
        <v>4302</v>
      </c>
      <c r="C163" s="65">
        <f>IF(coag_day_tanks=0,0,ROUNDUP(coag_day_tank_vol_needed/coag_day_tanks,0))</f>
        <v>0</v>
      </c>
      <c r="D163" s="694" t="s">
        <v>2766</v>
      </c>
    </row>
    <row r="164" spans="1:5" x14ac:dyDescent="0.2">
      <c r="A164" s="732" t="s">
        <v>4305</v>
      </c>
      <c r="B164" s="3" t="s">
        <v>4308</v>
      </c>
      <c r="C164">
        <f>IF(AND(include_cmix=1,coag_day_tanks&lt;&gt;0),ROUNDUP(coag_day_tank_vol/1000*cmix_hp_per/cmix_hp_max,0),0)</f>
        <v>0</v>
      </c>
      <c r="D164" s="694" t="s">
        <v>606</v>
      </c>
    </row>
    <row r="165" spans="1:5" x14ac:dyDescent="0.2">
      <c r="A165" s="732" t="s">
        <v>4306</v>
      </c>
      <c r="B165" s="3" t="s">
        <v>4309</v>
      </c>
      <c r="C165">
        <f>coag_day_tanks*coag_dmix_per_tank</f>
        <v>0</v>
      </c>
      <c r="D165" s="694" t="s">
        <v>606</v>
      </c>
    </row>
    <row r="166" spans="1:5" x14ac:dyDescent="0.2">
      <c r="A166" s="732" t="s">
        <v>4307</v>
      </c>
      <c r="B166" s="3" t="s">
        <v>4310</v>
      </c>
      <c r="C166">
        <f>IF(coag_dmixers&lt;&gt;0,MAX(min_cmix_hp,coag_day_tank_vol/1000*cmix_hp_per/coag_dmix_per_tank),0)</f>
        <v>0</v>
      </c>
      <c r="D166" s="694" t="s">
        <v>1694</v>
      </c>
    </row>
    <row r="168" spans="1:5" x14ac:dyDescent="0.2">
      <c r="A168" s="736" t="s">
        <v>4342</v>
      </c>
      <c r="D168"/>
    </row>
    <row r="169" spans="1:5" x14ac:dyDescent="0.2">
      <c r="A169" s="732" t="s">
        <v>44</v>
      </c>
      <c r="B169" s="3" t="s">
        <v>4260</v>
      </c>
      <c r="C169">
        <f>MAX(coag_tanks*coag_tank_vol*sec_cont_pct_of_total,coag_tank_vol*sec_cont_pct_of_largest)/7.48</f>
        <v>2.7941176470588238</v>
      </c>
      <c r="D169" s="694" t="s">
        <v>1239</v>
      </c>
      <c r="E169" s="725" t="s">
        <v>4085</v>
      </c>
    </row>
    <row r="170" spans="1:5" x14ac:dyDescent="0.2">
      <c r="A170" s="732" t="s">
        <v>4060</v>
      </c>
      <c r="B170" s="3" t="s">
        <v>4261</v>
      </c>
      <c r="C170">
        <f>IF(coag_tanks=0,0,coag_fp-coag_tanks*PI()*(coag_st_diam/2)^2)</f>
        <v>12.858407346410207</v>
      </c>
      <c r="D170" s="694" t="s">
        <v>1226</v>
      </c>
      <c r="E170" s="725" t="s">
        <v>4086</v>
      </c>
    </row>
    <row r="171" spans="1:5" x14ac:dyDescent="0.2">
      <c r="A171" s="732" t="s">
        <v>4061</v>
      </c>
      <c r="B171" s="3" t="s">
        <v>4262</v>
      </c>
      <c r="C171">
        <f>IF(coag_tanks=0,0,coag_cont_volume/coag_cont_fp+sec_cont_freeboard/12)</f>
        <v>0.71729889027344296</v>
      </c>
      <c r="D171" s="694" t="s">
        <v>605</v>
      </c>
    </row>
    <row r="172" spans="1:5" x14ac:dyDescent="0.2">
      <c r="A172" s="732" t="s">
        <v>4062</v>
      </c>
      <c r="B172" s="3" t="s">
        <v>4263</v>
      </c>
      <c r="C172">
        <f>IF(coag_tanks=0,0,MIN(sec_cont_max_thick,coag_curb_height))</f>
        <v>0.71729889027344296</v>
      </c>
      <c r="D172" s="694" t="s">
        <v>605</v>
      </c>
    </row>
    <row r="173" spans="1:5" x14ac:dyDescent="0.2">
      <c r="A173" s="732" t="s">
        <v>4063</v>
      </c>
      <c r="B173" s="3" t="s">
        <v>4264</v>
      </c>
      <c r="C173">
        <f>IF(coag_tanks=0,0,coag_tanks*coag_st_diam+2*space_coag_st+(coag_tanks-1)*space_coag_st+2*coag_curb_thick)</f>
        <v>5.4345977805468859</v>
      </c>
      <c r="D173" s="694" t="s">
        <v>605</v>
      </c>
    </row>
    <row r="174" spans="1:5" x14ac:dyDescent="0.2">
      <c r="A174" s="732" t="s">
        <v>4064</v>
      </c>
      <c r="B174" s="3" t="s">
        <v>4265</v>
      </c>
      <c r="C174">
        <f>IF(coag_tanks=0,0,coag_st_diam+2*space_coag_st)</f>
        <v>4</v>
      </c>
      <c r="D174" s="694" t="s">
        <v>605</v>
      </c>
    </row>
    <row r="175" spans="1:5" x14ac:dyDescent="0.2">
      <c r="A175" s="732" t="s">
        <v>4065</v>
      </c>
      <c r="B175" s="3" t="s">
        <v>4266</v>
      </c>
      <c r="C175">
        <f>IF(coag_tanks=0,0,ROUNDUP((coag_curb_len_long*2+coag_curb_len_short*2)*coag_curb_height*coag_curb_thick/27,0))</f>
        <v>1</v>
      </c>
      <c r="D175" s="694" t="s">
        <v>2337</v>
      </c>
      <c r="E175" s="725" t="s">
        <v>4087</v>
      </c>
    </row>
    <row r="176" spans="1:5" x14ac:dyDescent="0.2">
      <c r="A176" s="732" t="s">
        <v>4066</v>
      </c>
      <c r="B176" s="3" t="s">
        <v>4267</v>
      </c>
      <c r="C176">
        <f>IF(coag_tanks=0,0,ROUNDUP((coag_fp+2*(coag_curb_len_long-2*coag_curb_thick)*coag_curb_height+2*coag_curb_len_short*coag_curb_height)/sec_cont_coating_cvg,0))</f>
        <v>1</v>
      </c>
      <c r="D176" s="694" t="s">
        <v>2766</v>
      </c>
      <c r="E176" s="725" t="s">
        <v>4088</v>
      </c>
    </row>
    <row r="178" spans="1:5" x14ac:dyDescent="0.2">
      <c r="A178" s="736" t="s">
        <v>4343</v>
      </c>
      <c r="D178"/>
    </row>
    <row r="179" spans="1:5" x14ac:dyDescent="0.2">
      <c r="A179" s="732" t="s">
        <v>44</v>
      </c>
      <c r="B179" s="3" t="s">
        <v>4344</v>
      </c>
      <c r="C179">
        <f>MAX(coag_day_tanks*coag_day_tank_vol*sec_cont_pct_of_total,coag_day_tank_vol*sec_cont_pct_of_largest)/7.48</f>
        <v>0</v>
      </c>
      <c r="D179" s="694" t="s">
        <v>1239</v>
      </c>
      <c r="E179" s="725" t="s">
        <v>4085</v>
      </c>
    </row>
    <row r="180" spans="1:5" x14ac:dyDescent="0.2">
      <c r="A180" s="732" t="s">
        <v>4060</v>
      </c>
      <c r="B180" s="3" t="s">
        <v>4345</v>
      </c>
      <c r="C180">
        <f>IF(coag_day_tanks=0,0,coag_day_fp-coag_day_tanks*PI()*(coag_dt_diam/2)^2)</f>
        <v>0</v>
      </c>
      <c r="D180" s="694" t="s">
        <v>1226</v>
      </c>
      <c r="E180" s="725" t="s">
        <v>4086</v>
      </c>
    </row>
    <row r="181" spans="1:5" x14ac:dyDescent="0.2">
      <c r="A181" s="732" t="s">
        <v>4061</v>
      </c>
      <c r="B181" s="3" t="s">
        <v>4346</v>
      </c>
      <c r="C181">
        <f>IF(coag_day_tanks=0,0,coag_dt_cont_volume/coag_dt_cont_fp+sec_cont_freeboard/12)</f>
        <v>0</v>
      </c>
      <c r="D181" s="694" t="s">
        <v>605</v>
      </c>
    </row>
    <row r="182" spans="1:5" x14ac:dyDescent="0.2">
      <c r="A182" s="732" t="s">
        <v>4062</v>
      </c>
      <c r="B182" s="3" t="s">
        <v>4347</v>
      </c>
      <c r="C182">
        <f>IF(coag_day_tanks=0,0,MIN(sec_cont_max_thick,coag_dt_curb_height))</f>
        <v>0</v>
      </c>
      <c r="D182" s="694" t="s">
        <v>605</v>
      </c>
    </row>
    <row r="183" spans="1:5" x14ac:dyDescent="0.2">
      <c r="A183" s="732" t="s">
        <v>4063</v>
      </c>
      <c r="B183" s="3" t="s">
        <v>4348</v>
      </c>
      <c r="C183">
        <f>IF(coag_day_tanks=0,0,coag_day_tanks*coag_dt_diam+2*space_coag_dt+(coag_day_tanks-1)*space_coag_dt+2*coag_dt_curb_thick)</f>
        <v>0</v>
      </c>
      <c r="D183" s="694" t="s">
        <v>605</v>
      </c>
    </row>
    <row r="184" spans="1:5" x14ac:dyDescent="0.2">
      <c r="A184" s="732" t="s">
        <v>4064</v>
      </c>
      <c r="B184" s="3" t="s">
        <v>4349</v>
      </c>
      <c r="C184">
        <f>IF(coag_day_tanks=0,0,coag_dt_diam+2*space_coag_dt)</f>
        <v>0</v>
      </c>
      <c r="D184" s="694" t="s">
        <v>605</v>
      </c>
    </row>
    <row r="185" spans="1:5" x14ac:dyDescent="0.2">
      <c r="A185" s="732" t="s">
        <v>4065</v>
      </c>
      <c r="B185" s="3" t="s">
        <v>4350</v>
      </c>
      <c r="C185">
        <f>IF(coag_day_tanks=0,0,ROUNDUP((coag_dt_curb_len_long*2+coag_dt_curb_len_short*2)*coag_dt_curb_height*coag_dt_curb_thick/27,0))</f>
        <v>0</v>
      </c>
      <c r="D185" s="694" t="s">
        <v>2337</v>
      </c>
      <c r="E185" s="725" t="s">
        <v>4087</v>
      </c>
    </row>
    <row r="186" spans="1:5" x14ac:dyDescent="0.2">
      <c r="A186" s="732" t="s">
        <v>4066</v>
      </c>
      <c r="B186" s="3" t="s">
        <v>4351</v>
      </c>
      <c r="C186">
        <f>IF(coag_day_tanks=0,0,ROUNDUP((coag_day_fp+2*(coag_dt_curb_len_long-2*coag_dt_curb_thick)*coag_dt_curb_height+2*coag_dt_curb_len_short*coag_dt_curb_height)/sec_cont_coating_cvg,0))</f>
        <v>0</v>
      </c>
      <c r="D186" s="694" t="s">
        <v>2766</v>
      </c>
      <c r="E186" s="725" t="s">
        <v>4088</v>
      </c>
    </row>
    <row r="188" spans="1:5" x14ac:dyDescent="0.2">
      <c r="A188" s="818" t="s">
        <v>4273</v>
      </c>
      <c r="B188" s="815"/>
      <c r="C188" s="815"/>
      <c r="D188" s="815"/>
      <c r="E188" s="7" t="s">
        <v>4271</v>
      </c>
    </row>
    <row r="189" spans="1:5" x14ac:dyDescent="0.2">
      <c r="A189" s="819" t="s">
        <v>3984</v>
      </c>
      <c r="B189" s="815"/>
      <c r="C189" s="816" t="e">
        <f>VLOOKUP("Ferric Chloride - Large Qty",chem_break_table_cl,2,FALSE)</f>
        <v>#N/A</v>
      </c>
      <c r="D189" s="815" t="s">
        <v>2591</v>
      </c>
      <c r="E189" s="725" t="s">
        <v>3985</v>
      </c>
    </row>
    <row r="190" spans="1:5" x14ac:dyDescent="0.2">
      <c r="A190" s="819" t="s">
        <v>3986</v>
      </c>
      <c r="B190" s="815"/>
      <c r="C190" s="816" t="e">
        <f>VLOOKUP("Ferric Chloride - Mid Qty",chem_break_table_cl,2,FALSE)</f>
        <v>#N/A</v>
      </c>
      <c r="D190" s="815" t="s">
        <v>2591</v>
      </c>
      <c r="E190" s="725" t="s">
        <v>3985</v>
      </c>
    </row>
    <row r="191" spans="1:5" x14ac:dyDescent="0.2">
      <c r="A191" s="819" t="s">
        <v>3987</v>
      </c>
      <c r="B191" s="815"/>
      <c r="C191" s="816" t="e">
        <f>VLOOKUP("Ferric Chloride - Small Qty",chem_break_table_cl,2,FALSE)</f>
        <v>#N/A</v>
      </c>
      <c r="D191" s="815" t="s">
        <v>2591</v>
      </c>
      <c r="E191" s="725" t="s">
        <v>3985</v>
      </c>
    </row>
    <row r="192" spans="1:5" x14ac:dyDescent="0.2">
      <c r="A192" s="819" t="s">
        <v>3988</v>
      </c>
      <c r="B192" s="817" t="s">
        <v>3998</v>
      </c>
      <c r="C192" s="815" t="str">
        <f>IF(AND(ISNA(C189),ISNA(C190),ISNA(C191)),"",IF(coag_storage_lbs_bulk&gt;=C189," - Large Qty",IF(coag_storage_lbs_bulk&gt;=C190," - Mid Qty"," - Small Qty")))</f>
        <v/>
      </c>
      <c r="D192" s="815"/>
      <c r="E192" s="725" t="s">
        <v>3989</v>
      </c>
    </row>
  </sheetData>
  <phoneticPr fontId="54"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F167"/>
  <sheetViews>
    <sheetView workbookViewId="0">
      <pane ySplit="3" topLeftCell="A15" activePane="bottomLeft" state="frozen"/>
      <selection pane="bottomLeft" activeCell="K59" sqref="K59"/>
    </sheetView>
  </sheetViews>
  <sheetFormatPr defaultRowHeight="12.75" x14ac:dyDescent="0.2"/>
  <cols>
    <col min="1" max="1" width="59.85546875" style="26" customWidth="1"/>
    <col min="2" max="2" width="23.28515625" style="31" customWidth="1"/>
    <col min="3" max="3" width="10.28515625" style="26" customWidth="1"/>
    <col min="4" max="4" width="13.28515625" style="695" customWidth="1"/>
    <col min="5" max="6" width="9.140625" style="26" customWidth="1"/>
  </cols>
  <sheetData>
    <row r="1" spans="1:6" x14ac:dyDescent="0.2">
      <c r="A1" s="1" t="s">
        <v>3858</v>
      </c>
      <c r="B1" s="3"/>
      <c r="C1" s="694"/>
      <c r="D1" s="694"/>
      <c r="E1" s="694"/>
    </row>
    <row r="2" spans="1:6" x14ac:dyDescent="0.2">
      <c r="A2" s="694"/>
      <c r="B2" s="3"/>
      <c r="C2" s="694"/>
      <c r="D2" s="694"/>
      <c r="E2" s="694"/>
    </row>
    <row r="3" spans="1:6" x14ac:dyDescent="0.2">
      <c r="A3" s="193" t="s">
        <v>3853</v>
      </c>
      <c r="B3" s="193" t="s">
        <v>1640</v>
      </c>
      <c r="C3" s="194" t="s">
        <v>1641</v>
      </c>
      <c r="D3" s="193" t="s">
        <v>1642</v>
      </c>
      <c r="E3" s="193" t="s">
        <v>594</v>
      </c>
    </row>
    <row r="4" spans="1:6" x14ac:dyDescent="0.2">
      <c r="A4" s="656" t="s">
        <v>3859</v>
      </c>
    </row>
    <row r="5" spans="1:6" x14ac:dyDescent="0.2">
      <c r="A5" s="129" t="s">
        <v>2585</v>
      </c>
      <c r="B5" s="31" t="s">
        <v>1246</v>
      </c>
      <c r="C5" s="62">
        <f>IF(lines_pump_I="",IF(ss_cat2=1,0,MIN(MAX(average_flow_rate+bp_flow_rate*average_flow_rate/design_flow_rate,(design_flow_rate+bp_flow_rate)/2)*(1+pump_safety_factor),max_pump_size)),IF(lines_pump_I=0,0,(design_flow_rate+bp_flow_rate)*(1+pump_safety_factor)/lines_pump_I))</f>
        <v>0</v>
      </c>
      <c r="D5" s="695" t="s">
        <v>2765</v>
      </c>
      <c r="E5" s="7" t="s">
        <v>1251</v>
      </c>
    </row>
    <row r="6" spans="1:6" x14ac:dyDescent="0.2">
      <c r="A6" s="128" t="s">
        <v>2468</v>
      </c>
      <c r="B6" s="3" t="s">
        <v>2469</v>
      </c>
      <c r="C6" s="157">
        <f>VLOOKUP(10^6,pump_cost_cl,1)-1</f>
        <v>10000</v>
      </c>
      <c r="D6" s="694" t="s">
        <v>2765</v>
      </c>
      <c r="E6" s="7" t="s">
        <v>1971</v>
      </c>
      <c r="F6"/>
    </row>
    <row r="7" spans="1:6" ht="12.75" customHeight="1" x14ac:dyDescent="0.2">
      <c r="A7" s="128" t="s">
        <v>3748</v>
      </c>
      <c r="B7" s="3" t="s">
        <v>3749</v>
      </c>
      <c r="C7" s="157">
        <f>MAX(VLOOKUP(10^6,ss_empump_cost_cl,1)-0.01,VLOOKUP(10^6,ss_mmpump_cost_cl,1)-0.01,VLOOKUP(10^6,pvc_empump_cost_cl,1)-0.01,VLOOKUP(10^6,pvc_mmpump_cost_cl,1)-0.01)</f>
        <v>132</v>
      </c>
      <c r="D7" s="694" t="s">
        <v>3747</v>
      </c>
      <c r="E7" s="7" t="s">
        <v>3645</v>
      </c>
      <c r="F7"/>
    </row>
    <row r="8" spans="1:6" ht="12.75" customHeight="1" x14ac:dyDescent="0.2">
      <c r="A8" s="732" t="s">
        <v>4017</v>
      </c>
      <c r="B8" s="3" t="s">
        <v>4018</v>
      </c>
      <c r="C8" s="157">
        <f>MAX(VLOOKUP(10^6,pvc_empump_cost_cl,1)-0.01,VLOOKUP(10^6,pvc_mmpump_cost_cl,1)-0.01)</f>
        <v>132</v>
      </c>
      <c r="D8" s="694" t="s">
        <v>3747</v>
      </c>
      <c r="E8" s="7" t="s">
        <v>4016</v>
      </c>
      <c r="F8"/>
    </row>
    <row r="9" spans="1:6" x14ac:dyDescent="0.2">
      <c r="A9" s="129"/>
    </row>
    <row r="10" spans="1:6" x14ac:dyDescent="0.2">
      <c r="A10" s="129" t="s">
        <v>1244</v>
      </c>
      <c r="B10" s="31" t="s">
        <v>1245</v>
      </c>
      <c r="C10" s="35">
        <f>IF(pump_rating=0,0,ROUNDUP((design_flow_rate+bp_flow_rate)*(1+pump_safety_factor)/pump_rating,0))</f>
        <v>0</v>
      </c>
      <c r="D10" s="695" t="s">
        <v>606</v>
      </c>
      <c r="E10" s="7" t="s">
        <v>1532</v>
      </c>
    </row>
    <row r="11" spans="1:6" x14ac:dyDescent="0.2">
      <c r="A11" s="129" t="s">
        <v>1247</v>
      </c>
      <c r="B11" s="31" t="s">
        <v>1248</v>
      </c>
      <c r="C11" s="26">
        <f>IF(booster_pumps=0,0,booster_pumps+NRD_pumps)</f>
        <v>0</v>
      </c>
      <c r="D11" s="695" t="s">
        <v>606</v>
      </c>
      <c r="E11" s="7" t="s">
        <v>526</v>
      </c>
    </row>
    <row r="12" spans="1:6" x14ac:dyDescent="0.2">
      <c r="A12" s="129"/>
      <c r="E12" s="32"/>
    </row>
    <row r="13" spans="1:6" x14ac:dyDescent="0.2">
      <c r="A13" s="737" t="s">
        <v>2408</v>
      </c>
      <c r="B13" s="31" t="s">
        <v>2409</v>
      </c>
      <c r="C13" s="26">
        <f>IF(design_type=3,ROUNDUP(design_flow_rate*recycle_fluid*(1+pump_safety_factor)/max_pump_size+NRD_recycle_pumps,0),0)</f>
        <v>0</v>
      </c>
      <c r="D13" s="694" t="s">
        <v>611</v>
      </c>
      <c r="E13" s="7" t="s">
        <v>527</v>
      </c>
    </row>
    <row r="14" spans="1:6" x14ac:dyDescent="0.2">
      <c r="A14" s="737" t="s">
        <v>2410</v>
      </c>
      <c r="B14" s="31" t="s">
        <v>2411</v>
      </c>
      <c r="C14" s="28">
        <f>IF(recycle_pumps=0,0,design_flow_rate*recycle_fluid*(1+pump_safety_factor)/(recycle_pumps-NRD_recycle_pumps))</f>
        <v>0</v>
      </c>
      <c r="D14" s="695" t="s">
        <v>2765</v>
      </c>
      <c r="E14" s="32" t="s">
        <v>1251</v>
      </c>
    </row>
    <row r="15" spans="1:6" x14ac:dyDescent="0.2">
      <c r="A15" s="129"/>
      <c r="E15" s="32"/>
    </row>
    <row r="16" spans="1:6" x14ac:dyDescent="0.2">
      <c r="A16" s="128" t="s">
        <v>610</v>
      </c>
      <c r="B16" s="3" t="s">
        <v>612</v>
      </c>
      <c r="C16">
        <f>IF(AND(include_post=0,design_type=3),0,IF(no_backwash=1,0,ROUNDUP(IF(water_flush&gt;filter_water_flush,water_flush,filter_water_flush)*(1+pump_safety_factor)/max_pump_size,0)+NRD_back_pumps))</f>
        <v>0</v>
      </c>
      <c r="D16" s="694" t="s">
        <v>611</v>
      </c>
      <c r="E16" s="7" t="s">
        <v>527</v>
      </c>
      <c r="F16"/>
    </row>
    <row r="17" spans="1:6" x14ac:dyDescent="0.2">
      <c r="A17" s="129" t="s">
        <v>2584</v>
      </c>
      <c r="B17" s="31" t="s">
        <v>2586</v>
      </c>
      <c r="C17" s="28">
        <f>IF(backwash_pumps=0,0,IF(water_flush&gt;filter_water_flush,water_flush,filter_water_flush)*(1+pump_safety_factor)/(backwash_pumps-NRD_back_pumps))</f>
        <v>0</v>
      </c>
      <c r="D17" s="695" t="s">
        <v>2765</v>
      </c>
      <c r="E17" s="32" t="s">
        <v>1251</v>
      </c>
    </row>
    <row r="18" spans="1:6" x14ac:dyDescent="0.2">
      <c r="A18" s="129"/>
    </row>
    <row r="19" spans="1:6" x14ac:dyDescent="0.2">
      <c r="A19" s="735" t="s">
        <v>2375</v>
      </c>
    </row>
    <row r="20" spans="1:6" x14ac:dyDescent="0.2">
      <c r="A20" s="128" t="s">
        <v>1545</v>
      </c>
      <c r="B20" s="3" t="s">
        <v>1812</v>
      </c>
      <c r="C20" s="28">
        <f>ROUNDUP(e_donor_day_vol/24*(1+pump_safety_factor)/max_cm_pump_size,0)+NRD_cm_pump</f>
        <v>2</v>
      </c>
      <c r="D20" s="695" t="s">
        <v>606</v>
      </c>
    </row>
    <row r="21" spans="1:6" x14ac:dyDescent="0.2">
      <c r="A21" s="128" t="s">
        <v>3746</v>
      </c>
      <c r="B21" s="3" t="s">
        <v>1813</v>
      </c>
      <c r="C21" s="508">
        <f>MAX(min_chem_flow,e_donor_day_vol/24*(1+pump_safety_factor)/(cm_pumps_e_donor-NRD_cm_pump))</f>
        <v>0.31984857482185275</v>
      </c>
      <c r="D21" s="695" t="s">
        <v>3747</v>
      </c>
    </row>
    <row r="22" spans="1:6" x14ac:dyDescent="0.2">
      <c r="A22" s="128"/>
      <c r="B22" s="3"/>
    </row>
    <row r="23" spans="1:6" x14ac:dyDescent="0.2">
      <c r="A23" s="735" t="s">
        <v>2374</v>
      </c>
    </row>
    <row r="24" spans="1:6" x14ac:dyDescent="0.2">
      <c r="A24" s="128" t="s">
        <v>1545</v>
      </c>
      <c r="B24" s="3" t="s">
        <v>2372</v>
      </c>
      <c r="C24" s="28">
        <f>IF(OR(nutrient_option=2,nutrient_option=4),ROUNDUP(NH4Cl_vol/24*(1+pump_safety_factor)/max_cm_pump_size,0)+NRD_cm_pump,0)</f>
        <v>0</v>
      </c>
      <c r="D24" s="695" t="s">
        <v>606</v>
      </c>
    </row>
    <row r="25" spans="1:6" x14ac:dyDescent="0.2">
      <c r="A25" s="128" t="s">
        <v>3746</v>
      </c>
      <c r="B25" s="3" t="s">
        <v>2373</v>
      </c>
      <c r="C25" s="508">
        <f>IF(cm_pumps_NH4Cl=0,0,MAX(min_chem_flow,NH4Cl_vol/24*(1+pump_safety_factor)/(cm_pumps_NH4Cl-NRD_cm_pump)))</f>
        <v>0</v>
      </c>
      <c r="D25" s="695" t="s">
        <v>3747</v>
      </c>
    </row>
    <row r="26" spans="1:6" x14ac:dyDescent="0.2">
      <c r="A26" s="128"/>
      <c r="B26" s="3"/>
    </row>
    <row r="27" spans="1:6" x14ac:dyDescent="0.2">
      <c r="A27" s="735" t="s">
        <v>2376</v>
      </c>
    </row>
    <row r="28" spans="1:6" x14ac:dyDescent="0.2">
      <c r="A28" s="128" t="s">
        <v>1545</v>
      </c>
      <c r="B28" s="3" t="s">
        <v>2377</v>
      </c>
      <c r="C28" s="28">
        <f>IF(OR(nutrient_option=3,nutrient_option=4),ROUNDUP(H3PO4_vol/24*(1+pump_safety_factor)/max_cm_pump_size_noSS,0)+NRD_cm_pump,0)</f>
        <v>2</v>
      </c>
      <c r="D28" s="695" t="s">
        <v>606</v>
      </c>
    </row>
    <row r="29" spans="1:6" x14ac:dyDescent="0.2">
      <c r="A29" s="128" t="s">
        <v>3746</v>
      </c>
      <c r="B29" s="3" t="s">
        <v>2378</v>
      </c>
      <c r="C29" s="508">
        <f>IF(cm_pumps_H3PO4=0,0,MAX(min_chem_flow,H3PO4_vol/24*(1+pump_safety_factor)/(cm_pumps_H3PO4-NRD_cm_pump)))</f>
        <v>0.13</v>
      </c>
      <c r="D29" s="695" t="s">
        <v>3747</v>
      </c>
    </row>
    <row r="30" spans="1:6" x14ac:dyDescent="0.2">
      <c r="A30" s="129"/>
    </row>
    <row r="31" spans="1:6" x14ac:dyDescent="0.2">
      <c r="A31" s="735" t="s">
        <v>3453</v>
      </c>
      <c r="B31" s="3"/>
      <c r="C31" s="42"/>
      <c r="D31" s="694"/>
    </row>
    <row r="32" spans="1:6" x14ac:dyDescent="0.2">
      <c r="A32" s="128" t="s">
        <v>530</v>
      </c>
      <c r="B32" s="3" t="s">
        <v>531</v>
      </c>
      <c r="C32" s="157">
        <f>VLOOKUP(10^6,pd_blow_cost_cl,1)-1</f>
        <v>5000</v>
      </c>
      <c r="D32" s="694" t="s">
        <v>3438</v>
      </c>
      <c r="E32" s="7" t="s">
        <v>3645</v>
      </c>
      <c r="F32"/>
    </row>
    <row r="33" spans="1:5" x14ac:dyDescent="0.2">
      <c r="A33" s="737" t="s">
        <v>528</v>
      </c>
      <c r="B33" s="3" t="s">
        <v>529</v>
      </c>
      <c r="C33">
        <f>IF(AND(design_type=3,include_post=0),0,IF(air_scour_I="yes",ROUNDUP(tot_air_scour/max_blower_size,0),0))</f>
        <v>1</v>
      </c>
      <c r="D33" s="694" t="s">
        <v>606</v>
      </c>
    </row>
    <row r="34" spans="1:5" x14ac:dyDescent="0.2">
      <c r="A34" s="737" t="s">
        <v>3451</v>
      </c>
      <c r="B34" s="31" t="s">
        <v>3452</v>
      </c>
      <c r="C34" s="42">
        <f>IF(num_blowers=0,0,tot_air_scour/(num_blowers))</f>
        <v>100.53096491487338</v>
      </c>
      <c r="D34" s="694" t="s">
        <v>3250</v>
      </c>
    </row>
    <row r="35" spans="1:5" x14ac:dyDescent="0.2">
      <c r="A35" s="737"/>
    </row>
    <row r="36" spans="1:5" x14ac:dyDescent="0.2">
      <c r="A36" s="735" t="s">
        <v>2200</v>
      </c>
    </row>
    <row r="37" spans="1:5" x14ac:dyDescent="0.2">
      <c r="A37" s="737" t="s">
        <v>528</v>
      </c>
      <c r="B37" s="31" t="s">
        <v>2194</v>
      </c>
      <c r="C37" s="26">
        <f>IF(design_type=3,ROUNDUP(tot_air_biomass/max_blower_size,0),0)</f>
        <v>0</v>
      </c>
      <c r="D37" s="694" t="s">
        <v>606</v>
      </c>
      <c r="E37" s="32" t="s">
        <v>2199</v>
      </c>
    </row>
    <row r="38" spans="1:5" x14ac:dyDescent="0.2">
      <c r="A38" s="737" t="s">
        <v>3451</v>
      </c>
      <c r="B38" s="31" t="s">
        <v>2195</v>
      </c>
      <c r="C38" s="29">
        <f>IF(num_bio_blowers=0,0,tot_air_biomass/(num_bio_blowers))</f>
        <v>0</v>
      </c>
      <c r="D38" s="694" t="s">
        <v>3250</v>
      </c>
    </row>
    <row r="39" spans="1:5" x14ac:dyDescent="0.2">
      <c r="A39" s="737"/>
    </row>
    <row r="40" spans="1:5" x14ac:dyDescent="0.2">
      <c r="A40" s="735" t="s">
        <v>2822</v>
      </c>
    </row>
    <row r="41" spans="1:5" x14ac:dyDescent="0.2">
      <c r="A41" s="737" t="s">
        <v>528</v>
      </c>
      <c r="B41" s="31" t="s">
        <v>2823</v>
      </c>
      <c r="C41" s="26">
        <f>IF(include_post_h2o2=0,ROUNDUP(air_flow_tot/max_blower_size,0)+NRD_blowers,0)</f>
        <v>2</v>
      </c>
      <c r="D41" s="694" t="s">
        <v>606</v>
      </c>
      <c r="E41" s="32"/>
    </row>
    <row r="42" spans="1:5" x14ac:dyDescent="0.2">
      <c r="A42" s="737" t="s">
        <v>3451</v>
      </c>
      <c r="B42" s="31" t="s">
        <v>2824</v>
      </c>
      <c r="C42" s="29">
        <f>IF(num_aeration_blowers=0,0,air_flow_tot/(num_aeration_blowers-NRD_blowers))</f>
        <v>5.5972222222222232</v>
      </c>
      <c r="D42" s="694" t="s">
        <v>3250</v>
      </c>
    </row>
    <row r="43" spans="1:5" x14ac:dyDescent="0.2">
      <c r="A43" s="737"/>
      <c r="C43" s="29"/>
      <c r="D43" s="694"/>
    </row>
    <row r="44" spans="1:5" x14ac:dyDescent="0.2">
      <c r="A44" s="735" t="s">
        <v>116</v>
      </c>
    </row>
    <row r="45" spans="1:5" x14ac:dyDescent="0.2">
      <c r="A45" s="128" t="s">
        <v>1545</v>
      </c>
      <c r="B45" s="3" t="s">
        <v>117</v>
      </c>
      <c r="C45" s="26">
        <f>IF(include_post_h2o2=0,0,ROUNDUP(solution_rate*(1+pump_safety_factor)/max_cm_pump_size,0)+NRD_cm_pump)</f>
        <v>0</v>
      </c>
      <c r="D45" s="695" t="s">
        <v>606</v>
      </c>
    </row>
    <row r="46" spans="1:5" x14ac:dyDescent="0.2">
      <c r="A46" s="128" t="s">
        <v>3746</v>
      </c>
      <c r="B46" s="3" t="s">
        <v>142</v>
      </c>
      <c r="C46" s="546">
        <f>IF(include_post_h2o2=0,0,MAX(min_chem_flow,solution_rate*(1+pump_safety_factor)/(cm_pumps_H2O2-NRD_cm_pump)))</f>
        <v>0</v>
      </c>
      <c r="D46" s="695" t="s">
        <v>3747</v>
      </c>
    </row>
    <row r="48" spans="1:5" x14ac:dyDescent="0.2">
      <c r="A48" s="656" t="s">
        <v>2583</v>
      </c>
    </row>
    <row r="49" spans="1:5" x14ac:dyDescent="0.2">
      <c r="A49" s="129" t="s">
        <v>4416</v>
      </c>
      <c r="B49" s="31" t="s">
        <v>573</v>
      </c>
      <c r="C49" s="28">
        <f>in_out_pipe_mult*facil_length</f>
        <v>60</v>
      </c>
      <c r="D49" s="695" t="s">
        <v>2761</v>
      </c>
    </row>
    <row r="50" spans="1:5" x14ac:dyDescent="0.2">
      <c r="A50" s="129" t="s">
        <v>613</v>
      </c>
      <c r="B50" s="31" t="s">
        <v>2758</v>
      </c>
      <c r="C50" s="28">
        <f>proc_pipe_mult*facil_length</f>
        <v>60</v>
      </c>
      <c r="D50" s="695" t="s">
        <v>2761</v>
      </c>
    </row>
    <row r="51" spans="1:5" x14ac:dyDescent="0.2">
      <c r="A51" s="129" t="s">
        <v>446</v>
      </c>
      <c r="B51" s="31" t="s">
        <v>447</v>
      </c>
      <c r="C51" s="28">
        <f>IF(design_type=3,recycle_pipe_mult*facil_length,0)</f>
        <v>0</v>
      </c>
      <c r="D51" s="695" t="s">
        <v>2761</v>
      </c>
    </row>
    <row r="52" spans="1:5" x14ac:dyDescent="0.2">
      <c r="A52" s="129" t="s">
        <v>2759</v>
      </c>
      <c r="B52" s="31" t="s">
        <v>2760</v>
      </c>
      <c r="C52" s="26">
        <f>back_pipe_mult*facil_length</f>
        <v>75</v>
      </c>
      <c r="D52" s="695" t="s">
        <v>2761</v>
      </c>
    </row>
    <row r="53" spans="1:5" x14ac:dyDescent="0.2">
      <c r="A53" s="129" t="s">
        <v>2080</v>
      </c>
      <c r="B53" s="31" t="s">
        <v>2077</v>
      </c>
      <c r="C53" s="26">
        <f>chem_pipe_mult*facil_length</f>
        <v>30</v>
      </c>
      <c r="D53" s="695" t="s">
        <v>2761</v>
      </c>
    </row>
    <row r="54" spans="1:5" x14ac:dyDescent="0.2">
      <c r="A54" s="129" t="s">
        <v>2082</v>
      </c>
      <c r="B54" s="31" t="s">
        <v>2078</v>
      </c>
      <c r="C54" s="28">
        <f>IF(OR(nutrient_option=2,nutrient_option=4),chem_pipe_mult*facil_length,0)</f>
        <v>0</v>
      </c>
      <c r="D54" s="695" t="s">
        <v>2761</v>
      </c>
    </row>
    <row r="55" spans="1:5" x14ac:dyDescent="0.2">
      <c r="A55" s="129" t="s">
        <v>2081</v>
      </c>
      <c r="B55" s="31" t="s">
        <v>2079</v>
      </c>
      <c r="C55" s="28">
        <f>IF(OR(nutrient_option=3,nutrient_option=4),chem_pipe_mult*facil_length,0)</f>
        <v>30</v>
      </c>
      <c r="D55" s="695" t="s">
        <v>2761</v>
      </c>
    </row>
    <row r="56" spans="1:5" x14ac:dyDescent="0.2">
      <c r="A56" s="128" t="s">
        <v>118</v>
      </c>
      <c r="B56" s="3" t="s">
        <v>121</v>
      </c>
      <c r="C56" s="26">
        <f>IF(include_post_h2o2=0,0,chem_pipe_mult*facil_length)</f>
        <v>0</v>
      </c>
      <c r="D56" s="694" t="s">
        <v>2761</v>
      </c>
    </row>
    <row r="57" spans="1:5" x14ac:dyDescent="0.2">
      <c r="A57" s="770" t="s">
        <v>4246</v>
      </c>
      <c r="B57" s="31" t="s">
        <v>4247</v>
      </c>
      <c r="C57" s="28">
        <f>IF((coag_day_gal+coag_day_gal_filt)=0,0,chem_pipe_mult*facil_length)</f>
        <v>30</v>
      </c>
      <c r="D57" s="694" t="s">
        <v>2761</v>
      </c>
      <c r="E57" s="32" t="s">
        <v>4248</v>
      </c>
    </row>
    <row r="58" spans="1:5" x14ac:dyDescent="0.2">
      <c r="A58" s="737" t="s">
        <v>2908</v>
      </c>
      <c r="B58" s="31" t="s">
        <v>2909</v>
      </c>
      <c r="C58" s="28">
        <f>IF(AND(htanks&lt;&gt;0,polymer_res=1),chem_pipe_mult*facil_length,0)</f>
        <v>30</v>
      </c>
      <c r="D58" s="695" t="s">
        <v>2761</v>
      </c>
    </row>
    <row r="59" spans="1:5" x14ac:dyDescent="0.2">
      <c r="A59" s="129" t="s">
        <v>3364</v>
      </c>
      <c r="B59" s="31" t="s">
        <v>3365</v>
      </c>
      <c r="C59" s="28">
        <f>IF(bp_pct&gt;0,bp_pipe_mult*facil_length,0)</f>
        <v>0</v>
      </c>
      <c r="D59" s="695" t="s">
        <v>2761</v>
      </c>
    </row>
    <row r="60" spans="1:5" x14ac:dyDescent="0.2">
      <c r="A60" s="129"/>
      <c r="C60" s="28"/>
    </row>
    <row r="61" spans="1:5" x14ac:dyDescent="0.2">
      <c r="A61" s="129" t="s">
        <v>4417</v>
      </c>
      <c r="B61" s="31" t="s">
        <v>1252</v>
      </c>
      <c r="C61" s="28">
        <f>design_flow_rate+bp_flow_rate</f>
        <v>86.111111111111114</v>
      </c>
      <c r="D61" s="695" t="s">
        <v>2765</v>
      </c>
    </row>
    <row r="62" spans="1:5" x14ac:dyDescent="0.2">
      <c r="A62" s="770" t="s">
        <v>4452</v>
      </c>
      <c r="B62" s="31" t="s">
        <v>574</v>
      </c>
      <c r="C62" s="26">
        <f>VLOOKUP(in_out_pipe_flow,pipe_size_table_cl,2)</f>
        <v>3</v>
      </c>
      <c r="D62" s="695" t="s">
        <v>1253</v>
      </c>
    </row>
    <row r="63" spans="1:5" x14ac:dyDescent="0.2">
      <c r="A63" s="129" t="s">
        <v>1254</v>
      </c>
      <c r="B63" s="31" t="s">
        <v>1255</v>
      </c>
      <c r="C63" s="28">
        <f>IF(OR(design_type=1,design_type=3),flow_per_vessel,design_flow_rate/op_num_basins)</f>
        <v>28.982239426917037</v>
      </c>
      <c r="D63" s="695" t="s">
        <v>2765</v>
      </c>
    </row>
    <row r="64" spans="1:5" x14ac:dyDescent="0.2">
      <c r="A64" s="129" t="s">
        <v>2578</v>
      </c>
      <c r="B64" s="31" t="s">
        <v>2579</v>
      </c>
      <c r="C64" s="26">
        <f>VLOOKUP(proc_pipe_flow,pipe_size_table_cl,2)</f>
        <v>2</v>
      </c>
      <c r="D64" s="695" t="s">
        <v>1253</v>
      </c>
    </row>
    <row r="65" spans="1:4" x14ac:dyDescent="0.2">
      <c r="A65" s="129" t="s">
        <v>448</v>
      </c>
      <c r="B65" s="31" t="s">
        <v>450</v>
      </c>
      <c r="C65" s="28">
        <f>IF(design_type=3,design_flow_rate*recycle_fluid,0)</f>
        <v>0</v>
      </c>
      <c r="D65" s="695" t="s">
        <v>2765</v>
      </c>
    </row>
    <row r="66" spans="1:4" x14ac:dyDescent="0.2">
      <c r="A66" s="129" t="s">
        <v>449</v>
      </c>
      <c r="B66" s="31" t="s">
        <v>451</v>
      </c>
      <c r="C66" s="28">
        <f>IF(design_type=3,VLOOKUP(recycle_pipe_flow,pipe_size_table_cl,2),0)</f>
        <v>0</v>
      </c>
      <c r="D66" s="695" t="s">
        <v>1253</v>
      </c>
    </row>
    <row r="67" spans="1:4" x14ac:dyDescent="0.2">
      <c r="A67" s="129" t="s">
        <v>2587</v>
      </c>
      <c r="B67" s="31" t="s">
        <v>2588</v>
      </c>
      <c r="C67" s="585">
        <f>IF(water_flush&gt;filter_water_flush,water_flush,filter_water_flush)</f>
        <v>188</v>
      </c>
      <c r="D67" s="695" t="s">
        <v>2765</v>
      </c>
    </row>
    <row r="68" spans="1:4" x14ac:dyDescent="0.2">
      <c r="A68" s="129" t="s">
        <v>2589</v>
      </c>
      <c r="B68" s="31" t="s">
        <v>2590</v>
      </c>
      <c r="C68" s="26">
        <f>VLOOKUP(back_pipe_flow,pipe_size_table_cl,2)</f>
        <v>4</v>
      </c>
      <c r="D68" s="695" t="s">
        <v>1253</v>
      </c>
    </row>
    <row r="69" spans="1:4" x14ac:dyDescent="0.2">
      <c r="A69" s="128" t="s">
        <v>2383</v>
      </c>
      <c r="B69" s="31" t="s">
        <v>2384</v>
      </c>
      <c r="C69" s="507">
        <f>e_donor_day_vol/1440</f>
        <v>4.2646476642913701E-3</v>
      </c>
      <c r="D69" s="695" t="s">
        <v>2765</v>
      </c>
    </row>
    <row r="70" spans="1:4" x14ac:dyDescent="0.2">
      <c r="A70" s="128" t="s">
        <v>2382</v>
      </c>
      <c r="B70" s="3" t="s">
        <v>2385</v>
      </c>
      <c r="C70" s="508">
        <f>VLOOKUP(e_donor_pipe_flow,pipe_size_table_cl,2)</f>
        <v>0.5</v>
      </c>
      <c r="D70" s="695" t="s">
        <v>1253</v>
      </c>
    </row>
    <row r="71" spans="1:4" x14ac:dyDescent="0.2">
      <c r="A71" s="128" t="s">
        <v>2390</v>
      </c>
      <c r="B71" s="31" t="s">
        <v>2389</v>
      </c>
      <c r="C71" s="507">
        <f>NH4Cl_vol/1440</f>
        <v>0</v>
      </c>
      <c r="D71" s="695" t="s">
        <v>2765</v>
      </c>
    </row>
    <row r="72" spans="1:4" x14ac:dyDescent="0.2">
      <c r="A72" s="128" t="s">
        <v>2391</v>
      </c>
      <c r="B72" s="3" t="s">
        <v>2388</v>
      </c>
      <c r="C72" s="508">
        <f>IF(OR(nutrient_option=2,nutrient_option=4),VLOOKUP(NH4Cl_pipe_flow,pipe_size_table_cl,2),0)</f>
        <v>0</v>
      </c>
      <c r="D72" s="695" t="s">
        <v>1253</v>
      </c>
    </row>
    <row r="73" spans="1:4" x14ac:dyDescent="0.2">
      <c r="A73" s="128" t="s">
        <v>2392</v>
      </c>
      <c r="B73" s="31" t="s">
        <v>2386</v>
      </c>
      <c r="C73" s="507">
        <f>H3PO4_vol/1440</f>
        <v>2.3062786512995456E-4</v>
      </c>
      <c r="D73" s="695" t="s">
        <v>2765</v>
      </c>
    </row>
    <row r="74" spans="1:4" x14ac:dyDescent="0.2">
      <c r="A74" s="128" t="s">
        <v>2393</v>
      </c>
      <c r="B74" s="3" t="s">
        <v>2387</v>
      </c>
      <c r="C74" s="508">
        <f>IF(OR(nutrient_option=3,nutrient_option=4),VLOOKUP(H3PO4_pipe_flow,pipe_size_table_cl,2),0)</f>
        <v>0.5</v>
      </c>
      <c r="D74" s="695" t="s">
        <v>1253</v>
      </c>
    </row>
    <row r="75" spans="1:4" x14ac:dyDescent="0.2">
      <c r="A75" s="627" t="s">
        <v>2830</v>
      </c>
      <c r="B75" s="3" t="s">
        <v>2832</v>
      </c>
      <c r="C75" s="28">
        <f>design_flow_rate/aeration_tanks</f>
        <v>86.111111111111114</v>
      </c>
      <c r="D75" s="695" t="s">
        <v>2765</v>
      </c>
    </row>
    <row r="76" spans="1:4" x14ac:dyDescent="0.2">
      <c r="A76" s="627" t="s">
        <v>2831</v>
      </c>
      <c r="B76" s="3" t="s">
        <v>2833</v>
      </c>
      <c r="C76" s="26">
        <f>VLOOKUP(aer_tank_pipe_flow,pipe_size_table_cl,2)</f>
        <v>3</v>
      </c>
      <c r="D76" s="695" t="s">
        <v>1253</v>
      </c>
    </row>
    <row r="77" spans="1:4" x14ac:dyDescent="0.2">
      <c r="A77" s="627" t="s">
        <v>119</v>
      </c>
      <c r="B77" s="3" t="s">
        <v>122</v>
      </c>
      <c r="C77" s="507">
        <f>IF(include_post_h2o2=0,0,diluted_rate)</f>
        <v>0</v>
      </c>
      <c r="D77" s="694" t="s">
        <v>2765</v>
      </c>
    </row>
    <row r="78" spans="1:4" x14ac:dyDescent="0.2">
      <c r="A78" s="627" t="s">
        <v>120</v>
      </c>
      <c r="B78" s="3" t="s">
        <v>123</v>
      </c>
      <c r="C78" s="508">
        <f>IF(include_post_h2o2=0,0,VLOOKUP(H202_pipe_flow,pipe_size_table_cl,2))</f>
        <v>0</v>
      </c>
      <c r="D78" s="694" t="s">
        <v>1253</v>
      </c>
    </row>
    <row r="79" spans="1:4" x14ac:dyDescent="0.2">
      <c r="A79" s="732" t="s">
        <v>4249</v>
      </c>
      <c r="B79" s="31" t="s">
        <v>4250</v>
      </c>
      <c r="C79" s="507">
        <f>coag_rate/60+coag_rate_filt/60</f>
        <v>1.5151195499296768E-3</v>
      </c>
      <c r="D79" s="694" t="s">
        <v>2765</v>
      </c>
    </row>
    <row r="80" spans="1:4" x14ac:dyDescent="0.2">
      <c r="A80" s="732" t="s">
        <v>4251</v>
      </c>
      <c r="B80" s="3" t="s">
        <v>4252</v>
      </c>
      <c r="C80" s="508">
        <f>IF((coag_day_gal+coag_day_gal_filt)=0,0,VLOOKUP(coag_pipe_flow,pipe_size_table_cl,2))</f>
        <v>0.5</v>
      </c>
      <c r="D80" s="694" t="s">
        <v>1253</v>
      </c>
    </row>
    <row r="81" spans="1:4" x14ac:dyDescent="0.2">
      <c r="A81" s="627" t="s">
        <v>2899</v>
      </c>
      <c r="B81" s="31" t="s">
        <v>2901</v>
      </c>
      <c r="C81" s="507">
        <f>polymer_rate/60</f>
        <v>1.7945892857142858E-2</v>
      </c>
      <c r="D81" s="695" t="s">
        <v>2765</v>
      </c>
    </row>
    <row r="82" spans="1:4" x14ac:dyDescent="0.2">
      <c r="A82" s="627" t="s">
        <v>2900</v>
      </c>
      <c r="B82" s="3" t="s">
        <v>2902</v>
      </c>
      <c r="C82" s="508">
        <f>IF(polymer_day=0,0,VLOOKUP(polymer_pipe_flow,pipe_size_table_cl,2))</f>
        <v>0.5</v>
      </c>
      <c r="D82" s="695" t="s">
        <v>1253</v>
      </c>
    </row>
    <row r="83" spans="1:4" x14ac:dyDescent="0.2">
      <c r="A83" s="129" t="s">
        <v>3227</v>
      </c>
      <c r="B83" s="31" t="s">
        <v>3229</v>
      </c>
      <c r="C83" s="29">
        <f>bp_flow_rate</f>
        <v>0</v>
      </c>
      <c r="D83" s="695" t="s">
        <v>2765</v>
      </c>
    </row>
    <row r="84" spans="1:4" x14ac:dyDescent="0.2">
      <c r="A84" s="129" t="s">
        <v>3228</v>
      </c>
      <c r="B84" s="31" t="s">
        <v>3230</v>
      </c>
      <c r="C84" s="26">
        <f>IF(bp_pct&gt;0,VLOOKUP(bp_pipe_flow,pipe_size_table_cl,2),0)</f>
        <v>0</v>
      </c>
      <c r="D84" s="695" t="s">
        <v>1253</v>
      </c>
    </row>
    <row r="86" spans="1:4" x14ac:dyDescent="0.2">
      <c r="A86" s="656" t="s">
        <v>2301</v>
      </c>
    </row>
    <row r="87" spans="1:4" x14ac:dyDescent="0.2">
      <c r="A87" s="627" t="s">
        <v>2836</v>
      </c>
      <c r="B87" s="31" t="s">
        <v>2837</v>
      </c>
      <c r="C87" s="26">
        <f>ROUNDUP(2*(MAX((2*aeration_tank_vol/7.48/PI())^(1/3),(4*aeration_tank_vol/7.48/PI()/(Building_height-ceiling_clearance))^(1/2))),0)/2</f>
        <v>2</v>
      </c>
      <c r="D87" s="695" t="s">
        <v>605</v>
      </c>
    </row>
    <row r="88" spans="1:4" x14ac:dyDescent="0.2">
      <c r="A88" s="128" t="s">
        <v>1728</v>
      </c>
      <c r="B88" s="31" t="s">
        <v>1729</v>
      </c>
      <c r="C88" s="26">
        <f>ROUNDUP(2*(MAX((2*back_tank_vol/7.48/PI())^(1/3),(4*back_tank_vol/7.48/PI()/(Building_height-ceiling_clearance))^(1/2))),0)/2</f>
        <v>0</v>
      </c>
      <c r="D88" s="695" t="s">
        <v>605</v>
      </c>
    </row>
    <row r="89" spans="1:4" x14ac:dyDescent="0.2">
      <c r="A89" s="129" t="s">
        <v>2394</v>
      </c>
      <c r="B89" s="31" t="s">
        <v>2005</v>
      </c>
      <c r="C89" s="26">
        <f>ROUNDUP(2*(MAX((2*e_donor_tank_vol/7.48/PI())^(1/3),(4*e_donor_tank_vol/7.48/PI()/(Building_height-ceiling_clearance))^(1/2))),0)/2</f>
        <v>2</v>
      </c>
      <c r="D89" s="695" t="s">
        <v>605</v>
      </c>
    </row>
    <row r="90" spans="1:4" x14ac:dyDescent="0.2">
      <c r="A90" s="129" t="s">
        <v>2003</v>
      </c>
      <c r="B90" s="31" t="s">
        <v>2006</v>
      </c>
      <c r="C90" s="26">
        <f>ROUNDUP(2*(MAX((2*NH4Cl_tank_vol/7.48/PI())^(1/3),(4*NH4Cl_tank_vol/7.48/PI()/(Building_height-ceiling_clearance))^(1/2))),0)/2</f>
        <v>0</v>
      </c>
      <c r="D90" s="695" t="s">
        <v>605</v>
      </c>
    </row>
    <row r="91" spans="1:4" x14ac:dyDescent="0.2">
      <c r="A91" s="129" t="s">
        <v>2004</v>
      </c>
      <c r="B91" s="31" t="s">
        <v>2017</v>
      </c>
      <c r="C91" s="26">
        <f>ROUNDUP(2*(MAX((2*H3PO4_tank_vol/7.48/PI())^(1/3),(4*H3PO4_tank_vol/7.48/PI()/(Building_height-ceiling_clearance))^(1/2))),0)/2</f>
        <v>1</v>
      </c>
      <c r="D91" s="695" t="s">
        <v>605</v>
      </c>
    </row>
    <row r="92" spans="1:4" x14ac:dyDescent="0.2">
      <c r="A92" s="737" t="s">
        <v>921</v>
      </c>
      <c r="B92" s="31" t="s">
        <v>160</v>
      </c>
      <c r="C92" s="26">
        <f>ROUNDUP((MAX((2*H2O2_tank_vol/7.48/PI())^(1/3),(4*H2O2_tank_vol/7.48/PI()/(Building_height-ceiling_clearance))^(1/2))),0)</f>
        <v>0</v>
      </c>
      <c r="D92" s="695" t="s">
        <v>605</v>
      </c>
    </row>
    <row r="93" spans="1:4" x14ac:dyDescent="0.2">
      <c r="A93" s="737" t="s">
        <v>920</v>
      </c>
      <c r="B93" s="31" t="s">
        <v>922</v>
      </c>
      <c r="C93" s="26">
        <f>ROUNDUP((MAX((2*e_donor_day_tank_vol/7.48/PI())^(1/3),(4*e_donor_day_tank_vol/7.48/PI()/(Building_height-ceiling_clearance))^(1/2))),0)</f>
        <v>2</v>
      </c>
      <c r="D93" s="694" t="s">
        <v>605</v>
      </c>
    </row>
    <row r="94" spans="1:4" x14ac:dyDescent="0.2">
      <c r="A94" s="737" t="s">
        <v>928</v>
      </c>
      <c r="B94" s="31" t="s">
        <v>923</v>
      </c>
      <c r="C94" s="26">
        <f>ROUNDUP((MAX((2*NH4Cl_day_tank_vol/7.48/PI())^(1/3),(4*NH4Cl_day_tank_vol/7.48/PI()/(Building_height-ceiling_clearance))^(1/2))),0)</f>
        <v>0</v>
      </c>
      <c r="D94" s="694" t="s">
        <v>605</v>
      </c>
    </row>
    <row r="95" spans="1:4" x14ac:dyDescent="0.2">
      <c r="A95" s="737" t="s">
        <v>927</v>
      </c>
      <c r="B95" s="31" t="s">
        <v>924</v>
      </c>
      <c r="C95" s="26">
        <f>ROUNDUP((MAX((2*H3PO4_day_tank_vol/7.48/PI())^(1/3),(4*H3PO4_day_tank_vol/7.48/PI()/(Building_height-ceiling_clearance))^(1/2))),0)</f>
        <v>0</v>
      </c>
      <c r="D95" s="694" t="s">
        <v>605</v>
      </c>
    </row>
    <row r="96" spans="1:4" x14ac:dyDescent="0.2">
      <c r="A96" s="737" t="s">
        <v>926</v>
      </c>
      <c r="B96" s="31" t="s">
        <v>925</v>
      </c>
      <c r="C96" s="26">
        <f>ROUNDUP((MAX((2*H2O2_day_tank_vol/7.48/PI())^(1/3),(4*H2O2_day_tank_vol/7.48/PI()/(Building_height-ceiling_clearance))^(1/2))),0)</f>
        <v>0</v>
      </c>
      <c r="D96" s="694" t="s">
        <v>605</v>
      </c>
    </row>
    <row r="97" spans="1:4" x14ac:dyDescent="0.2">
      <c r="A97" s="128" t="s">
        <v>1842</v>
      </c>
      <c r="B97" s="31" t="s">
        <v>1843</v>
      </c>
      <c r="C97" s="26">
        <f>ROUNDUP(2*(MAX((2*htank_vol/7.48/PI())^(1/3),(4*htank_vol/7.48/PI()/(Building_height-ceiling_clearance))^(1/2))),0)/2</f>
        <v>7.5</v>
      </c>
      <c r="D97" s="695" t="s">
        <v>605</v>
      </c>
    </row>
    <row r="98" spans="1:4" x14ac:dyDescent="0.2">
      <c r="A98" s="737" t="s">
        <v>723</v>
      </c>
      <c r="B98" s="31" t="s">
        <v>724</v>
      </c>
      <c r="C98" s="26">
        <f>IF(sed_sludge_method=0,0,IF(component_level=2,ROUNDUP(2*(MAX((2*thick_tank_volume/7.48/PI())^(1/3),(4*thick_tank_volume/7.48/PI()/(Building_height-ceiling_clearance))^(1/2))),0)/2,thick_basin_diam))</f>
        <v>0</v>
      </c>
      <c r="D98" s="695" t="s">
        <v>605</v>
      </c>
    </row>
    <row r="99" spans="1:4" customFormat="1" x14ac:dyDescent="0.2">
      <c r="A99" s="770" t="s">
        <v>4253</v>
      </c>
      <c r="B99" s="31" t="s">
        <v>4254</v>
      </c>
      <c r="C99" s="26">
        <f>ROUNDUP((MAX((2*coag_tank_vol/7.48/PI())^(1/3),(4*coag_tank_vol/7.48/PI()/(Building_height-ceiling_clearance))^(1/2))),0)</f>
        <v>2</v>
      </c>
      <c r="D99" s="694" t="s">
        <v>605</v>
      </c>
    </row>
    <row r="100" spans="1:4" customFormat="1" x14ac:dyDescent="0.2">
      <c r="A100" s="770" t="s">
        <v>4337</v>
      </c>
      <c r="B100" s="31" t="s">
        <v>4338</v>
      </c>
      <c r="C100" s="26">
        <f>ROUNDUP((MAX((2*coag_day_tank_vol/7.48/PI())^(1/3),(4*coag_day_tank_vol/7.48/PI()/(Building_height-ceiling_clearance))^(1/2))),0)</f>
        <v>0</v>
      </c>
      <c r="D100" s="694" t="s">
        <v>605</v>
      </c>
    </row>
    <row r="101" spans="1:4" customFormat="1" x14ac:dyDescent="0.2">
      <c r="A101" s="737" t="s">
        <v>2903</v>
      </c>
      <c r="B101" s="31" t="s">
        <v>2904</v>
      </c>
      <c r="C101" s="26">
        <f>ROUNDUP(2*(MAX((2*polymer_tank_vol/7.48/PI())^(1/3),(4*polymer_tank_vol/7.48/PI()/(Building_height-ceiling_clearance))^(1/2))),0)/2</f>
        <v>1</v>
      </c>
      <c r="D101" s="695" t="s">
        <v>605</v>
      </c>
    </row>
    <row r="102" spans="1:4" customFormat="1" x14ac:dyDescent="0.2">
      <c r="A102" s="737" t="s">
        <v>366</v>
      </c>
      <c r="B102" s="31" t="s">
        <v>367</v>
      </c>
      <c r="C102" s="26">
        <f>ROUNDUP(2*(MAX((2*coag_mix_tank_size/7.48/PI())^(1/3),(4*coag_mix_tank_size/7.48/PI()/(Building_height-ceiling_clearance))^(1/2))),0)/2</f>
        <v>2</v>
      </c>
      <c r="D102" s="695" t="s">
        <v>605</v>
      </c>
    </row>
    <row r="103" spans="1:4" customFormat="1" x14ac:dyDescent="0.2">
      <c r="A103" s="128" t="s">
        <v>510</v>
      </c>
      <c r="B103" s="3" t="s">
        <v>511</v>
      </c>
      <c r="C103">
        <f>IF(AND(OR(design_type=1,design_type=3),ss_cat2=1),max_space_vessels_pre,max_space_vessels_cust)</f>
        <v>1</v>
      </c>
      <c r="D103" s="694" t="s">
        <v>605</v>
      </c>
    </row>
    <row r="104" spans="1:4" customFormat="1" x14ac:dyDescent="0.2">
      <c r="A104" s="128" t="s">
        <v>837</v>
      </c>
      <c r="B104" s="3" t="s">
        <v>849</v>
      </c>
      <c r="C104">
        <f>IF(tank_geom=2,max_space_vessels,IF(comm_diam&gt;max_space_vessels,max_space_vessels,comm_diam))</f>
        <v>1</v>
      </c>
      <c r="D104" s="694" t="s">
        <v>605</v>
      </c>
    </row>
    <row r="105" spans="1:4" customFormat="1" x14ac:dyDescent="0.2">
      <c r="A105" s="128" t="s">
        <v>1619</v>
      </c>
      <c r="B105" s="3" t="s">
        <v>2835</v>
      </c>
      <c r="C105" s="26">
        <f>IF(aer_tank_diam&gt;max_space_vessels,max_space_vessels,aer_tank_diam)</f>
        <v>1</v>
      </c>
      <c r="D105" s="694" t="s">
        <v>605</v>
      </c>
    </row>
    <row r="106" spans="1:4" customFormat="1" x14ac:dyDescent="0.2">
      <c r="A106" s="128" t="s">
        <v>1619</v>
      </c>
      <c r="B106" s="3" t="s">
        <v>1620</v>
      </c>
      <c r="C106" s="26">
        <f>IF(bt_diam&gt;max_space_vessels,max_space_vessels,bt_diam)</f>
        <v>0</v>
      </c>
      <c r="D106" s="694" t="s">
        <v>605</v>
      </c>
    </row>
    <row r="107" spans="1:4" customFormat="1" x14ac:dyDescent="0.2">
      <c r="A107" s="128" t="s">
        <v>2009</v>
      </c>
      <c r="B107" s="3" t="s">
        <v>2011</v>
      </c>
      <c r="C107" s="26">
        <f>IF(e_donor_st_diam&gt;max_space_vessels,max_space_vessels,e_donor_st_diam)</f>
        <v>1</v>
      </c>
      <c r="D107" s="694" t="s">
        <v>605</v>
      </c>
    </row>
    <row r="108" spans="1:4" customFormat="1" x14ac:dyDescent="0.2">
      <c r="A108" s="128" t="s">
        <v>2007</v>
      </c>
      <c r="B108" s="3" t="s">
        <v>2010</v>
      </c>
      <c r="C108" s="26">
        <f>IF(NH4Cl_st_diam&gt;max_space_vessels,max_space_vessels,NH4Cl_st_diam)</f>
        <v>0</v>
      </c>
      <c r="D108" s="694" t="s">
        <v>605</v>
      </c>
    </row>
    <row r="109" spans="1:4" customFormat="1" x14ac:dyDescent="0.2">
      <c r="A109" s="128" t="s">
        <v>2008</v>
      </c>
      <c r="B109" s="3" t="s">
        <v>2018</v>
      </c>
      <c r="C109" s="26">
        <f>IF(H3PO4_st_diam&gt;max_space_vessels,max_space_vessels,H3PO4_st_diam)</f>
        <v>1</v>
      </c>
      <c r="D109" s="694" t="s">
        <v>605</v>
      </c>
    </row>
    <row r="110" spans="1:4" customFormat="1" x14ac:dyDescent="0.2">
      <c r="A110" s="627" t="s">
        <v>161</v>
      </c>
      <c r="B110" s="3" t="s">
        <v>162</v>
      </c>
      <c r="C110" s="26">
        <f>IF(H2O2_st_diam&gt;max_space_vessels,max_space_vessels,H2O2_st_diam)</f>
        <v>0</v>
      </c>
      <c r="D110" s="694" t="s">
        <v>605</v>
      </c>
    </row>
    <row r="111" spans="1:4" customFormat="1" x14ac:dyDescent="0.2">
      <c r="A111" s="627" t="s">
        <v>918</v>
      </c>
      <c r="B111" s="3" t="s">
        <v>919</v>
      </c>
      <c r="C111" s="26">
        <f>IF(e_donor_dt_diam&gt;max_space_vessels,max_space_vessels,e_donor_dt_diam)</f>
        <v>1</v>
      </c>
      <c r="D111" s="694" t="s">
        <v>605</v>
      </c>
    </row>
    <row r="112" spans="1:4" customFormat="1" x14ac:dyDescent="0.2">
      <c r="A112" s="627" t="s">
        <v>929</v>
      </c>
      <c r="B112" s="3" t="s">
        <v>933</v>
      </c>
      <c r="C112" s="26">
        <f>IF(NH4Cl_dt_diam&gt;max_space_vessels,max_space_vessels,NH4Cl_dt_diam)</f>
        <v>0</v>
      </c>
      <c r="D112" s="694" t="s">
        <v>605</v>
      </c>
    </row>
    <row r="113" spans="1:5" customFormat="1" x14ac:dyDescent="0.2">
      <c r="A113" s="627" t="s">
        <v>930</v>
      </c>
      <c r="B113" s="3" t="s">
        <v>934</v>
      </c>
      <c r="C113" s="26">
        <f>IF(H3PO4_dt_diam&gt;max_space_vessels,max_space_vessels,H3PO4_dt_diam)</f>
        <v>0</v>
      </c>
      <c r="D113" s="694" t="s">
        <v>605</v>
      </c>
      <c r="E113" s="26"/>
    </row>
    <row r="114" spans="1:5" customFormat="1" x14ac:dyDescent="0.2">
      <c r="A114" s="627" t="s">
        <v>931</v>
      </c>
      <c r="B114" s="3" t="s">
        <v>932</v>
      </c>
      <c r="C114" s="26">
        <f>IF(H2O2_dt_diam&gt;max_space_vessels,max_space_vessels,H2O2_dt_diam)</f>
        <v>0</v>
      </c>
      <c r="D114" s="694" t="s">
        <v>605</v>
      </c>
      <c r="E114" s="26"/>
    </row>
    <row r="115" spans="1:5" customFormat="1" x14ac:dyDescent="0.2">
      <c r="A115" s="128" t="s">
        <v>1278</v>
      </c>
      <c r="B115" s="3" t="s">
        <v>1279</v>
      </c>
      <c r="C115" s="26">
        <f>IF(ht_diam&gt;max_space_vessels,max_space_vessels,ht_diam)</f>
        <v>1</v>
      </c>
      <c r="D115" s="694" t="s">
        <v>605</v>
      </c>
      <c r="E115" s="26"/>
    </row>
    <row r="116" spans="1:5" customFormat="1" x14ac:dyDescent="0.2">
      <c r="A116" s="128" t="s">
        <v>725</v>
      </c>
      <c r="B116" s="3" t="s">
        <v>726</v>
      </c>
      <c r="C116" s="26">
        <f>IF(thick_diam&gt;max_space_vessels,max_space_vessels,thick_diam)</f>
        <v>0</v>
      </c>
      <c r="D116" s="694" t="s">
        <v>605</v>
      </c>
      <c r="E116" s="26"/>
    </row>
    <row r="117" spans="1:5" customFormat="1" x14ac:dyDescent="0.2">
      <c r="A117" s="732" t="s">
        <v>4256</v>
      </c>
      <c r="B117" s="3" t="s">
        <v>4257</v>
      </c>
      <c r="C117">
        <f>IF(coag_st_diam&gt;max_space_vessels,max_space_vessels,coag_st_diam)</f>
        <v>1</v>
      </c>
      <c r="D117" s="694" t="s">
        <v>605</v>
      </c>
      <c r="E117" s="26"/>
    </row>
    <row r="118" spans="1:5" customFormat="1" x14ac:dyDescent="0.2">
      <c r="A118" s="732" t="s">
        <v>4256</v>
      </c>
      <c r="B118" s="3" t="s">
        <v>4339</v>
      </c>
      <c r="C118">
        <f>IF(coag_dt_diam&gt;max_space_vessels,max_space_vessels,coag_dt_diam)</f>
        <v>0</v>
      </c>
      <c r="D118" s="694" t="s">
        <v>605</v>
      </c>
      <c r="E118" s="26"/>
    </row>
    <row r="119" spans="1:5" customFormat="1" x14ac:dyDescent="0.2">
      <c r="A119" s="732" t="s">
        <v>4255</v>
      </c>
      <c r="B119" s="3" t="s">
        <v>2905</v>
      </c>
      <c r="C119" s="26">
        <f>IF(polymer_st_diam&gt;max_space_vessels,max_space_vessels,polymer_st_diam)</f>
        <v>1</v>
      </c>
      <c r="D119" s="694" t="s">
        <v>605</v>
      </c>
      <c r="E119" s="26"/>
    </row>
    <row r="120" spans="1:5" customFormat="1" x14ac:dyDescent="0.2">
      <c r="A120" s="627" t="s">
        <v>368</v>
      </c>
      <c r="B120" s="3" t="s">
        <v>369</v>
      </c>
      <c r="C120" s="26">
        <f>IF(coag_mix_diam&gt;max_space_vessels,max_space_vessels,coag_mix_diam)</f>
        <v>1</v>
      </c>
      <c r="D120" s="694" t="s">
        <v>605</v>
      </c>
      <c r="E120" s="26"/>
    </row>
    <row r="121" spans="1:5" customFormat="1" x14ac:dyDescent="0.2">
      <c r="A121" s="128" t="s">
        <v>2338</v>
      </c>
      <c r="B121" s="3" t="s">
        <v>2339</v>
      </c>
      <c r="C121">
        <f>IF(AND(design_type=1,ss_cat2=1),space_pumps_pre,space_pumps_cust)</f>
        <v>0</v>
      </c>
      <c r="D121" s="694" t="s">
        <v>605</v>
      </c>
      <c r="E121" s="26"/>
    </row>
    <row r="122" spans="1:5" customFormat="1" x14ac:dyDescent="0.2">
      <c r="A122" s="732" t="s">
        <v>4014</v>
      </c>
      <c r="B122" s="3" t="s">
        <v>4015</v>
      </c>
      <c r="C122" s="10">
        <f>IF(design_type=2,total_num_basins*basin_area*2,0)</f>
        <v>0</v>
      </c>
      <c r="D122" s="694" t="s">
        <v>1226</v>
      </c>
      <c r="E122" s="7" t="s">
        <v>1961</v>
      </c>
    </row>
    <row r="123" spans="1:5" customFormat="1" x14ac:dyDescent="0.2">
      <c r="A123" s="128" t="s">
        <v>3387</v>
      </c>
      <c r="B123" s="3"/>
      <c r="C123" s="28">
        <f>IF(design_type=2,0,IF(tank_geom=1,ROUNDUP(((comm_diam+2*space_vessels)^2+(final_num_tanks-1)*(comm_diam+2*space_vessels)*(comm_diam+space_vessels)),0),IF(tank_geom=2,ROUNDUP((comm_diam+2*space_vessels)*(comm_height_length+2*space_vessels)+(final_num_tanks-1)*(comm_height_length+2*space_vessels)*(comm_diam+space_vessels),0))))</f>
        <v>96</v>
      </c>
      <c r="D123" s="694" t="s">
        <v>1226</v>
      </c>
      <c r="E123" s="7"/>
    </row>
    <row r="124" spans="1:5" customFormat="1" x14ac:dyDescent="0.2">
      <c r="A124" s="128" t="s">
        <v>3388</v>
      </c>
      <c r="B124" s="3"/>
      <c r="C124" s="28">
        <f>IF(design_type=2,0,IF(tank_geom=1,ROUNDUP(((comm_diam+2*space_vessels)^2+(final_num_tanks-1)*(comm_diam+2*space_vessels)*(comm_diam+space_vessels/2)),0),IF(tank_geom=2,ROUNDUP((comm_diam+2*space_vessels)*(comm_height_length+2*space_vessels)+(final_num_tanks-1)*(comm_height_length+2*space_vessels)*(comm_diam+space_vessels/2),0))))</f>
        <v>90</v>
      </c>
      <c r="D124" s="694" t="s">
        <v>1226</v>
      </c>
      <c r="E124" s="7" t="s">
        <v>3389</v>
      </c>
    </row>
    <row r="125" spans="1:5" customFormat="1" x14ac:dyDescent="0.2">
      <c r="A125" s="129" t="s">
        <v>2302</v>
      </c>
      <c r="B125" s="31" t="s">
        <v>2303</v>
      </c>
      <c r="C125" s="28">
        <f>IF(ss_cat2=1,C124,C123)</f>
        <v>90</v>
      </c>
      <c r="D125" s="695" t="s">
        <v>1226</v>
      </c>
      <c r="E125" s="26"/>
    </row>
    <row r="126" spans="1:5" customFormat="1" x14ac:dyDescent="0.2">
      <c r="A126" s="737" t="s">
        <v>2839</v>
      </c>
      <c r="B126" s="31" t="s">
        <v>2838</v>
      </c>
      <c r="C126" s="28">
        <f>IF(aeration_tanks=0,0,ROUNDUP((aer_tank_diam+2*space_aer)^2+(aeration_tanks-1)*(aer_tank_diam+2*space_aer)*(aer_tank_diam+space_aer),0))</f>
        <v>16</v>
      </c>
      <c r="D126" s="695" t="s">
        <v>1226</v>
      </c>
      <c r="E126" s="26"/>
    </row>
    <row r="127" spans="1:5" customFormat="1" x14ac:dyDescent="0.2">
      <c r="A127" s="129" t="s">
        <v>2304</v>
      </c>
      <c r="B127" s="31" t="s">
        <v>2305</v>
      </c>
      <c r="C127" s="28">
        <f>IF(back_tanks=0,0,ROUNDUP((bt_diam+2*space_bt)^2+(back_tanks-1)*(bt_diam+2*space_bt)*(bt_diam+space_bt),0))</f>
        <v>0</v>
      </c>
      <c r="D127" s="695" t="s">
        <v>1226</v>
      </c>
      <c r="E127" s="26"/>
    </row>
    <row r="128" spans="1:5" customFormat="1" x14ac:dyDescent="0.2">
      <c r="A128" s="737" t="s">
        <v>370</v>
      </c>
      <c r="B128" s="31" t="s">
        <v>371</v>
      </c>
      <c r="C128" s="28">
        <f>IF(coag_mix_tank=0,0,ROUNDUP((coag_mix_diam+2*space_coag_mix)^2+(coag_mix_tank-1)*(coag_mix_diam+2*space_coag_mix)*(coag_mix_diam+space_coag_mix),0))</f>
        <v>16</v>
      </c>
      <c r="D128" s="695" t="s">
        <v>1226</v>
      </c>
      <c r="E128" s="26"/>
    </row>
    <row r="129" spans="1:5" customFormat="1" x14ac:dyDescent="0.2">
      <c r="A129" s="627" t="s">
        <v>2577</v>
      </c>
      <c r="B129" s="31"/>
      <c r="C129" s="28">
        <f>IF(total_booster_pumps=0,0,ROUNDUP((VLOOKUP(pump_rating,pump_dim_table_cl,3)+space_pumps)*(VLOOKUP(pump_rating,pump_dim_table_cl,4)+2*space_pumps)+(total_booster_pumps-1)*(VLOOKUP(pump_rating,pump_dim_table_cl,3)+space_pumps)*(VLOOKUP(pump_rating,pump_dim_table_cl,4)+space_pumps),0))</f>
        <v>0</v>
      </c>
      <c r="D129" s="695" t="s">
        <v>1226</v>
      </c>
      <c r="E129" s="26"/>
    </row>
    <row r="130" spans="1:5" customFormat="1" x14ac:dyDescent="0.2">
      <c r="A130" s="627" t="s">
        <v>2784</v>
      </c>
      <c r="B130" s="31"/>
      <c r="C130" s="10">
        <f>IF(design_type=3,ROUNDUP((VLOOKUP(recycle_pump_rating,pump_dim_table_cl,3)+space_pumps)*(VLOOKUP(recycle_pump_rating,pump_dim_table_cl,4)+2*space_pumps)+(recycle_pumps-1)*(VLOOKUP(recycle_pump_rating,pump_dim_table_cl,3)+space_pumps)*(VLOOKUP(recycle_pump_rating,pump_dim_table_cl,4)+space_pumps),0),0)</f>
        <v>0</v>
      </c>
      <c r="D130" s="695" t="s">
        <v>1226</v>
      </c>
      <c r="E130" s="26"/>
    </row>
    <row r="131" spans="1:5" customFormat="1" x14ac:dyDescent="0.2">
      <c r="A131" s="627" t="s">
        <v>23</v>
      </c>
      <c r="B131" s="3"/>
      <c r="C131" s="10">
        <f>IF(backwash_pumps=0,0,ROUNDUP((VLOOKUP(back_pump_rating,pump_dim_table_cl,3)+space_pumps)*(VLOOKUP(back_pump_rating,pump_dim_table_cl,4)+2*space_pumps)+(backwash_pumps-1)*(VLOOKUP(back_pump_rating,pump_dim_table_cl,3)+space_pumps)*(VLOOKUP(back_pump_rating,pump_dim_table_cl,4)+space_pumps),0))</f>
        <v>0</v>
      </c>
      <c r="D131" s="695" t="s">
        <v>1226</v>
      </c>
      <c r="E131" s="26"/>
    </row>
    <row r="132" spans="1:5" customFormat="1" x14ac:dyDescent="0.2">
      <c r="A132" s="627" t="s">
        <v>1280</v>
      </c>
      <c r="B132" s="3"/>
      <c r="C132" s="10">
        <f>IF(res_pumps=0,0,ROUNDUP((VLOOKUP(res_pump_rating,pump_dim_table_cl,3)+space_pumps)*(VLOOKUP(res_pump_rating,pump_dim_table_cl,4)+2*space_pumps)+(res_pumps-1)*(VLOOKUP(res_pump_rating,pump_dim_table_cl,3)+space_pumps)*(VLOOKUP(res_pump_rating,pump_dim_table_cl,4)+space_pumps),0))</f>
        <v>13</v>
      </c>
      <c r="D132" s="695" t="s">
        <v>1226</v>
      </c>
      <c r="E132" s="26"/>
    </row>
    <row r="133" spans="1:5" customFormat="1" x14ac:dyDescent="0.2">
      <c r="A133" s="627" t="s">
        <v>2834</v>
      </c>
      <c r="B133" s="3"/>
      <c r="C133" s="10">
        <f>IF(num_aeration_blowers=0,0,ROUNDUP((VLOOKUP(design_air_flow_aeration,blow_dim_table_cl,7)+2*space_pumps)*(VLOOKUP(design_air_flow_aeration,blow_dim_table_cl,8)+2*space_pumps)+(num_aeration_blowers-1)*(VLOOKUP(design_air_flow_aeration,blow_dim_table_cl,7)+2*space_pumps)*(VLOOKUP(design_air_flow_aeration,blow_dim_table_cl,8)+space_pumps),0))</f>
        <v>14</v>
      </c>
      <c r="D133" s="695" t="s">
        <v>1226</v>
      </c>
      <c r="E133" s="26"/>
    </row>
    <row r="134" spans="1:5" customFormat="1" x14ac:dyDescent="0.2">
      <c r="A134" s="627" t="s">
        <v>2196</v>
      </c>
      <c r="B134" s="3"/>
      <c r="C134" s="10">
        <f>IF(num_blowers=0,0,ROUNDUP((VLOOKUP(design_air_flow,blow_dim_table_cl,7)+2*space_pumps)*(VLOOKUP(design_air_flow,blow_dim_table_cl,8)+2*space_pumps)+(num_blowers-1)*(VLOOKUP(design_air_flow,blow_dim_table_cl,7)+2*space_pumps)*(VLOOKUP(design_air_flow,blow_dim_table_cl,8)+space_pumps),0))</f>
        <v>7</v>
      </c>
      <c r="D134" s="695" t="s">
        <v>1226</v>
      </c>
      <c r="E134" s="26"/>
    </row>
    <row r="135" spans="1:5" customFormat="1" x14ac:dyDescent="0.2">
      <c r="A135" s="627" t="s">
        <v>2197</v>
      </c>
      <c r="B135" s="3"/>
      <c r="C135" s="10">
        <f>IF(num_bio_blowers=0,0,ROUNDUP((VLOOKUP(design_air_flow_bio,blow_dim_table_cl,7)+2*space_pumps)*(VLOOKUP(design_air_flow_bio,blow_dim_table_cl,8)+2*space_pumps)+(num_bio_blowers-1)*(VLOOKUP(design_air_flow_bio,blow_dim_table_cl,7)+2*space_pumps)*(VLOOKUP(design_air_flow_bio,blow_dim_table_cl,8)+space_pumps),0))</f>
        <v>0</v>
      </c>
      <c r="D135" s="695" t="s">
        <v>1226</v>
      </c>
      <c r="E135" s="26"/>
    </row>
    <row r="136" spans="1:5" customFormat="1" ht="12.75" customHeight="1" x14ac:dyDescent="0.2">
      <c r="A136" s="129" t="s">
        <v>2306</v>
      </c>
      <c r="B136" s="31" t="s">
        <v>3145</v>
      </c>
      <c r="C136" s="28">
        <f>C131+C129+C132+C130</f>
        <v>13</v>
      </c>
      <c r="D136" s="695" t="s">
        <v>1226</v>
      </c>
      <c r="E136" s="26"/>
    </row>
    <row r="137" spans="1:5" customFormat="1" x14ac:dyDescent="0.2">
      <c r="A137" s="129" t="s">
        <v>1281</v>
      </c>
      <c r="B137" s="85" t="s">
        <v>1282</v>
      </c>
      <c r="C137" s="10">
        <f>IF(res_holding&lt;&gt;"tanks",0,ROUNDUP((ht_diam+2*space_ht)^2+(htanks-1)*(ht_diam+2*space_ht)*(ht_diam+space_ht),0))</f>
        <v>0</v>
      </c>
      <c r="D137" s="695" t="s">
        <v>1226</v>
      </c>
      <c r="E137" s="30"/>
    </row>
    <row r="138" spans="1:5" customFormat="1" x14ac:dyDescent="0.2">
      <c r="A138" s="129" t="s">
        <v>655</v>
      </c>
      <c r="B138" s="85" t="s">
        <v>656</v>
      </c>
      <c r="C138" s="10">
        <f>IF(res_holding&lt;&gt;"basins",0,ROUNDUP(hbasins*hbasin_length*hbasin_width*2,0))</f>
        <v>162</v>
      </c>
      <c r="D138" s="695" t="s">
        <v>1226</v>
      </c>
      <c r="E138" s="30"/>
    </row>
    <row r="139" spans="1:5" customFormat="1" x14ac:dyDescent="0.2">
      <c r="A139" s="737" t="s">
        <v>2198</v>
      </c>
      <c r="B139" s="85" t="s">
        <v>3454</v>
      </c>
      <c r="C139" s="10">
        <f>C134+C135+C133</f>
        <v>21</v>
      </c>
      <c r="D139" s="695" t="s">
        <v>1226</v>
      </c>
      <c r="E139" s="30"/>
    </row>
    <row r="140" spans="1:5" customFormat="1" x14ac:dyDescent="0.2">
      <c r="A140" s="129" t="s">
        <v>2012</v>
      </c>
      <c r="B140" s="85" t="s">
        <v>2013</v>
      </c>
      <c r="C140" s="10">
        <f>IF(e_donor_tanks=0,0,ROUNDUP((e_donor_st_diam+2*space_e_donor_st)^2+(e_donor_tanks-1)*(e_donor_st_diam+2*space_e_donor_st)*(e_donor_st_diam+space_e_donor_st),0))</f>
        <v>16</v>
      </c>
      <c r="D140" s="695" t="s">
        <v>1226</v>
      </c>
      <c r="E140" s="30"/>
    </row>
    <row r="141" spans="1:5" customFormat="1" x14ac:dyDescent="0.2">
      <c r="A141" s="129" t="s">
        <v>2015</v>
      </c>
      <c r="B141" s="85" t="s">
        <v>2016</v>
      </c>
      <c r="C141" s="10">
        <f>IF(NH4Cl_tanks=0,0,ROUNDUP((NH4Cl_st_diam+2*space_NH4Cl_st)^2+(NH4Cl_tanks-1)*(NH4Cl_st_diam+2*space_NH4Cl_st)*(NH4Cl_st_diam+space_NH4Cl_st),0))</f>
        <v>0</v>
      </c>
      <c r="D141" s="695" t="s">
        <v>1226</v>
      </c>
      <c r="E141" s="30"/>
    </row>
    <row r="142" spans="1:5" customFormat="1" x14ac:dyDescent="0.2">
      <c r="A142" s="129" t="s">
        <v>2014</v>
      </c>
      <c r="B142" s="85" t="s">
        <v>2019</v>
      </c>
      <c r="C142" s="10">
        <f>IF(H3PO4_tanks=0,0,ROUNDUP((H3PO4_st_diam+2*space_H3PO4_st)^2+(H3PO4_tanks-1)*(H3PO4_st_diam+2*space_H3PO4_st)*(H3PO4_st_diam+space_H3PO4_st),0))</f>
        <v>9</v>
      </c>
      <c r="D142" s="695" t="s">
        <v>1226</v>
      </c>
      <c r="E142" s="30"/>
    </row>
    <row r="143" spans="1:5" customFormat="1" x14ac:dyDescent="0.2">
      <c r="A143" s="737" t="s">
        <v>163</v>
      </c>
      <c r="B143" s="85" t="s">
        <v>164</v>
      </c>
      <c r="C143" s="10">
        <f>IF(H2O2_tanks=0,0,ROUNDUP((H2O2_st_diam+2*space_H2O2_st)^2+(H2O2_tanks-1)*(H2O2_st_diam+2*space_H2O2_st)*(H2O2_st_diam+space_H2O2_st),0))</f>
        <v>0</v>
      </c>
      <c r="D143" s="695" t="s">
        <v>1226</v>
      </c>
      <c r="E143" s="30"/>
    </row>
    <row r="144" spans="1:5" customFormat="1" x14ac:dyDescent="0.2">
      <c r="A144" s="737" t="s">
        <v>935</v>
      </c>
      <c r="B144" s="85" t="s">
        <v>939</v>
      </c>
      <c r="C144" s="10">
        <f>IF(e_donor_tanks=0,0,ROUNDUP((e_donor_st_diam+2*space_e_donor_st)^2+(e_donor_tanks-1)*(e_donor_st_diam+2*space_e_donor_st)*(e_donor_st_diam+space_e_donor_st),0))</f>
        <v>16</v>
      </c>
      <c r="D144" s="695" t="s">
        <v>1226</v>
      </c>
      <c r="E144" s="30"/>
    </row>
    <row r="145" spans="1:5" customFormat="1" x14ac:dyDescent="0.2">
      <c r="A145" s="737" t="s">
        <v>936</v>
      </c>
      <c r="B145" s="85" t="s">
        <v>940</v>
      </c>
      <c r="C145" s="10">
        <f>IF(NH4Cl_day_tanks=0,0,ROUNDUP((NH4Cl_dt_diam+2*space_NH4Cl_dt)^2+(NH4Cl_day_tanks-1)*(NH4Cl_dt_diam+2*space_NH4Cl_dt)*(NH4Cl_dt_diam+space_NH4Cl_dt),0))</f>
        <v>0</v>
      </c>
      <c r="D145" s="695" t="s">
        <v>1226</v>
      </c>
      <c r="E145" s="30"/>
    </row>
    <row r="146" spans="1:5" customFormat="1" x14ac:dyDescent="0.2">
      <c r="A146" s="737" t="s">
        <v>937</v>
      </c>
      <c r="B146" s="85" t="s">
        <v>941</v>
      </c>
      <c r="C146" s="10">
        <f>IF(H3PO4_day_tanks=0,0,ROUNDUP((H3PO4_dt_diam+2*space_H3PO4_dt)^2+(H3PO4_day_tanks-1)*(H3PO4_dt_diam+2*space_H3PO4_dt)*(H3PO4_dt_diam+space_H3PO4_dt),0))</f>
        <v>0</v>
      </c>
      <c r="D146" s="695" t="s">
        <v>1226</v>
      </c>
      <c r="E146" s="30"/>
    </row>
    <row r="147" spans="1:5" customFormat="1" x14ac:dyDescent="0.2">
      <c r="A147" s="737" t="s">
        <v>938</v>
      </c>
      <c r="B147" s="85" t="s">
        <v>942</v>
      </c>
      <c r="C147" s="10">
        <f>IF(H2O2_day_tanks=0,0,ROUNDUP((H2O2_dt_diam+2*space_H2O2_dt)^2+(H2O2_day_tanks-1)*(H2O2_dt_diam+2*space_H2O2_dt)*(H2O2_dt_diam+space_H2O2_dt),0))</f>
        <v>0</v>
      </c>
      <c r="D147" s="695" t="s">
        <v>1226</v>
      </c>
      <c r="E147" s="30"/>
    </row>
    <row r="148" spans="1:5" customFormat="1" x14ac:dyDescent="0.2">
      <c r="A148" s="770" t="s">
        <v>4258</v>
      </c>
      <c r="B148" s="85" t="s">
        <v>4259</v>
      </c>
      <c r="C148" s="10">
        <f>IF(coag_tanks=0,0,ROUNDUP((coag_st_diam+2*space_coag_st)^2+(coag_tanks-1)*(coag_st_diam+2*space_coag_st)*(coag_st_diam+space_coag_st),0))</f>
        <v>16</v>
      </c>
      <c r="D148" s="695" t="s">
        <v>1226</v>
      </c>
      <c r="E148" s="30"/>
    </row>
    <row r="149" spans="1:5" customFormat="1" x14ac:dyDescent="0.2">
      <c r="A149" s="770" t="s">
        <v>4340</v>
      </c>
      <c r="B149" s="85" t="s">
        <v>4341</v>
      </c>
      <c r="C149" s="10">
        <f>IF(coag_day_tanks=0,0,ROUNDUP((coag_dt_diam+2*space_coag_dt)^2+(coag_day_tanks-1)*(coag_dt_diam+2*space_coag_dt)*(coag_dt_diam+space_coag_dt),0))</f>
        <v>0</v>
      </c>
      <c r="D149" s="695" t="s">
        <v>1226</v>
      </c>
      <c r="E149" s="30"/>
    </row>
    <row r="150" spans="1:5" customFormat="1" x14ac:dyDescent="0.2">
      <c r="A150" s="737" t="s">
        <v>2906</v>
      </c>
      <c r="B150" s="85" t="s">
        <v>2907</v>
      </c>
      <c r="C150" s="10">
        <f>IF(polymer_tanks=0,0,ROUNDUP((polymer_st_diam+2*space_polymer_st)^2+(polymer_tanks-1)*(polymer_st_diam+2*space_polymer_st)*(polymer_st_diam+space_polymer_st),0))</f>
        <v>9</v>
      </c>
      <c r="D150" s="695" t="s">
        <v>1226</v>
      </c>
      <c r="E150" s="30"/>
    </row>
    <row r="151" spans="1:5" customFormat="1" x14ac:dyDescent="0.2">
      <c r="A151" s="737" t="s">
        <v>3023</v>
      </c>
      <c r="B151" s="85" t="s">
        <v>1960</v>
      </c>
      <c r="C151" s="10">
        <f>IF(filter_type=1,total_num_filt_basins*filt_basin_area*2,0)</f>
        <v>0</v>
      </c>
      <c r="D151" s="695" t="s">
        <v>1226</v>
      </c>
      <c r="E151" s="7" t="s">
        <v>1961</v>
      </c>
    </row>
    <row r="152" spans="1:5" customFormat="1" x14ac:dyDescent="0.2">
      <c r="A152" s="737" t="s">
        <v>761</v>
      </c>
      <c r="B152" s="85" t="s">
        <v>697</v>
      </c>
      <c r="C152" s="10">
        <f>IF(sed_sludge_method=0,0,IF(OUTPUT!L495=1,2*thick_basins*thick_basin_diam^2,ROUNDUP((thick_diam+2*space_thick)^2+(thick_tanks-1)*(thick_diam+2*space_thick)*(thick_diam+space_thick),0)))</f>
        <v>0</v>
      </c>
      <c r="D152" s="695" t="s">
        <v>1226</v>
      </c>
      <c r="E152" s="7"/>
    </row>
    <row r="153" spans="1:5" customFormat="1" x14ac:dyDescent="0.2">
      <c r="A153" s="737" t="s">
        <v>696</v>
      </c>
      <c r="B153" s="85" t="s">
        <v>698</v>
      </c>
      <c r="C153" s="10">
        <f>IF(num_belt_press&gt;0,num_belt_press*(VLOOKUP(belt_press_size,belt_press_dimension,2,FALSE)/12*VLOOKUP(belt_press_size,belt_press_dimension,3,FALSE)/12),0)</f>
        <v>0</v>
      </c>
      <c r="D153" s="695" t="s">
        <v>1226</v>
      </c>
      <c r="E153" s="7"/>
    </row>
    <row r="154" spans="1:5" customFormat="1" x14ac:dyDescent="0.2">
      <c r="A154" s="128" t="s">
        <v>3387</v>
      </c>
      <c r="B154" s="3"/>
      <c r="C154" s="28">
        <f>IF(filter_type=2,IF(tank_geom_filt=1,ROUNDUP(((filt_comm_diam+2*space_vessels)^2+(final_num_tanks_filt-1)*(filt_comm_diam+2*space_vessels)*(filt_comm_diam+space_vessels)),0),IF(tank_geom_filt=2,ROUNDUP((filt_comm_diam+2*space_vessels)*(filt_comm_height_length+2*space_vessels)+(final_num_tanks_filt-1)*(filt_comm_height_length+2*space_vessels)*(filt_comm_diam+space_vessels),0))),0)</f>
        <v>66</v>
      </c>
      <c r="D154" s="694" t="s">
        <v>1226</v>
      </c>
      <c r="E154" s="7"/>
    </row>
    <row r="155" spans="1:5" customFormat="1" x14ac:dyDescent="0.2">
      <c r="A155" s="128" t="s">
        <v>3388</v>
      </c>
      <c r="B155" s="3"/>
      <c r="C155" s="28">
        <f>IF(filter_type=2,IF(tank_geom_filt=1,ROUNDUP(((filt_comm_diam+2*space_vessels)^2+(final_num_tanks_filt-1)*(filt_comm_diam+2*space_vessels)*(filt_comm_diam+space_vessels/2)),0),IF(tank_geom_filt=2,ROUNDUP((filt_comm_diam+2*space_vessels)*(filt_comm_height_length+2*space_vessels)+(final_num_tanks_filt-1)*(filt_comm_height_length+2*space_vessels)*(filt_comm_diam+space_vessels/2),0))),0)</f>
        <v>63</v>
      </c>
      <c r="D155" s="694" t="s">
        <v>1226</v>
      </c>
      <c r="E155" s="7" t="s">
        <v>3389</v>
      </c>
    </row>
    <row r="156" spans="1:5" customFormat="1" x14ac:dyDescent="0.2">
      <c r="A156" s="129" t="s">
        <v>2302</v>
      </c>
      <c r="B156" s="31" t="s">
        <v>3024</v>
      </c>
      <c r="C156" s="28">
        <f>IF(filter_type=2,IF(ss_cat2=1,C155,C154),0)</f>
        <v>63</v>
      </c>
      <c r="D156" s="695" t="s">
        <v>1226</v>
      </c>
      <c r="E156" s="26"/>
    </row>
    <row r="157" spans="1:5" customFormat="1" x14ac:dyDescent="0.2">
      <c r="A157" s="128" t="s">
        <v>2173</v>
      </c>
      <c r="B157" s="3" t="s">
        <v>2174</v>
      </c>
      <c r="C157" s="62">
        <f>VLOOKUP(design_flow,labor_table_cl,3)*IF(ss_cat2=1,space_office_small,space_office)</f>
        <v>0</v>
      </c>
      <c r="D157" s="695" t="s">
        <v>1226</v>
      </c>
      <c r="E157" s="30"/>
    </row>
    <row r="158" spans="1:5" customFormat="1" x14ac:dyDescent="0.2">
      <c r="A158" s="129" t="s">
        <v>3647</v>
      </c>
      <c r="B158" s="31" t="s">
        <v>3648</v>
      </c>
      <c r="C158" s="41">
        <f>pump_fp+basin_fp+vessel_fp+back_tank_fp+office_fp+htank_fp+hbasin_fp+blower_fp+e_donor_fp+NH4Cl_donor_fp+H3PO4_donor_fp+H2O2_donor_fp+filter_fp+e_donor_day_fp+NH4Cl_donor_day_fp+H3PO4_donor_day_fp+H2O2_donor_day_fp+aer_tank_fp+coag_fp+coag_day_fp+polymer_fp+filter_vessel_fp+coag_mix_fp+thick_fp+belt_press_fp</f>
        <v>447</v>
      </c>
      <c r="D158" s="695" t="s">
        <v>1226</v>
      </c>
      <c r="E158" s="30"/>
    </row>
    <row r="159" spans="1:5" customFormat="1" x14ac:dyDescent="0.2">
      <c r="A159" s="129" t="s">
        <v>2453</v>
      </c>
      <c r="B159" s="31" t="s">
        <v>2454</v>
      </c>
      <c r="C159" s="28">
        <f>ROUNDUP(IF(fp_required&lt;add_2nd_building,fp_required,basin_fp+vessel_fp+filter_fp+filter_vessel_fp+aer_tank_fp),-1)</f>
        <v>450</v>
      </c>
      <c r="D159" s="695" t="s">
        <v>1226</v>
      </c>
      <c r="E159" s="7" t="s">
        <v>372</v>
      </c>
    </row>
    <row r="160" spans="1:5" customFormat="1" x14ac:dyDescent="0.2">
      <c r="A160" s="129" t="s">
        <v>2452</v>
      </c>
      <c r="B160" s="31" t="s">
        <v>2455</v>
      </c>
      <c r="C160" s="28">
        <f>ROUNDUP(IF(fp_required&lt;add_2nd_building,0,pump_fp+back_tank_fp+office_fp+htank_fp+hbasin_fp+e_donor_fp+NH4Cl_donor_fp+H3PO4_donor_fp+H2O2_donor_fp+blower_fp+e_donor_day_fp+NH4Cl_donor_day_fp+H3PO4_donor_day_fp+H2O2_donor_day_fp+coag_fp+coag_day_fp+polymer_fp+coag_mix_fp+thick_fp+belt_press_fp),-1)</f>
        <v>0</v>
      </c>
      <c r="D160" s="695" t="s">
        <v>1226</v>
      </c>
      <c r="E160" s="7" t="s">
        <v>3894</v>
      </c>
    </row>
    <row r="161" spans="1:5" customFormat="1" x14ac:dyDescent="0.2">
      <c r="A161" s="129" t="s">
        <v>1339</v>
      </c>
      <c r="B161" s="31" t="s">
        <v>2334</v>
      </c>
      <c r="C161" s="41">
        <f>build1_fp+build2_fp</f>
        <v>450</v>
      </c>
      <c r="D161" s="695" t="s">
        <v>1226</v>
      </c>
      <c r="E161" s="30"/>
    </row>
    <row r="162" spans="1:5" customFormat="1" x14ac:dyDescent="0.2">
      <c r="A162" s="129" t="s">
        <v>2335</v>
      </c>
      <c r="B162" s="31" t="s">
        <v>2336</v>
      </c>
      <c r="C162" s="26">
        <f>ROUNDUP((fp_required-office_fp)*IF(ss_cat2=1,pad_thick_small,pad_thick)/27,0)</f>
        <v>6</v>
      </c>
      <c r="D162" s="695" t="s">
        <v>2337</v>
      </c>
      <c r="E162" s="26"/>
    </row>
    <row r="163" spans="1:5" customFormat="1" x14ac:dyDescent="0.2">
      <c r="A163" s="129" t="s">
        <v>571</v>
      </c>
      <c r="B163" s="31" t="s">
        <v>572</v>
      </c>
      <c r="C163" s="26">
        <f>ROUNDUP(total_fp^0.5,-1)</f>
        <v>30</v>
      </c>
      <c r="D163" s="695" t="s">
        <v>605</v>
      </c>
      <c r="E163" s="26"/>
    </row>
    <row r="164" spans="1:5" customFormat="1" x14ac:dyDescent="0.2">
      <c r="A164" s="129" t="s">
        <v>2356</v>
      </c>
      <c r="B164" s="31" t="s">
        <v>2357</v>
      </c>
      <c r="C164" s="41">
        <f>IF(ep_cells=0,0,ROUNDUP((ep_cell_side+2*non_fire_buffer)^2+(ep_cells-1)*(ep_cell_side+2*non_fire_buffer)*(ep_cell_side+non_fire_buffer),0))</f>
        <v>0</v>
      </c>
      <c r="D164" s="695" t="s">
        <v>1226</v>
      </c>
      <c r="E164" s="26"/>
    </row>
    <row r="165" spans="1:5" customFormat="1" x14ac:dyDescent="0.2">
      <c r="A165" s="129" t="s">
        <v>3129</v>
      </c>
      <c r="B165" s="31" t="s">
        <v>3128</v>
      </c>
      <c r="C165" s="40">
        <f>ROUNDUP(((build1_fp)^0.5+(2*non_fire_buffer))*((build1_fp)^0.5+(non_fire_buffer+fire_buffer))+IF(build2_fp=0,0,((build2_fp)^0.5+(2*non_fire_buffer))*((build2_fp)^0.5+(non_fire_buffer+fire_buffer)))+ep_fp+solids_pad_area,-2)/43560</f>
        <v>6.8870523415977963E-2</v>
      </c>
      <c r="D165" s="695" t="s">
        <v>3130</v>
      </c>
      <c r="E165" s="26"/>
    </row>
    <row r="166" spans="1:5" customFormat="1" x14ac:dyDescent="0.2">
      <c r="A166" s="129"/>
      <c r="B166" s="31"/>
      <c r="C166" s="26"/>
      <c r="D166" s="695"/>
      <c r="E166" s="26"/>
    </row>
    <row r="167" spans="1:5" customFormat="1" x14ac:dyDescent="0.2">
      <c r="A167" s="627" t="s">
        <v>3507</v>
      </c>
      <c r="B167" s="3" t="s">
        <v>4889</v>
      </c>
      <c r="C167" s="14">
        <f>VLOOKUP(design_flow,land_cost_cl,3)</f>
        <v>20660.02273280502</v>
      </c>
      <c r="D167" s="696" t="s">
        <v>1877</v>
      </c>
      <c r="E167" s="26"/>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100"/>
  <sheetViews>
    <sheetView workbookViewId="0">
      <pane ySplit="3" topLeftCell="A4" activePane="bottomLeft" state="frozen"/>
      <selection activeCell="C110" sqref="C110"/>
      <selection pane="bottomLeft"/>
    </sheetView>
  </sheetViews>
  <sheetFormatPr defaultRowHeight="12.75" x14ac:dyDescent="0.2"/>
  <cols>
    <col min="1" max="1" width="49.28515625" customWidth="1"/>
    <col min="2" max="2" width="19.28515625" customWidth="1"/>
    <col min="3" max="3" width="10.7109375" customWidth="1"/>
    <col min="4" max="4" width="24" style="694" customWidth="1"/>
    <col min="6" max="6" width="12.85546875" bestFit="1" customWidth="1"/>
  </cols>
  <sheetData>
    <row r="1" spans="1:8" x14ac:dyDescent="0.2">
      <c r="A1" s="1" t="s">
        <v>3860</v>
      </c>
      <c r="B1" s="694"/>
      <c r="C1" s="694"/>
      <c r="D1" s="11"/>
      <c r="E1" s="694"/>
    </row>
    <row r="2" spans="1:8" x14ac:dyDescent="0.2">
      <c r="A2" s="694"/>
      <c r="B2" s="694"/>
      <c r="C2" s="694"/>
      <c r="D2" s="11"/>
      <c r="E2" s="694"/>
    </row>
    <row r="3" spans="1:8" x14ac:dyDescent="0.2">
      <c r="A3" s="193" t="s">
        <v>3853</v>
      </c>
      <c r="B3" s="193" t="s">
        <v>1640</v>
      </c>
      <c r="C3" s="194" t="s">
        <v>1641</v>
      </c>
      <c r="D3" s="193" t="s">
        <v>1642</v>
      </c>
      <c r="E3" s="193" t="s">
        <v>594</v>
      </c>
    </row>
    <row r="4" spans="1:8" x14ac:dyDescent="0.2">
      <c r="A4" s="2" t="s">
        <v>3234</v>
      </c>
    </row>
    <row r="5" spans="1:8" x14ac:dyDescent="0.2">
      <c r="A5" s="5" t="s">
        <v>2182</v>
      </c>
      <c r="B5" s="3" t="s">
        <v>2183</v>
      </c>
      <c r="C5" t="str">
        <f>IF(component_level_I="high cost",2,IF(component_level_I="mid cost",1,""))</f>
        <v/>
      </c>
      <c r="D5" s="694" t="s">
        <v>2130</v>
      </c>
    </row>
    <row r="6" spans="1:8" ht="40.5" customHeight="1" x14ac:dyDescent="0.2">
      <c r="A6" t="s">
        <v>1551</v>
      </c>
      <c r="B6" s="3" t="s">
        <v>1881</v>
      </c>
      <c r="C6">
        <f>IF(manual_I="manual",1,IF(manual_I="semi-automated",2,IF(manual_I="fully automated",3,IF(component_level="",1,IF(component_level=2,3,CHOOSE(ss_cat2,1,3,3))))))</f>
        <v>3</v>
      </c>
      <c r="D6" s="720" t="s">
        <v>3963</v>
      </c>
      <c r="E6" s="7" t="s">
        <v>3962</v>
      </c>
    </row>
    <row r="8" spans="1:8" x14ac:dyDescent="0.2">
      <c r="A8" s="656" t="s">
        <v>2686</v>
      </c>
      <c r="B8" s="31"/>
      <c r="C8" s="26"/>
      <c r="D8" s="695"/>
      <c r="G8" s="4"/>
      <c r="H8" s="4"/>
    </row>
    <row r="9" spans="1:8" x14ac:dyDescent="0.2">
      <c r="A9" s="5" t="s">
        <v>4421</v>
      </c>
      <c r="B9" s="3" t="s">
        <v>1894</v>
      </c>
      <c r="C9" s="26">
        <f>in_out_pipe_diam</f>
        <v>3</v>
      </c>
      <c r="D9" s="694" t="s">
        <v>1253</v>
      </c>
      <c r="F9" s="4"/>
      <c r="G9" s="4"/>
      <c r="H9" s="4"/>
    </row>
    <row r="10" spans="1:8" x14ac:dyDescent="0.2">
      <c r="A10" s="26" t="s">
        <v>3449</v>
      </c>
      <c r="B10" s="31" t="s">
        <v>2593</v>
      </c>
      <c r="C10" s="26">
        <f>proc_pipe_diam</f>
        <v>2</v>
      </c>
      <c r="D10" s="695" t="s">
        <v>1253</v>
      </c>
      <c r="F10" s="4"/>
      <c r="G10" s="4"/>
      <c r="H10" s="4"/>
    </row>
    <row r="11" spans="1:8" x14ac:dyDescent="0.2">
      <c r="A11" s="26" t="s">
        <v>467</v>
      </c>
      <c r="B11" s="31" t="s">
        <v>466</v>
      </c>
      <c r="C11" s="26">
        <f>recycle_pipe_diam</f>
        <v>0</v>
      </c>
      <c r="D11" s="695" t="s">
        <v>1253</v>
      </c>
      <c r="F11" s="4"/>
      <c r="G11" s="4"/>
      <c r="H11" s="4"/>
    </row>
    <row r="12" spans="1:8" x14ac:dyDescent="0.2">
      <c r="A12" t="s">
        <v>2379</v>
      </c>
      <c r="B12" s="31" t="s">
        <v>2020</v>
      </c>
      <c r="C12" s="26">
        <f>e_donor_pipe_diam</f>
        <v>0.5</v>
      </c>
      <c r="D12" s="695" t="s">
        <v>1253</v>
      </c>
      <c r="F12" s="4"/>
      <c r="G12" s="4"/>
      <c r="H12" s="4"/>
    </row>
    <row r="13" spans="1:8" x14ac:dyDescent="0.2">
      <c r="A13" t="s">
        <v>2380</v>
      </c>
      <c r="B13" s="31" t="s">
        <v>2022</v>
      </c>
      <c r="C13" s="26">
        <f>NH4Cl_pipe_diam</f>
        <v>0</v>
      </c>
      <c r="D13" s="695" t="s">
        <v>1253</v>
      </c>
    </row>
    <row r="14" spans="1:8" x14ac:dyDescent="0.2">
      <c r="A14" t="s">
        <v>2381</v>
      </c>
      <c r="B14" s="31" t="s">
        <v>2021</v>
      </c>
      <c r="C14" s="26">
        <f>H3PO4_pipe_diam</f>
        <v>0.5</v>
      </c>
      <c r="D14" s="695" t="s">
        <v>1253</v>
      </c>
      <c r="F14" s="4"/>
      <c r="G14" s="4"/>
      <c r="H14" s="4"/>
    </row>
    <row r="15" spans="1:8" x14ac:dyDescent="0.2">
      <c r="A15" s="35" t="s">
        <v>2840</v>
      </c>
      <c r="B15" s="31" t="s">
        <v>2841</v>
      </c>
      <c r="C15" s="26">
        <f>IF(include_post_h2o2=1,0,aer_tank_pipe_diam)</f>
        <v>3</v>
      </c>
      <c r="D15" s="695" t="s">
        <v>1253</v>
      </c>
      <c r="E15" s="7"/>
      <c r="F15" s="4"/>
      <c r="G15" s="4"/>
      <c r="H15" s="4"/>
    </row>
    <row r="16" spans="1:8" x14ac:dyDescent="0.2">
      <c r="A16" s="26" t="s">
        <v>2462</v>
      </c>
      <c r="B16" s="31" t="s">
        <v>2594</v>
      </c>
      <c r="C16" s="26">
        <f>back_pipe_diam</f>
        <v>4</v>
      </c>
      <c r="D16" s="695" t="s">
        <v>1253</v>
      </c>
    </row>
    <row r="17" spans="1:11" x14ac:dyDescent="0.2">
      <c r="A17" s="26" t="s">
        <v>3235</v>
      </c>
      <c r="B17" s="31" t="s">
        <v>1895</v>
      </c>
      <c r="C17" s="26">
        <f>bp_pipe_diam</f>
        <v>0</v>
      </c>
      <c r="D17" s="695" t="s">
        <v>1253</v>
      </c>
    </row>
    <row r="18" spans="1:11" x14ac:dyDescent="0.2">
      <c r="A18" s="26" t="s">
        <v>3447</v>
      </c>
      <c r="B18" s="31" t="s">
        <v>3448</v>
      </c>
      <c r="C18" s="26">
        <f>IF(air_scour_I="yes",tank_valve_size,0)</f>
        <v>2</v>
      </c>
      <c r="D18" s="695" t="s">
        <v>1253</v>
      </c>
      <c r="E18" s="7" t="str">
        <f>IF(air_scour_I="yes","assume equal to contactor valve size","")</f>
        <v>assume equal to contactor valve size</v>
      </c>
    </row>
    <row r="19" spans="1:11" x14ac:dyDescent="0.2">
      <c r="A19" s="35" t="s">
        <v>2203</v>
      </c>
      <c r="B19" s="31" t="s">
        <v>2202</v>
      </c>
      <c r="C19" s="26">
        <f>IF(design_type=3,tank_valve_size/2,0)</f>
        <v>0</v>
      </c>
      <c r="D19" s="695" t="s">
        <v>1253</v>
      </c>
      <c r="E19" s="7" t="s">
        <v>2201</v>
      </c>
    </row>
    <row r="20" spans="1:11" x14ac:dyDescent="0.2">
      <c r="A20" s="35" t="s">
        <v>2840</v>
      </c>
      <c r="B20" s="31" t="s">
        <v>2829</v>
      </c>
      <c r="C20" s="26">
        <f>C15/2</f>
        <v>1.5</v>
      </c>
      <c r="D20" s="695" t="s">
        <v>1253</v>
      </c>
      <c r="E20" s="7" t="str">
        <f>IF(air_scour_I="yes","assume equal to half of aeration tank valve size","")</f>
        <v>assume equal to half of aeration tank valve size</v>
      </c>
    </row>
    <row r="21" spans="1:11" x14ac:dyDescent="0.2">
      <c r="A21" s="35" t="s">
        <v>124</v>
      </c>
      <c r="B21" s="31" t="s">
        <v>125</v>
      </c>
      <c r="C21" s="26">
        <f>H202_pipe_diam</f>
        <v>0</v>
      </c>
      <c r="D21" s="695" t="s">
        <v>1253</v>
      </c>
      <c r="E21" s="7"/>
    </row>
    <row r="22" spans="1:11" x14ac:dyDescent="0.2">
      <c r="A22" s="695" t="s">
        <v>4275</v>
      </c>
      <c r="B22" s="31" t="s">
        <v>4276</v>
      </c>
      <c r="C22">
        <f>coag_pipe_diam</f>
        <v>0.5</v>
      </c>
      <c r="D22" s="694" t="s">
        <v>1253</v>
      </c>
      <c r="E22" s="7"/>
    </row>
    <row r="23" spans="1:11" x14ac:dyDescent="0.2">
      <c r="A23" s="35" t="s">
        <v>2934</v>
      </c>
      <c r="B23" s="31" t="s">
        <v>2933</v>
      </c>
      <c r="C23" s="26">
        <f>polymer_pipe_diam</f>
        <v>0.5</v>
      </c>
      <c r="D23" s="695" t="s">
        <v>1253</v>
      </c>
      <c r="E23" s="7"/>
    </row>
    <row r="24" spans="1:11" x14ac:dyDescent="0.2">
      <c r="A24" s="35"/>
      <c r="B24" s="31"/>
      <c r="C24" s="26"/>
      <c r="D24" s="695"/>
      <c r="E24" s="7"/>
    </row>
    <row r="25" spans="1:11" s="26" customFormat="1" x14ac:dyDescent="0.2">
      <c r="A25" t="s">
        <v>3608</v>
      </c>
      <c r="B25" s="3" t="s">
        <v>3640</v>
      </c>
      <c r="C25" s="26">
        <f>VLOOKUP("proc_mov_vessel_par",valve_table,manual+1,FALSE)</f>
        <v>2</v>
      </c>
      <c r="D25" s="694" t="s">
        <v>3641</v>
      </c>
      <c r="E25" s="7"/>
      <c r="F25" s="4"/>
      <c r="G25" s="4"/>
      <c r="H25" s="4"/>
    </row>
    <row r="26" spans="1:11" x14ac:dyDescent="0.2">
      <c r="A26" t="s">
        <v>1896</v>
      </c>
      <c r="B26" s="3" t="s">
        <v>1897</v>
      </c>
      <c r="C26">
        <f>(IF(OR(design_type=1,design_type=3),final_num_tanks,total_num_basins)+IF(filter_type=1,total_num_filt_basins,final_num_tanks_filt)+coag_mix_tank)*proc_MOV_vessel+total_booster_pumps*VLOOKUP("proc_MOV_pump",valve_table,manual+1,FALSE)</f>
        <v>12</v>
      </c>
      <c r="D26" s="694" t="s">
        <v>2767</v>
      </c>
      <c r="E26" s="26"/>
      <c r="F26" s="26"/>
      <c r="G26" s="26"/>
      <c r="H26" s="26"/>
      <c r="I26" s="26"/>
      <c r="J26" s="26"/>
      <c r="K26" s="26"/>
    </row>
    <row r="27" spans="1:11" x14ac:dyDescent="0.2">
      <c r="A27" t="s">
        <v>458</v>
      </c>
      <c r="B27" s="3" t="s">
        <v>457</v>
      </c>
      <c r="C27" s="16">
        <f>IF(design_type=3,VLOOKUP("tot_rec_movs",valve_table,manual+1,FALSE)+recycle_pumps*VLOOKUP("rec_MOV_pump",valve_table,manual+1,FALSE),0)</f>
        <v>0</v>
      </c>
      <c r="D27" s="694" t="s">
        <v>2767</v>
      </c>
      <c r="E27" s="26"/>
      <c r="F27" s="26"/>
      <c r="G27" s="26"/>
      <c r="H27" s="26"/>
      <c r="I27" s="26"/>
      <c r="J27" s="26"/>
      <c r="K27" s="26"/>
    </row>
    <row r="28" spans="1:11" x14ac:dyDescent="0.2">
      <c r="A28" t="s">
        <v>2089</v>
      </c>
      <c r="B28" s="3" t="s">
        <v>2092</v>
      </c>
      <c r="C28">
        <f>IF(OR(design_type=1,design_type=3),final_num_tanks,total_num_basins)*VLOOKUP("chem_MOV_vessel",valve_table,manual+1,FALSE)+(cm_pumps_e_donor)*VLOOKUP("chem_MOV_pump",valve_table,manual+1,FALSE)+VLOOKUP("chem_MOV_day",valve_table,manual+1,FALSE)*e_donor_day_tanks</f>
        <v>8</v>
      </c>
      <c r="D28" s="694" t="s">
        <v>2767</v>
      </c>
      <c r="E28" s="26"/>
      <c r="F28" s="26"/>
      <c r="G28" s="26"/>
      <c r="H28" s="26"/>
      <c r="I28" s="26"/>
      <c r="J28" s="26"/>
      <c r="K28" s="26"/>
    </row>
    <row r="29" spans="1:11" x14ac:dyDescent="0.2">
      <c r="A29" t="s">
        <v>2090</v>
      </c>
      <c r="B29" s="3" t="s">
        <v>2093</v>
      </c>
      <c r="C29">
        <f>IF(OR(nutrient_option=2,nutrient_option=4),IF(OR(design_type=1,design_type=3),final_num_tanks,total_num_basins)*VLOOKUP("chem_MOV_vessel",valve_table,manual+1,FALSE)+(cm_pumps_NH4Cl)*VLOOKUP("chem_MOV_pump",valve_table,manual+1,FALSE)+VLOOKUP("chem_MOV_day",valve_table,manual+1,FALSE)*NH4Cl_day_tanks,0)</f>
        <v>0</v>
      </c>
      <c r="D29" s="694" t="s">
        <v>2767</v>
      </c>
      <c r="E29" s="26"/>
      <c r="F29" s="26"/>
      <c r="G29" s="26"/>
      <c r="H29" s="26"/>
      <c r="I29" s="26"/>
      <c r="J29" s="26"/>
      <c r="K29" s="26"/>
    </row>
    <row r="30" spans="1:11" x14ac:dyDescent="0.2">
      <c r="A30" t="s">
        <v>2091</v>
      </c>
      <c r="B30" s="3" t="s">
        <v>2094</v>
      </c>
      <c r="C30">
        <f>IF(OR(nutrient_option=3,nutrient_option=4),IF(OR(design_type=1,design_type=3),final_num_tanks,total_num_basins)*VLOOKUP("chem_MOV_vessel",valve_table,manual+1,FALSE)+(cm_pumps_H3PO4)*VLOOKUP("chem_MOV_pump",valve_table,manual+1,FALSE)+VLOOKUP("chem_MOV_day",valve_table,manual+1,FALSE)*H3PO4_day_tanks,0)</f>
        <v>7</v>
      </c>
      <c r="D30" s="694" t="s">
        <v>2767</v>
      </c>
      <c r="E30" s="26"/>
      <c r="F30" s="26"/>
      <c r="G30" s="26"/>
      <c r="H30" s="26"/>
      <c r="I30" s="26"/>
      <c r="J30" s="26"/>
      <c r="K30" s="26"/>
    </row>
    <row r="31" spans="1:11" x14ac:dyDescent="0.2">
      <c r="A31" t="s">
        <v>1898</v>
      </c>
      <c r="B31" s="3" t="s">
        <v>1899</v>
      </c>
      <c r="C31">
        <f>((IF(design_type=1,final_num_tanks,0)+total_num_basins+IF(filter_type=1,total_num_filt_basins,final_num_tanks_filt)))*VLOOKUP("back_MOV_vessel",valve_table,manual+1,FALSE)+backwash_pumps*VLOOKUP("back_MOV_pump",valve_table,manual+1,FALSE)+back_tanks*VLOOKUP("back_MOV_tank",valve_table,manual+1,FALSE)+IF(no_backwash=1,VLOOKUP("back_MOV_no_back",valve_table,manual+1,FALSE),0)</f>
        <v>11</v>
      </c>
      <c r="D31" s="694" t="s">
        <v>2767</v>
      </c>
      <c r="E31" s="7"/>
    </row>
    <row r="32" spans="1:11" x14ac:dyDescent="0.2">
      <c r="A32" t="s">
        <v>3610</v>
      </c>
      <c r="B32" s="3" t="s">
        <v>3191</v>
      </c>
      <c r="C32" s="16">
        <f>IF(bp_pct=0,0,VLOOKUP("tot_bp_movs",valve_table,manual+1,FALSE))</f>
        <v>0</v>
      </c>
      <c r="D32" s="694" t="s">
        <v>2767</v>
      </c>
    </row>
    <row r="33" spans="1:11" x14ac:dyDescent="0.2">
      <c r="A33" t="s">
        <v>3444</v>
      </c>
      <c r="B33" s="3" t="s">
        <v>3443</v>
      </c>
      <c r="C33" s="16">
        <f>IF(air_scour_I="yes",num_blowers*VLOOKUP("air_mov_blower",valve_table,manual+1,FALSE)+VLOOKUP("air_mov",valve_table,manual+1,FALSE),0)</f>
        <v>2</v>
      </c>
      <c r="D33" s="694" t="s">
        <v>2767</v>
      </c>
    </row>
    <row r="34" spans="1:11" x14ac:dyDescent="0.2">
      <c r="A34" s="5" t="s">
        <v>2204</v>
      </c>
      <c r="B34" s="3" t="s">
        <v>2205</v>
      </c>
      <c r="C34" s="16">
        <f>IF(design_type=3,num_bio_blowers*VLOOKUP("air_mov_blower",valve_table,manual+1,FALSE)+VLOOKUP("air_mov",valve_table,manual+1,FALSE),0)</f>
        <v>0</v>
      </c>
      <c r="D34" s="694" t="s">
        <v>2767</v>
      </c>
    </row>
    <row r="35" spans="1:11" x14ac:dyDescent="0.2">
      <c r="A35" s="5" t="s">
        <v>2859</v>
      </c>
      <c r="B35" s="3" t="s">
        <v>2856</v>
      </c>
      <c r="C35" s="16">
        <f>IF(include_post_h2o2=1,0,num_aeration_blowers*VLOOKUP("air_mov_blower",valve_table,manual+1,FALSE)+VLOOKUP("air_mov",valve_table,manual+1,FALSE))</f>
        <v>3</v>
      </c>
      <c r="D35" s="694" t="s">
        <v>2767</v>
      </c>
    </row>
    <row r="36" spans="1:11" x14ac:dyDescent="0.2">
      <c r="A36" s="5" t="s">
        <v>126</v>
      </c>
      <c r="B36" s="3" t="s">
        <v>127</v>
      </c>
      <c r="C36" s="16">
        <f>IF(include_post_h2o2=0,0,VLOOKUP("chem_MOV_post",valve_table,manual+1,FALSE)+(cm_pumps_H2O2)*VLOOKUP("chem_MOV_pump",valve_table,manual+1,FALSE)+VLOOKUP("chem_MOV_day",valve_table,manual+1,FALSE)*H2O2_day_tanks)</f>
        <v>0</v>
      </c>
      <c r="D36" s="694" t="s">
        <v>2767</v>
      </c>
    </row>
    <row r="37" spans="1:11" x14ac:dyDescent="0.2">
      <c r="A37" s="694" t="s">
        <v>4277</v>
      </c>
      <c r="B37" s="3" t="s">
        <v>4278</v>
      </c>
      <c r="C37">
        <f>IF((coag_day_gal+coag_day_gal_filt)=0,0,VLOOKUP("chem_MOV_post",valve_table,manual+1,FALSE)+(cm_pumps_coag+cm_pumps_coag_filt)*VLOOKUP("chem_MOV_pump",valve_table,manual+1,FALSE)+VLOOKUP("chem_MOV_day",valve_table,manual+1,FALSE)*coag_day_tanks)</f>
        <v>5</v>
      </c>
      <c r="D37" s="694" t="s">
        <v>2767</v>
      </c>
    </row>
    <row r="38" spans="1:11" x14ac:dyDescent="0.2">
      <c r="A38" s="5" t="s">
        <v>2928</v>
      </c>
      <c r="B38" s="3" t="s">
        <v>2929</v>
      </c>
      <c r="C38" s="16">
        <f>IF(polymer_day=0,0,(cm_pumps_polymer)*VLOOKUP("chem_MOV_pump",valve_table,manual+1,FALSE))</f>
        <v>4</v>
      </c>
      <c r="D38" s="694" t="s">
        <v>2767</v>
      </c>
    </row>
    <row r="39" spans="1:11" x14ac:dyDescent="0.2">
      <c r="A39" t="s">
        <v>3611</v>
      </c>
      <c r="B39" s="3" t="s">
        <v>3612</v>
      </c>
      <c r="C39" s="6">
        <f>SUM(C26:C38)+total_res_MOVs</f>
        <v>55</v>
      </c>
      <c r="D39" s="694" t="s">
        <v>2767</v>
      </c>
      <c r="F39" s="3"/>
    </row>
    <row r="40" spans="1:11" x14ac:dyDescent="0.2">
      <c r="B40" s="3"/>
      <c r="C40" s="6"/>
      <c r="F40" s="3"/>
    </row>
    <row r="41" spans="1:11" x14ac:dyDescent="0.2">
      <c r="A41" t="s">
        <v>3613</v>
      </c>
      <c r="B41" s="3" t="s">
        <v>3614</v>
      </c>
      <c r="C41" s="6">
        <f>VLOOKUP("proc_man_vessel_par",valve_table,manual+1,FALSE)</f>
        <v>0</v>
      </c>
      <c r="D41" s="694" t="s">
        <v>3641</v>
      </c>
      <c r="E41" s="7"/>
    </row>
    <row r="42" spans="1:11" x14ac:dyDescent="0.2">
      <c r="A42" s="5" t="s">
        <v>3516</v>
      </c>
      <c r="B42" s="3" t="s">
        <v>3517</v>
      </c>
      <c r="C42" s="6">
        <f>IF(OR(design_type=1,design_type=3),(proc_man_vessel_cont+proc_man_vessel)*final_num_tanks,proc_man_vessel_cont*total_num_basins)+proc_man_vessel_cont*(IF(filter_type=1,total_num_filt_basins,final_num_tanks_filt)+coag_mix_tank)+total_booster_pumps*VLOOKUP("proc_man_pump",valve_table,manual+1,FALSE)</f>
        <v>3</v>
      </c>
      <c r="D42" s="694" t="s">
        <v>2767</v>
      </c>
    </row>
    <row r="43" spans="1:11" x14ac:dyDescent="0.2">
      <c r="A43" t="s">
        <v>2095</v>
      </c>
      <c r="B43" s="3" t="s">
        <v>2100</v>
      </c>
      <c r="C43">
        <f>IF(OR(design_type=1,design_type=3),final_num_tanks,total_num_basins)*VLOOKUP("chem_man_vessel",valve_table,manual+1,FALSE)+(cm_pumps_e_donor)*VLOOKUP("chem_man_pump",valve_table,manual+1,FALSE)+VLOOKUP("chem_man_day",valve_table,manual+1,FALSE)*e_donor_day_tanks</f>
        <v>0</v>
      </c>
      <c r="D43" s="694" t="s">
        <v>2767</v>
      </c>
    </row>
    <row r="44" spans="1:11" x14ac:dyDescent="0.2">
      <c r="A44" t="s">
        <v>2096</v>
      </c>
      <c r="B44" s="3" t="s">
        <v>2099</v>
      </c>
      <c r="C44">
        <f>IF(OR(nutrient_option=2,nutrient_option=4),IF(OR(design_type=1,design_type=3),final_num_tanks,total_num_basins)*VLOOKUP("chem_man_vessel",valve_table,manual+1,FALSE)+(cm_pumps_NH4Cl)*VLOOKUP("chem_man_pump",valve_table,manual+1,FALSE)+VLOOKUP("chem_man_day",valve_table,manual+1,FALSE)*NH4Cl_day_tanks,0)</f>
        <v>0</v>
      </c>
      <c r="D44" s="694" t="s">
        <v>2767</v>
      </c>
    </row>
    <row r="45" spans="1:11" x14ac:dyDescent="0.2">
      <c r="A45" t="s">
        <v>2097</v>
      </c>
      <c r="B45" s="3" t="s">
        <v>2098</v>
      </c>
      <c r="C45">
        <f>IF(OR(nutrient_option=3,nutrient_option=4),IF(OR(design_type=1,design_type=3),final_num_tanks,total_num_basins)*VLOOKUP("chem_man_vessel",valve_table,manual+1,FALSE)+(cm_pumps_H3PO4)*VLOOKUP("chem_man_pump",valve_table,manual+1,FALSE)+VLOOKUP("chem_man_day",valve_table,manual+1,FALSE)*H3PO4_day_tanks,0)</f>
        <v>0</v>
      </c>
      <c r="D45" s="694" t="s">
        <v>2767</v>
      </c>
    </row>
    <row r="46" spans="1:11" x14ac:dyDescent="0.2">
      <c r="A46" t="s">
        <v>3615</v>
      </c>
      <c r="B46" s="3" t="s">
        <v>3616</v>
      </c>
      <c r="C46" s="6">
        <f>(IF(OR(design_type=1,design_type=3),final_num_tanks,0)+total_num_basins+IF(filter_type=1,total_num_filt_basins,final_num_tanks_filt))*VLOOKUP("back_man_vessel",valve_table,manual+1,FALSE)+backwash_pumps*VLOOKUP("back_man_pump",valve_table,manual+1,FALSE)+back_tanks*VLOOKUP("back_man_tank",valve_table,manual+1,FALSE)+IF(no_backwash=1,VLOOKUP("back_man_no_back",valve_table,manual+1,FALSE),0)</f>
        <v>0</v>
      </c>
      <c r="D46" s="694" t="s">
        <v>2767</v>
      </c>
    </row>
    <row r="47" spans="1:11" x14ac:dyDescent="0.2">
      <c r="A47" t="s">
        <v>461</v>
      </c>
      <c r="B47" s="3" t="s">
        <v>460</v>
      </c>
      <c r="C47" s="16">
        <f>IF(design_type=3,VLOOKUP("tot_man_rec",valve_table,manual+1,FALSE)+recycle_pumps*VLOOKUP("rec_man_pump",valve_table,manual+1,FALSE),0)</f>
        <v>0</v>
      </c>
      <c r="D47" s="694" t="s">
        <v>2767</v>
      </c>
      <c r="E47" s="26"/>
      <c r="F47" s="26"/>
      <c r="G47" s="26"/>
      <c r="H47" s="26"/>
      <c r="I47" s="26"/>
      <c r="J47" s="26"/>
      <c r="K47" s="26"/>
    </row>
    <row r="48" spans="1:11" x14ac:dyDescent="0.2">
      <c r="A48" t="s">
        <v>3617</v>
      </c>
      <c r="B48" s="3" t="s">
        <v>77</v>
      </c>
      <c r="C48" s="16">
        <f>IF(bp_pct=0,0,VLOOKUP("tot_bp_man",valve_table,manual+1,FALSE))</f>
        <v>0</v>
      </c>
      <c r="D48" s="694" t="s">
        <v>2767</v>
      </c>
    </row>
    <row r="49" spans="1:5" x14ac:dyDescent="0.2">
      <c r="A49" t="s">
        <v>3445</v>
      </c>
      <c r="B49" s="3" t="s">
        <v>3446</v>
      </c>
      <c r="C49" s="16">
        <f>IF(air_scour_I="yes",num_blowers*VLOOKUP("air_man_blower",valve_table,manual+1,FALSE)+VLOOKUP("air_man",valve_table,manual+1,FALSE),0)</f>
        <v>0</v>
      </c>
      <c r="D49" s="694" t="s">
        <v>2767</v>
      </c>
    </row>
    <row r="50" spans="1:5" x14ac:dyDescent="0.2">
      <c r="A50" s="5" t="s">
        <v>2207</v>
      </c>
      <c r="B50" s="3" t="s">
        <v>2206</v>
      </c>
      <c r="C50" s="16">
        <f>IF(design_type=3,num_bio_blowers*VLOOKUP("air_man_blower",valve_table,manual+1,FALSE)+VLOOKUP("air_man",valve_table,manual+1,FALSE),0)</f>
        <v>0</v>
      </c>
      <c r="D50" s="694" t="s">
        <v>2767</v>
      </c>
    </row>
    <row r="51" spans="1:5" x14ac:dyDescent="0.2">
      <c r="A51" s="5" t="s">
        <v>2858</v>
      </c>
      <c r="B51" s="3" t="s">
        <v>2857</v>
      </c>
      <c r="C51" s="16">
        <f>IF(include_post_h2o2=1,0,num_aeration_blowers*VLOOKUP("air_man_blower",valve_table,manual+1,FALSE)+VLOOKUP("air_man",valve_table,manual+1,FALSE))</f>
        <v>0</v>
      </c>
      <c r="D51" s="694" t="s">
        <v>2767</v>
      </c>
    </row>
    <row r="52" spans="1:5" x14ac:dyDescent="0.2">
      <c r="A52" s="5" t="s">
        <v>2287</v>
      </c>
      <c r="B52" s="3" t="s">
        <v>130</v>
      </c>
      <c r="C52" s="16">
        <f>IF(include_post_h2o2=0,0,VLOOKUP("chem_man_post",valve_table,manual+1,FALSE)+(cm_pumps_H2O2)*VLOOKUP("chem_man_pump",valve_table,manual+1,FALSE)+VLOOKUP("chem_man_day",valve_table,manual+1,FALSE)*H2O2_day_tanks)</f>
        <v>0</v>
      </c>
      <c r="D52" s="694" t="s">
        <v>2767</v>
      </c>
      <c r="E52" s="16"/>
    </row>
    <row r="53" spans="1:5" x14ac:dyDescent="0.2">
      <c r="A53" s="694" t="s">
        <v>4280</v>
      </c>
      <c r="B53" s="3" t="s">
        <v>4281</v>
      </c>
      <c r="C53">
        <f>IF((coag_day_gal+coag_day_gal_filt)=0,0,VLOOKUP("chem_man_post",valve_table,manual+1,FALSE)+(cm_pumps_coag+cm_pumps_coag_filt)*VLOOKUP("chem_man_pump",valve_table,manual+1,FALSE)+VLOOKUP("chem_man_day",valve_table,manual+1,FALSE)*coag_day_tanks)</f>
        <v>0</v>
      </c>
      <c r="D53" s="694" t="s">
        <v>2767</v>
      </c>
      <c r="E53" s="16"/>
    </row>
    <row r="54" spans="1:5" x14ac:dyDescent="0.2">
      <c r="A54" s="694" t="s">
        <v>4279</v>
      </c>
      <c r="B54" s="3" t="s">
        <v>2930</v>
      </c>
      <c r="C54" s="16">
        <f>IF(polymer_day=0,0,(cm_pumps_polymer)*VLOOKUP("chem_man_pump",valve_table,manual+1,FALSE))</f>
        <v>0</v>
      </c>
      <c r="D54" s="694" t="s">
        <v>2767</v>
      </c>
      <c r="E54" s="16"/>
    </row>
    <row r="55" spans="1:5" x14ac:dyDescent="0.2">
      <c r="A55" s="5"/>
      <c r="B55" s="3"/>
      <c r="C55" s="16"/>
      <c r="E55" s="16"/>
    </row>
    <row r="56" spans="1:5" x14ac:dyDescent="0.2">
      <c r="A56" t="s">
        <v>1203</v>
      </c>
      <c r="B56" s="3" t="s">
        <v>1206</v>
      </c>
      <c r="C56" s="16">
        <f>chem_chv_pump*cm_pumps_e_donor</f>
        <v>4</v>
      </c>
      <c r="D56" s="694" t="s">
        <v>2767</v>
      </c>
    </row>
    <row r="57" spans="1:5" x14ac:dyDescent="0.2">
      <c r="A57" t="s">
        <v>1204</v>
      </c>
      <c r="B57" s="3" t="s">
        <v>1207</v>
      </c>
      <c r="C57" s="16">
        <f>(chem_chv_pump+tot_nutrient_chv)*cm_pumps_NH4Cl</f>
        <v>0</v>
      </c>
      <c r="D57" s="694" t="s">
        <v>2767</v>
      </c>
    </row>
    <row r="58" spans="1:5" x14ac:dyDescent="0.2">
      <c r="A58" t="s">
        <v>1205</v>
      </c>
      <c r="B58" s="3" t="s">
        <v>1208</v>
      </c>
      <c r="C58" s="16">
        <f>(chem_chv_pump+tot_nutrient_chv)*cm_pumps_H3PO4</f>
        <v>6</v>
      </c>
      <c r="D58" s="694" t="s">
        <v>2767</v>
      </c>
    </row>
    <row r="59" spans="1:5" x14ac:dyDescent="0.2">
      <c r="A59" t="s">
        <v>1900</v>
      </c>
      <c r="B59" s="3" t="s">
        <v>1901</v>
      </c>
      <c r="C59">
        <f>back_chv_pump*backwash_pumps+IF(no_backwash=1,back_chv_no_back,0)</f>
        <v>1</v>
      </c>
      <c r="D59" s="694" t="s">
        <v>2767</v>
      </c>
    </row>
    <row r="60" spans="1:5" x14ac:dyDescent="0.2">
      <c r="A60" s="5" t="s">
        <v>128</v>
      </c>
      <c r="B60" s="3" t="s">
        <v>129</v>
      </c>
      <c r="C60">
        <f>IF(include_post_h2o2=0,0,chem_chv_pump*cm_pumps_H2O2)</f>
        <v>0</v>
      </c>
      <c r="D60" s="694" t="s">
        <v>2767</v>
      </c>
    </row>
    <row r="61" spans="1:5" x14ac:dyDescent="0.2">
      <c r="A61" s="694" t="s">
        <v>4282</v>
      </c>
      <c r="B61" s="3" t="s">
        <v>4283</v>
      </c>
      <c r="C61">
        <f>coag_chv_pump*(cm_pumps_coag+cm_pumps_coag_filt)</f>
        <v>2</v>
      </c>
      <c r="D61" s="694" t="s">
        <v>2767</v>
      </c>
    </row>
    <row r="62" spans="1:5" x14ac:dyDescent="0.2">
      <c r="A62" t="s">
        <v>746</v>
      </c>
      <c r="B62" s="3" t="s">
        <v>747</v>
      </c>
      <c r="C62" s="58">
        <f>polymer_chv_pump*cm_pumps_polymer</f>
        <v>2</v>
      </c>
      <c r="D62" s="694" t="s">
        <v>2767</v>
      </c>
    </row>
    <row r="63" spans="1:5" x14ac:dyDescent="0.2">
      <c r="A63" t="s">
        <v>1902</v>
      </c>
      <c r="B63" s="3" t="s">
        <v>1903</v>
      </c>
      <c r="C63" s="26">
        <f>in_out_pipe_diam</f>
        <v>3</v>
      </c>
      <c r="D63" s="694" t="s">
        <v>1253</v>
      </c>
    </row>
    <row r="64" spans="1:5" x14ac:dyDescent="0.2">
      <c r="A64" t="s">
        <v>1904</v>
      </c>
      <c r="B64" s="3" t="s">
        <v>1905</v>
      </c>
      <c r="C64">
        <f>proc_pipe_diam</f>
        <v>2</v>
      </c>
      <c r="D64" s="694" t="s">
        <v>1253</v>
      </c>
    </row>
    <row r="65" spans="1:6" x14ac:dyDescent="0.2">
      <c r="A65" t="s">
        <v>2687</v>
      </c>
      <c r="B65" s="3" t="s">
        <v>589</v>
      </c>
      <c r="C65" s="26">
        <f>back_pipe_diam</f>
        <v>4</v>
      </c>
      <c r="D65" s="694" t="s">
        <v>1253</v>
      </c>
      <c r="F65" s="3"/>
    </row>
    <row r="66" spans="1:6" x14ac:dyDescent="0.2">
      <c r="A66" t="s">
        <v>1906</v>
      </c>
      <c r="B66" s="3" t="s">
        <v>398</v>
      </c>
      <c r="C66" s="26">
        <f>fm_proc*IF(OR(design_type=1,design_type=3),final_num_tanks,total_num_basins)</f>
        <v>0</v>
      </c>
      <c r="D66" s="694" t="s">
        <v>606</v>
      </c>
      <c r="E66" s="26"/>
    </row>
    <row r="67" spans="1:6" x14ac:dyDescent="0.2">
      <c r="B67" s="3"/>
      <c r="C67" s="38"/>
      <c r="D67" s="695"/>
    </row>
    <row r="68" spans="1:6" x14ac:dyDescent="0.2">
      <c r="A68" t="s">
        <v>400</v>
      </c>
      <c r="B68" s="3" t="s">
        <v>401</v>
      </c>
      <c r="C68" s="26">
        <f>IF(OR(design_type=1,design_type=3),final_num_tanks*IF(ss_cat2=1,level_switch_small,level_switch),total_num_basins*IF(ss_cat2=1,level_switch_small_g,level_switch_g))</f>
        <v>0</v>
      </c>
      <c r="D68" s="694" t="s">
        <v>606</v>
      </c>
    </row>
    <row r="69" spans="1:6" x14ac:dyDescent="0.2">
      <c r="A69" t="s">
        <v>1240</v>
      </c>
      <c r="B69" s="3" t="s">
        <v>402</v>
      </c>
      <c r="C69" s="26">
        <f>back_tanks*alarm_back</f>
        <v>0</v>
      </c>
      <c r="D69" s="694" t="s">
        <v>606</v>
      </c>
    </row>
    <row r="70" spans="1:6" x14ac:dyDescent="0.2">
      <c r="A70" t="s">
        <v>839</v>
      </c>
      <c r="B70" s="3" t="s">
        <v>1338</v>
      </c>
      <c r="C70" s="26">
        <f>(H3PO4_tanks+NH4Cl_tanks+e_donor_tanks+H2O2_tanks+H3PO4_day_tanks+NH4Cl_day_tanks+e_donor_day_tanks+H2O2_day_tanks)*alarm_chem</f>
        <v>3</v>
      </c>
      <c r="D70" s="694" t="s">
        <v>606</v>
      </c>
    </row>
    <row r="71" spans="1:6" x14ac:dyDescent="0.2">
      <c r="A71" t="s">
        <v>522</v>
      </c>
      <c r="B71" s="3" t="s">
        <v>523</v>
      </c>
      <c r="C71" s="26">
        <f>IF(OR(design_type=1,design_type=3),turb_tank*final_num_tanks,turb_tank_g*total_num_basins)+(turb_tank_filt*IF(filter_type=1,total_num_filt_basins,final_num_tanks_filt))+add_turb</f>
        <v>5</v>
      </c>
      <c r="D71" s="694" t="s">
        <v>606</v>
      </c>
    </row>
    <row r="72" spans="1:6" x14ac:dyDescent="0.2">
      <c r="A72" t="s">
        <v>840</v>
      </c>
      <c r="B72" s="3" t="s">
        <v>1487</v>
      </c>
      <c r="C72" s="26">
        <f>IF(ss_cat2=1,temp_meters_small,temp_meters)*IF(OR(design_type=1,design_type=3),final_num_tanks,total_num_basins)</f>
        <v>6</v>
      </c>
      <c r="D72" s="694" t="s">
        <v>606</v>
      </c>
    </row>
    <row r="73" spans="1:6" x14ac:dyDescent="0.2">
      <c r="A73" t="s">
        <v>403</v>
      </c>
      <c r="B73" s="3" t="s">
        <v>404</v>
      </c>
      <c r="C73" s="26">
        <f>head_tank*IF(OR(design_type=1,design_type=3),final_num_tanks,total_num_basins)</f>
        <v>3</v>
      </c>
      <c r="D73" s="694" t="s">
        <v>606</v>
      </c>
    </row>
    <row r="74" spans="1:6" x14ac:dyDescent="0.2">
      <c r="A74" t="s">
        <v>2426</v>
      </c>
      <c r="B74" s="3" t="s">
        <v>2691</v>
      </c>
      <c r="C74" s="26">
        <f>IF(contam=1,ClO4_analyzer,0)</f>
        <v>1</v>
      </c>
      <c r="D74" s="694" t="s">
        <v>606</v>
      </c>
    </row>
    <row r="75" spans="1:6" x14ac:dyDescent="0.2">
      <c r="A75" s="694" t="s">
        <v>3821</v>
      </c>
      <c r="B75" s="3" t="s">
        <v>3822</v>
      </c>
      <c r="C75" s="26">
        <f>IF(contam=1,0,N_analyzer)</f>
        <v>0</v>
      </c>
      <c r="D75" s="694" t="s">
        <v>606</v>
      </c>
    </row>
    <row r="76" spans="1:6" x14ac:dyDescent="0.2">
      <c r="A76" t="s">
        <v>2427</v>
      </c>
      <c r="B76" s="3" t="s">
        <v>2692</v>
      </c>
      <c r="C76" s="26">
        <f>DO_analyzer</f>
        <v>1</v>
      </c>
      <c r="D76" s="694" t="s">
        <v>606</v>
      </c>
    </row>
    <row r="77" spans="1:6" x14ac:dyDescent="0.2">
      <c r="A77" t="s">
        <v>2690</v>
      </c>
      <c r="B77" s="3" t="s">
        <v>592</v>
      </c>
      <c r="C77" s="26">
        <f>ports_tank*(IF(OR(design_type=1,design_type=3),final_num_tanks,total_num_basins)+IF(filter_type=1,total_num_filt_basins,final_num_tanks_filt))+add_ports+IF(bp_pct&gt;0,ports_bp,0)</f>
        <v>8</v>
      </c>
      <c r="D77" s="694" t="s">
        <v>606</v>
      </c>
    </row>
    <row r="78" spans="1:6" x14ac:dyDescent="0.2">
      <c r="A78" t="s">
        <v>2530</v>
      </c>
      <c r="B78" s="3" t="s">
        <v>2537</v>
      </c>
      <c r="C78" s="58">
        <f>IF(manual=2,0,S_booster_pump*total_booster_pumps+S_recycle_pump*recycle_pumps+S_back_pump*(backwash_pumps+num_blowers+num_bio_blowers)+S_cm_pump*(cm_pumps_e_donor+cm_pumps_NH4Cl+cm_pumps_H3PO4+cm_pumps_H2O2+cm_pumps_coag_filt)+S_res_pump*(res_pumps+cm_pumps_coag+cm_pumps_polymer)+S_eductor*res_eductors+S_mixer*(mixers+H3PO4_cmixers+NH4Cl_cmixers+e_donor_cmixers+H2O2_cmixers+H3PO4_dmixers+NH4Cl_dmixers+e_donor_dmixers+H2O2_dmixers+coag_cmixers+coag_dmixers+polymer_cmixers+hmixers))</f>
        <v>13</v>
      </c>
      <c r="D78" s="694" t="s">
        <v>606</v>
      </c>
      <c r="E78" s="7"/>
    </row>
    <row r="79" spans="1:6" x14ac:dyDescent="0.2">
      <c r="B79" s="3"/>
      <c r="C79" s="58"/>
      <c r="D79" s="695"/>
    </row>
    <row r="80" spans="1:6" x14ac:dyDescent="0.2">
      <c r="A80" s="2" t="s">
        <v>3340</v>
      </c>
      <c r="C80" s="5"/>
    </row>
    <row r="81" spans="1:5" x14ac:dyDescent="0.2">
      <c r="A81" t="s">
        <v>4429</v>
      </c>
      <c r="B81" s="3" t="s">
        <v>2683</v>
      </c>
      <c r="C81" t="str">
        <f>IF(OUTPUT!L408=1,"flow_op",IF(OUTPUT!L409=1,"flow_prop",IF(OUTPUT!L410=1,"flow_ven","flow_mag")))</f>
        <v>flow_prop</v>
      </c>
      <c r="E81" s="7" t="s">
        <v>2684</v>
      </c>
    </row>
    <row r="82" spans="1:5" x14ac:dyDescent="0.2">
      <c r="A82" t="s">
        <v>2431</v>
      </c>
      <c r="B82" s="3" t="s">
        <v>2432</v>
      </c>
      <c r="C82" t="str">
        <f>IF(OUTPUT!L413=1,"flow_op",IF(OUTPUT!L414=1,"flow_prop",IF(OUTPUT!L415=1,"flow_ven","flow_mag")))</f>
        <v>flow_mag</v>
      </c>
    </row>
    <row r="83" spans="1:5" x14ac:dyDescent="0.2">
      <c r="A83" t="s">
        <v>1648</v>
      </c>
      <c r="B83" s="3" t="s">
        <v>1649</v>
      </c>
      <c r="C83" t="str">
        <f>IF(OUTPUT!L418=1,"flow_op",IF(OUTPUT!L419=1,"flow_prop",IF(OUTPUT!L420=1,"flow_ven","flow_mag")))</f>
        <v>flow_prop</v>
      </c>
    </row>
    <row r="84" spans="1:5" x14ac:dyDescent="0.2">
      <c r="A84" t="s">
        <v>1650</v>
      </c>
      <c r="B84" s="3" t="s">
        <v>1651</v>
      </c>
      <c r="C84" t="str">
        <f>IF(OUTPUT!L423=1,"flow_op",IF(OUTPUT!L424=1,"flow_prop",IF(OUTPUT!L425=1,"flow_ven","flow_mag")))</f>
        <v>flow_prop</v>
      </c>
    </row>
    <row r="85" spans="1:5" x14ac:dyDescent="0.2">
      <c r="A85" t="s">
        <v>2538</v>
      </c>
      <c r="B85" s="3" t="s">
        <v>2539</v>
      </c>
      <c r="C85" s="5">
        <f>VLOOKUP(fm_lkp_io,port_table,2,FALSE)*tot_fm_in+VLOOKUP(fm_lkp_proc,port_table,2,FALSE)*tot_fm_proc+VLOOKUP(fm_lkp_back,port_table,2,FALSE)*tot_fm_back+VLOOKUP(fm_lkp_res,port_table,2,FALSE)*tot_fm_res+VLOOKUP("alarm",port_table,2,FALSE)*(tot_level_switch+tot_back_alarm+tot_chem_alarm+tot_res_alarm)+VLOOKUP("orp",port_table,2,FALSE)*ORP_sensor+VLOOKUP("ph",port_table,2,FALSE)*pH_controls+VLOOKUP("temp",port_table,2,FALSE)*tot_temp_meters+VLOOKUP("turb",port_table,2,FALSE)*tot_turb_meters+VLOOKUP("head",port_table,2,FALSE)*tot_head_sens+VLOOKUP("port",port_table,2,FALSE)*ports+VLOOKUP("switch",port_table,2,FALSE)*tot_switches+VLOOKUP("valve",port_table,2,FALSE)*tot_MOVs+VLOOKUP("clo4",port_table,2,FALSE)*tot_ClO4_analyzer+VLOOKUP("nitrate",port_table,2,FALSE)*tot_N_analyzer+VLOOKUP("do",port_table,2,FALSE)*tot_DO_analyzer</f>
        <v>54</v>
      </c>
      <c r="D85" s="694" t="s">
        <v>606</v>
      </c>
    </row>
    <row r="86" spans="1:5" x14ac:dyDescent="0.2">
      <c r="A86" t="s">
        <v>2540</v>
      </c>
      <c r="B86" s="3" t="s">
        <v>2541</v>
      </c>
      <c r="C86" s="5">
        <f>IF(manual=2,0,VLOOKUP(fm_lkp_io,port_table,3,FALSE)*tot_fm_in+VLOOKUP(fm_lkp_proc,port_table,3,FALSE)*tot_fm_proc+VLOOKUP(fm_lkp_back,port_table,3,FALSE)*tot_fm_back+VLOOKUP(fm_lkp_res,port_table,3,FALSE)*tot_fm_res+VLOOKUP("alarm",port_table,3,FALSE)*(tot_level_switch+tot_back_alarm+tot_chem_alarm+tot_res_alarm)+VLOOKUP("orp",port_table,3,FALSE)*ORP_sensor+VLOOKUP("ph",port_table,3,FALSE)*pH_controls+VLOOKUP("temp",port_table,3,FALSE)*tot_temp_meters+VLOOKUP("turb",port_table,3,FALSE)*tot_turb_meters+VLOOKUP("head",port_table,3,FALSE)*tot_head_sens+VLOOKUP("port",port_table,3,FALSE)*ports+VLOOKUP("switch",port_table,3,FALSE)*tot_switches+VLOOKUP("valve",port_table,3,FALSE)*tot_MOVs+VLOOKUP("clo4",port_table,3,FALSE)*tot_ClO4_analyzer+VLOOKUP("nitrate",port_table,3,FALSE)*tot_N_analyzer+VLOOKUP("do",port_table,3,FALSE)*tot_DO_analyzer)</f>
        <v>17</v>
      </c>
      <c r="D86" s="694" t="s">
        <v>606</v>
      </c>
    </row>
    <row r="87" spans="1:5" x14ac:dyDescent="0.2">
      <c r="A87" t="s">
        <v>2542</v>
      </c>
      <c r="B87" s="3" t="s">
        <v>2543</v>
      </c>
      <c r="C87" s="5">
        <f>VLOOKUP(fm_lkp_io,port_table,4,FALSE)*tot_fm_in+VLOOKUP(fm_lkp_proc,port_table,4,FALSE)*tot_fm_proc+VLOOKUP(fm_lkp_back,port_table,4,FALSE)*tot_fm_back+VLOOKUP(fm_lkp_res,port_table,4,FALSE)*tot_fm_res+VLOOKUP("alarm",port_table,4,FALSE)*(tot_level_switch+tot_back_alarm+tot_chem_alarm+tot_res_alarm)+VLOOKUP("orp",port_table,4,FALSE)*ORP_sensor+VLOOKUP("ph",port_table,4,FALSE)*pH_controls+VLOOKUP("temp",port_table,4,FALSE)*tot_temp_meters+VLOOKUP("turb",port_table,4,FALSE)*tot_turb_meters+VLOOKUP("head",port_table,4,FALSE)*tot_head_sens+VLOOKUP("port",port_table,4,FALSE)*ports+VLOOKUP("switch",port_table,4,FALSE)*tot_switches+VLOOKUP("valve",port_table,4,FALSE)*tot_MOVs+VLOOKUP("clo4",port_table,4,FALSE)*tot_ClO4_analyzer+VLOOKUP("nitrate",port_table,4,FALSE)*tot_N_analyzer+VLOOKUP("do",port_table,4,FALSE)*tot_DO_analyzer</f>
        <v>73</v>
      </c>
      <c r="D87" s="694" t="s">
        <v>606</v>
      </c>
    </row>
    <row r="88" spans="1:5" x14ac:dyDescent="0.2">
      <c r="A88" t="s">
        <v>2544</v>
      </c>
      <c r="B88" s="3" t="s">
        <v>2545</v>
      </c>
      <c r="C88" s="5">
        <f>IF(manual=2,0,VLOOKUP(fm_lkp_io,port_table,5,FALSE)*tot_fm_in+VLOOKUP(fm_lkp_proc,port_table,5,FALSE)*tot_fm_proc+VLOOKUP(fm_lkp_back,port_table,5,FALSE)*tot_fm_back+VLOOKUP(fm_lkp_res,port_table,5,FALSE)*tot_fm_res+VLOOKUP("alarm",port_table,5,FALSE)*(tot_level_switch+tot_back_alarm+tot_chem_alarm+tot_res_alarm)+VLOOKUP("orp",port_table,5,FALSE)*ORP_sensor+VLOOKUP("ph",port_table,5,FALSE)*pH_controls+VLOOKUP("temp",port_table,5,FALSE)*tot_temp_meters+VLOOKUP("turb",port_table,5,FALSE)*tot_turb_meters+VLOOKUP("head",port_table,5,FALSE)*tot_head_sens+VLOOKUP("port",port_table,5,FALSE)*ports+VLOOKUP("switch",port_table,5,FALSE)*tot_switches+VLOOKUP("valve",port_table,5,FALSE)*tot_MOVs+VLOOKUP("clo4",port_table,5,FALSE)*tot_ClO4_analyzer+VLOOKUP("nitrate",port_table,5,FALSE)*tot_N_analyzer+VLOOKUP("do",port_table,5,FALSE)*tot_DO_analyzer)</f>
        <v>55</v>
      </c>
      <c r="D88" s="694" t="s">
        <v>606</v>
      </c>
    </row>
    <row r="89" spans="1:5" x14ac:dyDescent="0.2">
      <c r="A89" t="s">
        <v>1493</v>
      </c>
      <c r="B89" s="3" t="s">
        <v>1494</v>
      </c>
      <c r="C89">
        <f>ROUNDUP(discrete_outputs/32,0)</f>
        <v>1</v>
      </c>
      <c r="D89" s="694" t="s">
        <v>606</v>
      </c>
    </row>
    <row r="90" spans="1:5" x14ac:dyDescent="0.2">
      <c r="A90" t="s">
        <v>1495</v>
      </c>
      <c r="B90" s="3" t="s">
        <v>1496</v>
      </c>
      <c r="C90">
        <f>ROUNDUP(discrete_inputs/32,0)</f>
        <v>2</v>
      </c>
      <c r="D90" s="694" t="s">
        <v>606</v>
      </c>
    </row>
    <row r="91" spans="1:5" x14ac:dyDescent="0.2">
      <c r="A91" t="s">
        <v>1497</v>
      </c>
      <c r="B91" s="3" t="s">
        <v>1498</v>
      </c>
      <c r="C91">
        <f>ROUNDUP((analog_inputs + analog_outputs)/12,0)</f>
        <v>11</v>
      </c>
      <c r="D91" s="694" t="s">
        <v>606</v>
      </c>
    </row>
    <row r="92" spans="1:5" x14ac:dyDescent="0.2">
      <c r="A92" t="s">
        <v>1499</v>
      </c>
      <c r="B92" s="3" t="s">
        <v>1500</v>
      </c>
      <c r="C92">
        <f>plc_cpu + plc_ethernet + plc_discrete_input + plc_discrete_output +  plc_combination_analog</f>
        <v>18</v>
      </c>
      <c r="D92" s="694" t="s">
        <v>606</v>
      </c>
    </row>
    <row r="93" spans="1:5" x14ac:dyDescent="0.2">
      <c r="A93" t="s">
        <v>1501</v>
      </c>
      <c r="B93" s="3" t="s">
        <v>1502</v>
      </c>
      <c r="C93">
        <f>IF(plc_slots&lt;=9,0,ROUNDUP((plc_slots-9)/8,0))</f>
        <v>2</v>
      </c>
      <c r="D93" s="694" t="s">
        <v>606</v>
      </c>
    </row>
    <row r="94" spans="1:5" x14ac:dyDescent="0.2">
      <c r="A94" t="s">
        <v>1503</v>
      </c>
      <c r="B94" s="3" t="s">
        <v>1504</v>
      </c>
      <c r="C94">
        <f>1+plc_expansions</f>
        <v>3</v>
      </c>
      <c r="D94" s="694" t="s">
        <v>606</v>
      </c>
    </row>
    <row r="95" spans="1:5" x14ac:dyDescent="0.2">
      <c r="A95" t="s">
        <v>1505</v>
      </c>
      <c r="B95" s="3" t="s">
        <v>1506</v>
      </c>
      <c r="C95">
        <f>plc_expansions</f>
        <v>2</v>
      </c>
      <c r="D95" s="694" t="s">
        <v>606</v>
      </c>
    </row>
    <row r="96" spans="1:5" x14ac:dyDescent="0.2">
      <c r="A96" t="s">
        <v>1507</v>
      </c>
      <c r="B96" s="3" t="s">
        <v>1508</v>
      </c>
      <c r="C96">
        <f>plc_expansions</f>
        <v>2</v>
      </c>
      <c r="D96" s="694" t="s">
        <v>606</v>
      </c>
    </row>
    <row r="97" spans="1:4" x14ac:dyDescent="0.2">
      <c r="A97" t="s">
        <v>2546</v>
      </c>
      <c r="B97" s="3" t="s">
        <v>2547</v>
      </c>
      <c r="C97">
        <f>ROUNDUP(Operator_LOE/2080/shifts_day/workstation_ratio,0)</f>
        <v>1</v>
      </c>
      <c r="D97" s="694" t="s">
        <v>606</v>
      </c>
    </row>
    <row r="98" spans="1:4" x14ac:dyDescent="0.2">
      <c r="A98" t="s">
        <v>2548</v>
      </c>
      <c r="B98" s="3" t="s">
        <v>2549</v>
      </c>
      <c r="C98">
        <f>ROUNDUP(workstations/printer_ratio,0)</f>
        <v>1</v>
      </c>
      <c r="D98" s="694" t="s">
        <v>606</v>
      </c>
    </row>
    <row r="99" spans="1:4" x14ac:dyDescent="0.2">
      <c r="A99" s="26"/>
      <c r="B99" s="3"/>
      <c r="D99" s="695"/>
    </row>
    <row r="100" spans="1:4" x14ac:dyDescent="0.2">
      <c r="A100" s="26"/>
      <c r="B100" s="31"/>
      <c r="C100" s="26"/>
      <c r="D100" s="695"/>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F211"/>
  <sheetViews>
    <sheetView zoomScaleNormal="100" workbookViewId="0">
      <pane ySplit="3" topLeftCell="A4" activePane="bottomLeft" state="frozen"/>
      <selection activeCell="C110" sqref="C110"/>
      <selection pane="bottomLeft"/>
    </sheetView>
  </sheetViews>
  <sheetFormatPr defaultRowHeight="12.75" x14ac:dyDescent="0.2"/>
  <cols>
    <col min="1" max="1" width="59.42578125" customWidth="1"/>
    <col min="2" max="2" width="23.7109375" customWidth="1"/>
    <col min="3" max="3" width="17.28515625" customWidth="1"/>
    <col min="4" max="4" width="15.140625" style="694" customWidth="1"/>
    <col min="5" max="5" width="15" bestFit="1" customWidth="1"/>
  </cols>
  <sheetData>
    <row r="1" spans="1:5" x14ac:dyDescent="0.2">
      <c r="A1" s="1" t="s">
        <v>3861</v>
      </c>
    </row>
    <row r="3" spans="1:5" x14ac:dyDescent="0.2">
      <c r="A3" s="193" t="s">
        <v>3853</v>
      </c>
      <c r="B3" s="193" t="s">
        <v>1640</v>
      </c>
      <c r="C3" s="194" t="s">
        <v>1641</v>
      </c>
      <c r="D3" s="193" t="s">
        <v>1642</v>
      </c>
      <c r="E3" s="193" t="s">
        <v>594</v>
      </c>
    </row>
    <row r="4" spans="1:5" x14ac:dyDescent="0.2">
      <c r="A4" s="2" t="s">
        <v>3234</v>
      </c>
      <c r="C4" s="5"/>
    </row>
    <row r="5" spans="1:5" x14ac:dyDescent="0.2">
      <c r="A5" s="139" t="s">
        <v>1909</v>
      </c>
      <c r="B5" s="3" t="s">
        <v>25</v>
      </c>
      <c r="C5" s="5">
        <f>IF(res_s2_opt_I="surface water",1,IF(res_s2_opt_I="POTW",2,IF(res_s2_opt_I="recycle",3,4)))</f>
        <v>3</v>
      </c>
      <c r="D5" s="694" t="s">
        <v>2290</v>
      </c>
    </row>
    <row r="6" spans="1:5" x14ac:dyDescent="0.2">
      <c r="A6" s="139" t="s">
        <v>1910</v>
      </c>
      <c r="B6" s="3" t="s">
        <v>24</v>
      </c>
      <c r="C6" s="5">
        <f>IF(res_s2_opt=4,2,IF(OR(res_s1_opt_I="holding tank",res_s2_opt=3),1,2))</f>
        <v>1</v>
      </c>
      <c r="D6" s="694" t="s">
        <v>1530</v>
      </c>
    </row>
    <row r="7" spans="1:5" x14ac:dyDescent="0.2">
      <c r="A7" s="139" t="s">
        <v>758</v>
      </c>
      <c r="B7" s="3" t="s">
        <v>659</v>
      </c>
      <c r="C7" s="5">
        <f>IF(OR(res_s1_opt=2,sed_sludge_method_I="none"),0,IF(sed_sludge_method_I="thickener w/ mechanical dewatering",1,2))</f>
        <v>0</v>
      </c>
      <c r="D7" s="694" t="s">
        <v>660</v>
      </c>
    </row>
    <row r="8" spans="1:5" x14ac:dyDescent="0.2">
      <c r="A8" t="s">
        <v>39</v>
      </c>
      <c r="B8" s="3" t="s">
        <v>1689</v>
      </c>
      <c r="C8" s="323">
        <f>IF(solids_haz_I="non-hazardous",1,2)</f>
        <v>1</v>
      </c>
      <c r="D8" s="695" t="s">
        <v>26</v>
      </c>
    </row>
    <row r="9" spans="1:5" x14ac:dyDescent="0.2">
      <c r="B9" s="3"/>
      <c r="C9" s="73"/>
      <c r="D9" s="742"/>
    </row>
    <row r="10" spans="1:5" x14ac:dyDescent="0.2">
      <c r="A10" s="2" t="s">
        <v>1935</v>
      </c>
      <c r="B10" s="3"/>
      <c r="C10" s="73"/>
      <c r="D10" s="742"/>
    </row>
    <row r="11" spans="1:5" x14ac:dyDescent="0.2">
      <c r="A11" t="s">
        <v>2309</v>
      </c>
      <c r="B11" s="3" t="s">
        <v>2310</v>
      </c>
      <c r="C11" s="73">
        <f>waterflush_vol</f>
        <v>130</v>
      </c>
      <c r="D11" s="694" t="s">
        <v>1332</v>
      </c>
      <c r="E11" s="7" t="s">
        <v>405</v>
      </c>
    </row>
    <row r="12" spans="1:5" x14ac:dyDescent="0.2">
      <c r="A12" t="s">
        <v>2311</v>
      </c>
      <c r="B12" s="3" t="s">
        <v>2312</v>
      </c>
      <c r="C12" s="73">
        <f>IF(design_type=3,0,back_interval*60/IF(design_type=1,op_num_tanks,op_num_basins))</f>
        <v>480</v>
      </c>
      <c r="D12" s="694" t="s">
        <v>604</v>
      </c>
      <c r="E12" s="7"/>
    </row>
    <row r="13" spans="1:5" x14ac:dyDescent="0.2">
      <c r="A13" t="s">
        <v>2958</v>
      </c>
      <c r="B13" s="3" t="s">
        <v>2314</v>
      </c>
      <c r="C13" s="73">
        <f>IF(design_type=3,0,IF(OR(res_s1_opt=1,res_s2_opt=3),res_vol/res_stagger_time,res_vol/backwash_time))</f>
        <v>0.27083333333333331</v>
      </c>
      <c r="D13" s="694" t="s">
        <v>2765</v>
      </c>
      <c r="E13" s="7" t="s">
        <v>504</v>
      </c>
    </row>
    <row r="14" spans="1:5" x14ac:dyDescent="0.2">
      <c r="A14" t="s">
        <v>2959</v>
      </c>
      <c r="B14" s="3" t="s">
        <v>2316</v>
      </c>
      <c r="C14" s="73">
        <f>IF(design_type=3,0,IF(OR(res_s1_opt=1,res_s2_opt=3),res_cap_factor*res_vol/res_stagger_time,res_flow_actual))</f>
        <v>0.54166666666666663</v>
      </c>
      <c r="D14" s="694" t="s">
        <v>2765</v>
      </c>
      <c r="E14" s="7" t="s">
        <v>505</v>
      </c>
    </row>
    <row r="15" spans="1:5" x14ac:dyDescent="0.2">
      <c r="A15" s="5" t="s">
        <v>2960</v>
      </c>
      <c r="B15" s="3" t="s">
        <v>2318</v>
      </c>
      <c r="C15" s="73">
        <f>IF(design_type=3,0,res_vol*IF(design_type=1,op_num_tanks,op_num_basins)*(365*24/back_interval))</f>
        <v>142350</v>
      </c>
      <c r="D15" s="694" t="s">
        <v>1332</v>
      </c>
      <c r="E15" s="7"/>
    </row>
    <row r="16" spans="1:5" x14ac:dyDescent="0.2">
      <c r="B16" s="3"/>
      <c r="C16" s="73"/>
      <c r="D16" s="742"/>
    </row>
    <row r="17" spans="1:5" x14ac:dyDescent="0.2">
      <c r="A17" s="2" t="s">
        <v>1936</v>
      </c>
      <c r="B17" s="3"/>
      <c r="C17" s="73"/>
      <c r="D17" s="742"/>
    </row>
    <row r="18" spans="1:5" x14ac:dyDescent="0.2">
      <c r="A18" t="s">
        <v>2309</v>
      </c>
      <c r="B18" s="3" t="s">
        <v>1938</v>
      </c>
      <c r="C18" s="73">
        <f>filter_waterflush_vol</f>
        <v>1316</v>
      </c>
      <c r="D18" s="694" t="s">
        <v>1332</v>
      </c>
      <c r="E18" s="7" t="s">
        <v>1937</v>
      </c>
    </row>
    <row r="19" spans="1:5" x14ac:dyDescent="0.2">
      <c r="A19" t="s">
        <v>2311</v>
      </c>
      <c r="B19" s="3" t="s">
        <v>1939</v>
      </c>
      <c r="C19" s="73">
        <f>IF(include_post=0,0,filter_back_interval*60/IF(filter_type=1,op_num_filters,op_num_tanks_filt))</f>
        <v>1080</v>
      </c>
      <c r="D19" s="694" t="s">
        <v>604</v>
      </c>
      <c r="E19" s="7"/>
    </row>
    <row r="20" spans="1:5" x14ac:dyDescent="0.2">
      <c r="A20" t="s">
        <v>2313</v>
      </c>
      <c r="B20" s="3" t="s">
        <v>1940</v>
      </c>
      <c r="C20" s="73">
        <f>IF(include_post=0,0,IF(OR(res_s1_opt=1,res_s2_opt=3),filter_res_vol/filter_res_stagger_time,filter_res_vol/filter_backwash_time))</f>
        <v>1.2185185185185186</v>
      </c>
      <c r="D20" s="694" t="s">
        <v>2765</v>
      </c>
      <c r="E20" s="7" t="s">
        <v>504</v>
      </c>
    </row>
    <row r="21" spans="1:5" x14ac:dyDescent="0.2">
      <c r="A21" t="s">
        <v>2315</v>
      </c>
      <c r="B21" s="3" t="s">
        <v>1941</v>
      </c>
      <c r="C21" s="73">
        <f>IF(include_post=0,0,IF(OR(res_s1_opt=1,res_s2_opt=3),res_cap_factor*filter_res_vol/filter_res_stagger_time,filter_res_flow_actual))</f>
        <v>2.4370370370370371</v>
      </c>
      <c r="D21" s="694" t="s">
        <v>2765</v>
      </c>
      <c r="E21" s="7" t="s">
        <v>505</v>
      </c>
    </row>
    <row r="22" spans="1:5" x14ac:dyDescent="0.2">
      <c r="A22" t="s">
        <v>2317</v>
      </c>
      <c r="B22" s="3" t="s">
        <v>1942</v>
      </c>
      <c r="C22" s="73">
        <f>IF(include_post=0,0,filter_res_vol*IF(filter_type=1,op_num_filters,op_num_tanks_filt)*(365*24/filter_back_interval))</f>
        <v>640453.33333333337</v>
      </c>
      <c r="D22" s="694" t="s">
        <v>1332</v>
      </c>
      <c r="E22" s="7"/>
    </row>
    <row r="23" spans="1:5" x14ac:dyDescent="0.2">
      <c r="B23" s="3"/>
      <c r="C23" s="73"/>
      <c r="E23" s="7"/>
    </row>
    <row r="24" spans="1:5" x14ac:dyDescent="0.2">
      <c r="A24" s="2" t="s">
        <v>1274</v>
      </c>
      <c r="B24" s="3"/>
      <c r="C24" s="73"/>
      <c r="D24" s="742"/>
    </row>
    <row r="25" spans="1:5" x14ac:dyDescent="0.2">
      <c r="A25" s="5" t="s">
        <v>1166</v>
      </c>
      <c r="B25" s="3"/>
      <c r="C25" s="73">
        <f>IF(design_type=3,0,(influent_TSS-effluent_TSS+biomass_I)*average_flow*1000000*(back_interval/24)/(res_vol*IF(design_type=1,op_num_tanks,op_num_basins)))</f>
        <v>852.56410256410254</v>
      </c>
      <c r="D25" s="721" t="s">
        <v>1878</v>
      </c>
    </row>
    <row r="26" spans="1:5" x14ac:dyDescent="0.2">
      <c r="A26" s="5" t="s">
        <v>1943</v>
      </c>
      <c r="B26" s="3"/>
      <c r="C26" s="73">
        <f>IF(AND(include_post=1,design_type=3),(influent_TSS-effluent_TSS+biomass_I)*average_flow*1000000*(filter_back_interval/24)/(filter_res_vol*IF(filter_type=1,op_num_filters,op_num_tanks_filt)),0)</f>
        <v>0</v>
      </c>
      <c r="D26" s="721" t="s">
        <v>1878</v>
      </c>
    </row>
    <row r="27" spans="1:5" x14ac:dyDescent="0.2">
      <c r="A27" s="5" t="s">
        <v>1167</v>
      </c>
      <c r="B27" s="3"/>
      <c r="C27" s="73">
        <f>IF(AND(res_flow_annual=0,filter_res_flow_annual=0),0,(media_loss+filter_media_loss+filter_sand_loss+filter_anthracite_loss+filter_garnet_loss)*453590/((res_flow_annual+filter_res_flow_annual)*3.78))</f>
        <v>125.28797845010881</v>
      </c>
      <c r="D27" s="742" t="s">
        <v>1878</v>
      </c>
    </row>
    <row r="28" spans="1:5" x14ac:dyDescent="0.2">
      <c r="A28" t="s">
        <v>3212</v>
      </c>
      <c r="B28" s="3" t="s">
        <v>3213</v>
      </c>
      <c r="C28" s="73">
        <f>SUM(C25:C27)</f>
        <v>977.85208101421131</v>
      </c>
      <c r="D28" s="694" t="s">
        <v>1878</v>
      </c>
    </row>
    <row r="29" spans="1:5" x14ac:dyDescent="0.2">
      <c r="A29" t="s">
        <v>1275</v>
      </c>
      <c r="B29" s="3" t="s">
        <v>1276</v>
      </c>
      <c r="C29" s="73">
        <f>IF(res_s2_opt=4,TSS_residuals*res_flow_annual*3.785/1000/453.59/dredging_freq,0)</f>
        <v>0</v>
      </c>
      <c r="D29" s="694" t="s">
        <v>2591</v>
      </c>
    </row>
    <row r="30" spans="1:5" x14ac:dyDescent="0.2">
      <c r="A30" t="s">
        <v>1561</v>
      </c>
      <c r="B30" s="3"/>
      <c r="C30" s="73">
        <f>IF(res_holding="none",0,TSS_residuals*IF(coag_res=1,coag_TSSrem,htank_TSSrem)*(res_flow_annual+filter_res_flow_annual)*3.785/1000/453.59)</f>
        <v>1596.8651824150666</v>
      </c>
      <c r="D30" s="694" t="s">
        <v>506</v>
      </c>
    </row>
    <row r="31" spans="1:5" x14ac:dyDescent="0.2">
      <c r="A31" t="s">
        <v>3247</v>
      </c>
      <c r="B31" s="3"/>
      <c r="C31" s="73">
        <f>IF(res_holding&lt;&gt;"none",IF(coag_res=1,coag_dose*coag_spf*8.34*(res_flow_annual+filter_res_flow_annual)/10^6,0)+IF(polymer_res=1,polymer_dose*polymer_spf*8.34*(res_flow_annual+filter_res_flow_annual)/10^6,0),0)</f>
        <v>652.85798</v>
      </c>
      <c r="D31" s="694" t="s">
        <v>506</v>
      </c>
    </row>
    <row r="32" spans="1:5" x14ac:dyDescent="0.2">
      <c r="A32" t="s">
        <v>564</v>
      </c>
      <c r="B32" s="3" t="s">
        <v>1562</v>
      </c>
      <c r="C32" s="73">
        <f>C30+C31</f>
        <v>2249.7231624150663</v>
      </c>
      <c r="D32" s="694" t="s">
        <v>506</v>
      </c>
    </row>
    <row r="33" spans="1:5" x14ac:dyDescent="0.2">
      <c r="A33" t="s">
        <v>1553</v>
      </c>
      <c r="B33" s="3" t="s">
        <v>1565</v>
      </c>
      <c r="C33" s="73">
        <f>IF(res_s2_opt=4,dredging_freq,IF(res_holding="none",0,ROUNDUP((ht_solids/ht_solids_density*7.48)/(IF(res_holding="tanks",htanks*htank_vol,hbasins*hbasin_vol)*htank_clean_pct),0)))</f>
        <v>2</v>
      </c>
      <c r="D33" s="721" t="s">
        <v>507</v>
      </c>
    </row>
    <row r="34" spans="1:5" x14ac:dyDescent="0.2">
      <c r="A34" t="s">
        <v>1563</v>
      </c>
      <c r="B34" s="3" t="s">
        <v>1564</v>
      </c>
      <c r="C34" s="428">
        <f>IF(res_s2_opt=4,ep_solids,IF(res_holding="none",0,ht_solids/sol_disp_freq))/2000</f>
        <v>0.56243079060376655</v>
      </c>
      <c r="D34" s="694" t="s">
        <v>3587</v>
      </c>
    </row>
    <row r="35" spans="1:5" x14ac:dyDescent="0.2">
      <c r="B35" s="3"/>
      <c r="C35" s="73"/>
      <c r="D35" s="742"/>
    </row>
    <row r="36" spans="1:5" x14ac:dyDescent="0.2">
      <c r="A36" s="2" t="s">
        <v>1566</v>
      </c>
      <c r="B36" s="3"/>
    </row>
    <row r="37" spans="1:5" x14ac:dyDescent="0.2">
      <c r="A37" s="736" t="s">
        <v>1567</v>
      </c>
      <c r="B37" s="3"/>
    </row>
    <row r="38" spans="1:5" x14ac:dyDescent="0.2">
      <c r="A38" s="627" t="s">
        <v>1582</v>
      </c>
      <c r="B38" s="3" t="s">
        <v>1583</v>
      </c>
      <c r="C38" s="157">
        <f>MAX(VLOOKUP(10^6,st_bwt_cost_cl,1)-1,VLOOKUP(10^6,fg_bwt_cost_cl,1)-1,VLOOKUP(10^6,hdpe_bwt_cost_cl,1)-1)</f>
        <v>289000</v>
      </c>
      <c r="D38" s="694" t="s">
        <v>1332</v>
      </c>
      <c r="E38" s="7" t="s">
        <v>3645</v>
      </c>
    </row>
    <row r="39" spans="1:5" x14ac:dyDescent="0.2">
      <c r="A39" s="627" t="s">
        <v>1568</v>
      </c>
      <c r="B39" s="3" t="s">
        <v>1569</v>
      </c>
      <c r="C39">
        <f>IF(coag_res=1,0,IF(OR(res_s1_opt=1,res_s2_opt=3),ROUNDUP(res_cap_factor*(res_vol+filter_res_vol)/max_htank_size,0)))</f>
        <v>1</v>
      </c>
      <c r="D39" s="694" t="s">
        <v>606</v>
      </c>
      <c r="E39" s="80"/>
    </row>
    <row r="40" spans="1:5" x14ac:dyDescent="0.2">
      <c r="A40" s="627" t="s">
        <v>1570</v>
      </c>
      <c r="B40" s="3" t="s">
        <v>1571</v>
      </c>
      <c r="C40" s="10">
        <f>IF(htanks=0,0,res_cap_factor*(res_vol+filter_res_vol)/htanks)</f>
        <v>2892</v>
      </c>
      <c r="D40" s="694" t="s">
        <v>1332</v>
      </c>
    </row>
    <row r="41" spans="1:5" x14ac:dyDescent="0.2">
      <c r="A41" s="627"/>
      <c r="B41" s="3"/>
      <c r="C41" s="10"/>
    </row>
    <row r="42" spans="1:5" x14ac:dyDescent="0.2">
      <c r="A42" s="736" t="s">
        <v>636</v>
      </c>
      <c r="B42" s="3"/>
      <c r="C42" s="10"/>
    </row>
    <row r="43" spans="1:5" x14ac:dyDescent="0.2">
      <c r="A43" s="732" t="s">
        <v>780</v>
      </c>
      <c r="B43" s="3" t="s">
        <v>782</v>
      </c>
      <c r="C43" s="689">
        <f>IF(AND(filter_type=0,design_type=3),0,(IF(OR(coag_res=1,polymer_res=1),ROUNDUP(res_coag_settle_time/IF(filter_type=0,res_stagger_time,IF(design_type=3,filter_res_stagger_time,MIN(res_stagger_time,filter_res_stagger_time))),0),1)))</f>
        <v>1</v>
      </c>
      <c r="D43" s="694" t="s">
        <v>606</v>
      </c>
      <c r="E43" s="7" t="s">
        <v>781</v>
      </c>
    </row>
    <row r="44" spans="1:5" x14ac:dyDescent="0.2">
      <c r="A44" s="627" t="s">
        <v>637</v>
      </c>
      <c r="B44" s="3" t="s">
        <v>638</v>
      </c>
      <c r="C44" s="6">
        <f>IF(OR(res_s1_opt=1,res_s2_opt=3),hbasins_default*hbasin_redun,0)</f>
        <v>1</v>
      </c>
      <c r="D44" s="694" t="s">
        <v>606</v>
      </c>
      <c r="E44" s="7" t="s">
        <v>639</v>
      </c>
    </row>
    <row r="45" spans="1:5" x14ac:dyDescent="0.2">
      <c r="A45" s="128" t="s">
        <v>783</v>
      </c>
      <c r="B45" s="31" t="s">
        <v>779</v>
      </c>
      <c r="C45" s="73">
        <f>IF(hbasins=0,0,res_cap_factor*(res_vol+filter_res_vol)*hbasin_redun/7.48)</f>
        <v>386.63101604278074</v>
      </c>
      <c r="D45" s="694" t="s">
        <v>1239</v>
      </c>
      <c r="E45" s="7" t="s">
        <v>639</v>
      </c>
    </row>
    <row r="46" spans="1:5" x14ac:dyDescent="0.2">
      <c r="A46" s="128" t="s">
        <v>784</v>
      </c>
      <c r="B46" s="31" t="s">
        <v>640</v>
      </c>
      <c r="C46" s="73">
        <f>IF(hbasins=0,0,total_hvol_ft/hbasins)</f>
        <v>386.63101604278074</v>
      </c>
      <c r="D46" s="694" t="s">
        <v>1239</v>
      </c>
      <c r="E46" s="7" t="s">
        <v>639</v>
      </c>
    </row>
    <row r="47" spans="1:5" x14ac:dyDescent="0.2">
      <c r="A47" s="128" t="s">
        <v>785</v>
      </c>
      <c r="B47" s="31" t="s">
        <v>641</v>
      </c>
      <c r="C47" s="6">
        <f>IF(hbasins=0,0,ROUNDUP(hvol_ft^(1/3)*holding_ratio,0))</f>
        <v>5</v>
      </c>
      <c r="D47" s="694" t="s">
        <v>3506</v>
      </c>
      <c r="E47" s="7" t="s">
        <v>639</v>
      </c>
    </row>
    <row r="48" spans="1:5" x14ac:dyDescent="0.2">
      <c r="A48" s="128" t="s">
        <v>786</v>
      </c>
      <c r="B48" s="31" t="s">
        <v>642</v>
      </c>
      <c r="C48" s="6">
        <f>IF(hbasins=0,0,ROUNDUP((hvol_ft/hbasin_op_depth)^0.5,0))</f>
        <v>9</v>
      </c>
      <c r="D48" s="694" t="s">
        <v>3506</v>
      </c>
      <c r="E48" s="7" t="s">
        <v>639</v>
      </c>
    </row>
    <row r="49" spans="1:5" x14ac:dyDescent="0.2">
      <c r="A49" s="128" t="s">
        <v>787</v>
      </c>
      <c r="B49" s="31" t="s">
        <v>643</v>
      </c>
      <c r="C49" s="6">
        <f>hbasin_width</f>
        <v>9</v>
      </c>
      <c r="D49" s="694" t="s">
        <v>3506</v>
      </c>
      <c r="E49" s="7" t="s">
        <v>639</v>
      </c>
    </row>
    <row r="50" spans="1:5" x14ac:dyDescent="0.2">
      <c r="A50" s="128" t="s">
        <v>788</v>
      </c>
      <c r="B50" s="31" t="s">
        <v>644</v>
      </c>
      <c r="C50" s="6">
        <f>IF(hbasins=0,0,hbasin_op_depth+holding_freeboard)</f>
        <v>8</v>
      </c>
      <c r="D50" s="694" t="s">
        <v>3506</v>
      </c>
      <c r="E50" s="7" t="s">
        <v>639</v>
      </c>
    </row>
    <row r="51" spans="1:5" x14ac:dyDescent="0.2">
      <c r="A51" s="128" t="s">
        <v>789</v>
      </c>
      <c r="B51" s="31" t="s">
        <v>645</v>
      </c>
      <c r="C51" s="73">
        <f>ROUND(hbasin_width*hbasin_length*hbasin_depth*7.48,0)</f>
        <v>4847</v>
      </c>
      <c r="D51" s="694" t="s">
        <v>1332</v>
      </c>
      <c r="E51" s="7" t="s">
        <v>639</v>
      </c>
    </row>
    <row r="52" spans="1:5" x14ac:dyDescent="0.2">
      <c r="A52" s="128" t="s">
        <v>56</v>
      </c>
      <c r="B52" s="31" t="s">
        <v>646</v>
      </c>
      <c r="C52" s="73">
        <f>(2*(hbasin_width*hbasins+conc_thick*(hbasins+1))*hbasin_depth*conc_thick+(hbasins+1)*hbasin_length*hbasin_depth*conc_thick+(hbasin_length+2*conc_thick)*(hbasin_width*hbasins+conc_thick*(hbasins+1))*conc_thick)/27</f>
        <v>16.333333333333332</v>
      </c>
      <c r="D52" s="694" t="s">
        <v>2337</v>
      </c>
      <c r="E52" s="7" t="s">
        <v>639</v>
      </c>
    </row>
    <row r="53" spans="1:5" x14ac:dyDescent="0.2">
      <c r="A53" s="128" t="s">
        <v>58</v>
      </c>
      <c r="B53" s="31" t="s">
        <v>647</v>
      </c>
      <c r="C53" s="73">
        <f>IF(hbasins=0,0,((hbasins*hbasin_width+(hbasins+1)*conc_thick+overexcavate)*(hbasin_length+2*conc_thick+overexcavate)*(hbasin_depth+conc_thick+overexcavate)+0.5*(3*(hbasin_depth+conc_thick+overexcavate)*(hbasin_depth+conc_thick+overexcavate)*(hbasin_length+2*conc_thick+overexcavate)))/27)</f>
        <v>249.16666666666666</v>
      </c>
      <c r="D53" s="694" t="s">
        <v>2337</v>
      </c>
      <c r="E53" s="7" t="s">
        <v>639</v>
      </c>
    </row>
    <row r="54" spans="1:5" x14ac:dyDescent="0.2">
      <c r="A54" s="128" t="s">
        <v>60</v>
      </c>
      <c r="B54" s="31" t="s">
        <v>648</v>
      </c>
      <c r="C54" s="73">
        <f>IF(hbasins=0,0,hexcavation_vol-(hbasins*hbasin_width+(hbasins+1)*conc_thick)*(hbasin_length+2*conc_thick)*(hbasin_depth+conc_thick)/27)</f>
        <v>208.83333333333331</v>
      </c>
      <c r="D54" s="694" t="s">
        <v>2337</v>
      </c>
      <c r="E54" s="7" t="s">
        <v>639</v>
      </c>
    </row>
    <row r="55" spans="1:5" x14ac:dyDescent="0.2">
      <c r="A55" s="128" t="s">
        <v>62</v>
      </c>
      <c r="B55" s="31" t="s">
        <v>649</v>
      </c>
      <c r="C55" s="6">
        <f>IF(hbasins=0,0,2*(hbasins*hbasin_width+2*conc_thick/2+(hbasins-1)*conc_thick)+2*(hbasin_length+2*conc_thick/2))</f>
        <v>40</v>
      </c>
      <c r="D55" s="694" t="s">
        <v>1429</v>
      </c>
      <c r="E55" s="7" t="s">
        <v>639</v>
      </c>
    </row>
    <row r="56" spans="1:5" x14ac:dyDescent="0.2">
      <c r="A56" s="128"/>
      <c r="B56" s="31"/>
      <c r="C56" s="6"/>
      <c r="E56" s="7"/>
    </row>
    <row r="57" spans="1:5" x14ac:dyDescent="0.2">
      <c r="A57" s="627" t="s">
        <v>652</v>
      </c>
      <c r="B57" s="3" t="s">
        <v>653</v>
      </c>
      <c r="C57" s="671" t="str">
        <f>IF(AND(hbasins&lt;&gt;0,OR(coag_res=1,polymer_res=1)),"basins",IF(OUTPUT!L107=1,"basins",IF(OR(OUTPUT!L108=1,OUTPUT!L109=1,OUTPUT!L110=1),"tanks","none")))</f>
        <v>basins</v>
      </c>
      <c r="E57" s="7" t="s">
        <v>738</v>
      </c>
    </row>
    <row r="58" spans="1:5" x14ac:dyDescent="0.2">
      <c r="A58" s="128"/>
      <c r="B58" s="31"/>
      <c r="C58" s="6"/>
      <c r="E58" s="7"/>
    </row>
    <row r="59" spans="1:5" x14ac:dyDescent="0.2">
      <c r="A59" s="736" t="s">
        <v>585</v>
      </c>
      <c r="B59" s="3"/>
      <c r="E59" s="7"/>
    </row>
    <row r="60" spans="1:5" x14ac:dyDescent="0.2">
      <c r="A60" s="627" t="s">
        <v>1572</v>
      </c>
      <c r="B60" s="3" t="s">
        <v>1573</v>
      </c>
      <c r="C60">
        <f>IF(res_holding&lt;&gt;"none",ROUNDUP((res_flow+filter_res_flow)*(1+pump_safety_factor)/max_pump_size,0)+NRD_res_pump,0)</f>
        <v>2</v>
      </c>
      <c r="D60" s="694" t="s">
        <v>606</v>
      </c>
      <c r="E60" s="7"/>
    </row>
    <row r="61" spans="1:5" x14ac:dyDescent="0.2">
      <c r="A61" s="627" t="s">
        <v>1574</v>
      </c>
      <c r="B61" s="3" t="s">
        <v>1575</v>
      </c>
      <c r="C61" s="81">
        <f>IF(res_holding&lt;&gt;"none",(res_flow+filter_res_flow)*(1+pump_safety_factor)/(res_pumps-NRD_res_pump),0)</f>
        <v>3.7233796296296298</v>
      </c>
      <c r="D61" s="694" t="s">
        <v>2765</v>
      </c>
      <c r="E61" s="7"/>
    </row>
    <row r="62" spans="1:5" x14ac:dyDescent="0.2">
      <c r="A62" s="128"/>
      <c r="B62" s="31"/>
      <c r="C62" s="6"/>
      <c r="E62" s="7"/>
    </row>
    <row r="63" spans="1:5" x14ac:dyDescent="0.2">
      <c r="A63" s="736" t="s">
        <v>4207</v>
      </c>
      <c r="B63" s="3"/>
    </row>
    <row r="64" spans="1:5" x14ac:dyDescent="0.2">
      <c r="A64" s="128" t="s">
        <v>809</v>
      </c>
      <c r="B64" s="3" t="s">
        <v>810</v>
      </c>
      <c r="C64" s="648">
        <f>VLOOKUP(10^6,imp_mix_cost_cl,1)-0.1</f>
        <v>30</v>
      </c>
      <c r="D64" s="694" t="s">
        <v>1694</v>
      </c>
      <c r="E64" s="7" t="s">
        <v>811</v>
      </c>
    </row>
    <row r="65" spans="1:5" x14ac:dyDescent="0.2">
      <c r="A65" s="732" t="s">
        <v>4208</v>
      </c>
      <c r="B65" s="3" t="s">
        <v>812</v>
      </c>
      <c r="C65" s="42">
        <f>IF(AND(res_holding&lt;&gt;"none",OR(coag_res=1,polymer_res=1)),ROUNDUP(IF(res_holding="tanks",htank_vol,hbasin_vol)/1000*hmix_hp_per/hmix_hp_max,0),0)</f>
        <v>1</v>
      </c>
      <c r="D65" s="694" t="s">
        <v>606</v>
      </c>
    </row>
    <row r="66" spans="1:5" x14ac:dyDescent="0.2">
      <c r="A66" s="732" t="s">
        <v>4209</v>
      </c>
      <c r="B66" s="3" t="s">
        <v>3249</v>
      </c>
      <c r="C66" s="61">
        <f>IF(AND(res_holding&lt;&gt;"none",OR(coag_res=1,polymer_res=1)),IF(res_holding="tanks",htanks,hbasins)*hmix_per_tank,0)</f>
        <v>1</v>
      </c>
      <c r="D66" s="694" t="s">
        <v>606</v>
      </c>
    </row>
    <row r="67" spans="1:5" x14ac:dyDescent="0.2">
      <c r="A67" s="732" t="s">
        <v>4210</v>
      </c>
      <c r="B67" s="3" t="s">
        <v>3244</v>
      </c>
      <c r="C67" s="33">
        <f>IF(AND(res_holding&lt;&gt;"none",OR(coag_res=1,polymer_res=1)),MAX(min_hmix_hp,IF(res_holding="tanks",htank_vol,hbasin_vol)/1000*hmix_hp_per/hmix_per_tank),0)</f>
        <v>1.2117500000000001</v>
      </c>
      <c r="D67" s="694" t="s">
        <v>1694</v>
      </c>
      <c r="E67" s="7"/>
    </row>
    <row r="68" spans="1:5" x14ac:dyDescent="0.2">
      <c r="A68" s="627"/>
      <c r="B68" s="3"/>
      <c r="C68" s="61"/>
    </row>
    <row r="69" spans="1:5" x14ac:dyDescent="0.2">
      <c r="A69" s="736" t="s">
        <v>4211</v>
      </c>
      <c r="D69"/>
      <c r="E69" s="7" t="s">
        <v>4274</v>
      </c>
    </row>
    <row r="70" spans="1:5" x14ac:dyDescent="0.2">
      <c r="A70" s="732" t="s">
        <v>4212</v>
      </c>
      <c r="B70" s="3" t="s">
        <v>4213</v>
      </c>
      <c r="C70" s="73">
        <f>IF(AND(res_holding&lt;&gt;"none",coag_res=1),coag_dose*8.34*(res_vol+filter_res_vol)/10^6,0)</f>
        <v>0</v>
      </c>
      <c r="D70" s="694" t="s">
        <v>2591</v>
      </c>
      <c r="E70" s="7"/>
    </row>
    <row r="71" spans="1:5" x14ac:dyDescent="0.2">
      <c r="A71" s="732" t="s">
        <v>4214</v>
      </c>
      <c r="B71" s="3" t="s">
        <v>4204</v>
      </c>
      <c r="C71" s="696">
        <f>coag_day_lbs/coag_pct/coag_density</f>
        <v>0</v>
      </c>
      <c r="D71" s="694" t="s">
        <v>1332</v>
      </c>
    </row>
    <row r="72" spans="1:5" x14ac:dyDescent="0.2">
      <c r="A72" s="732" t="s">
        <v>4243</v>
      </c>
      <c r="B72" s="3" t="s">
        <v>4215</v>
      </c>
      <c r="C72" s="73">
        <f>IF(AND(res_holding&lt;&gt;"none",coag_res=1),coag_dose*8.34*(res_flow_annual+filter_res_flow_annual)/10^6/365*cstore_days,0)</f>
        <v>0</v>
      </c>
      <c r="D72" s="694" t="s">
        <v>2591</v>
      </c>
      <c r="E72" s="7"/>
    </row>
    <row r="73" spans="1:5" x14ac:dyDescent="0.2">
      <c r="A73" s="732" t="s">
        <v>4227</v>
      </c>
      <c r="B73" s="3" t="s">
        <v>4228</v>
      </c>
      <c r="C73" s="88">
        <f>coag_day_gal/IF(filter_type=0,backwash_time,MIN(backwash_time,filter_backwash_time))*60</f>
        <v>0</v>
      </c>
      <c r="D73" s="694" t="s">
        <v>3747</v>
      </c>
    </row>
    <row r="74" spans="1:5" x14ac:dyDescent="0.2">
      <c r="A74" s="732" t="s">
        <v>4229</v>
      </c>
      <c r="B74" s="3" t="s">
        <v>4230</v>
      </c>
      <c r="C74">
        <f>IF(coag_day_gal=0,0,ROUNDUP(coag_rate/max_cm_pump_size_noSS,0)+NRD_cm_pump)</f>
        <v>0</v>
      </c>
      <c r="D74" s="695" t="s">
        <v>606</v>
      </c>
    </row>
    <row r="75" spans="1:5" x14ac:dyDescent="0.2">
      <c r="A75" s="732" t="s">
        <v>4231</v>
      </c>
      <c r="B75" s="3" t="s">
        <v>4232</v>
      </c>
      <c r="C75">
        <f>IF(coag_day_gal=0,0,MAX(min_chem_flow,coag_rate*(1+pump_safety_factor))/(cm_pumps_coag-NRD_cm_pump))</f>
        <v>0</v>
      </c>
      <c r="D75" s="695" t="s">
        <v>3747</v>
      </c>
    </row>
    <row r="76" spans="1:5" x14ac:dyDescent="0.2">
      <c r="A76" s="627"/>
      <c r="B76" s="3"/>
      <c r="C76" s="81"/>
    </row>
    <row r="77" spans="1:5" x14ac:dyDescent="0.2">
      <c r="A77" s="735" t="s">
        <v>2889</v>
      </c>
    </row>
    <row r="78" spans="1:5" ht="12" customHeight="1" x14ac:dyDescent="0.2">
      <c r="A78" s="627" t="s">
        <v>737</v>
      </c>
      <c r="B78" s="3" t="s">
        <v>2890</v>
      </c>
      <c r="C78" s="73">
        <f>IF(AND(res_holding&lt;&gt;"none",polymer_res=1),polymer_dose*8.34*(res_vol+filter_res_vol)/10^6/polymer_density,0)</f>
        <v>0.12562125000000002</v>
      </c>
      <c r="D78" s="694" t="s">
        <v>1332</v>
      </c>
      <c r="E78" s="7"/>
    </row>
    <row r="79" spans="1:5" x14ac:dyDescent="0.2">
      <c r="A79" s="627" t="s">
        <v>2894</v>
      </c>
      <c r="B79" s="3" t="s">
        <v>2891</v>
      </c>
      <c r="C79" s="73">
        <f>IF(AND(res_holding&lt;&gt;"none",polymer_res=1),polymer_dose*8.34*(res_flow_annual+filter_res_flow_annual)/10^6/polymer_density/365*cstore_days,0)</f>
        <v>5.5895374999999996</v>
      </c>
      <c r="D79" s="694" t="s">
        <v>1332</v>
      </c>
    </row>
    <row r="80" spans="1:5" x14ac:dyDescent="0.2">
      <c r="A80" s="732" t="s">
        <v>3876</v>
      </c>
      <c r="B80" s="3" t="s">
        <v>3877</v>
      </c>
      <c r="C80" s="73">
        <f>IF(AND(res_holding&lt;&gt;"none",polymer_res=1),polymer_dose*8.34*(res_flow_annual+filter_res_flow_annual)/10^6/365*cstore_days,0)</f>
        <v>53.659559999999999</v>
      </c>
      <c r="D80" s="694" t="s">
        <v>2591</v>
      </c>
    </row>
    <row r="81" spans="1:6" x14ac:dyDescent="0.2">
      <c r="A81" s="128" t="s">
        <v>83</v>
      </c>
      <c r="B81" s="3" t="s">
        <v>2892</v>
      </c>
      <c r="C81" s="65">
        <f>ROUNDUP(polymer_storage/max_chem_tank_size,0)</f>
        <v>1</v>
      </c>
      <c r="D81" s="694" t="s">
        <v>606</v>
      </c>
    </row>
    <row r="82" spans="1:6" x14ac:dyDescent="0.2">
      <c r="A82" s="128" t="s">
        <v>84</v>
      </c>
      <c r="B82" s="3" t="s">
        <v>2893</v>
      </c>
      <c r="C82" s="73">
        <f>IF(polymer_tanks&gt;0,ROUNDUP(polymer_storage/polymer_tanks,0),0)</f>
        <v>6</v>
      </c>
      <c r="D82" s="694" t="s">
        <v>1332</v>
      </c>
    </row>
    <row r="83" spans="1:6" x14ac:dyDescent="0.2">
      <c r="A83" s="128" t="s">
        <v>888</v>
      </c>
      <c r="B83" s="3" t="s">
        <v>2895</v>
      </c>
      <c r="C83" s="58">
        <f>IF(AND(include_cmix=1,polymer_tanks&lt;&gt;0),ROUNDUP(polymer_tank_vol/1000*cmix_hp_per/cmix_hp_max,0),0)</f>
        <v>0</v>
      </c>
      <c r="D83" s="694" t="s">
        <v>606</v>
      </c>
    </row>
    <row r="84" spans="1:6" x14ac:dyDescent="0.2">
      <c r="A84" s="128" t="s">
        <v>889</v>
      </c>
      <c r="B84" s="3" t="s">
        <v>2896</v>
      </c>
      <c r="C84" s="6">
        <f>polymer_tanks*polymer_cmix_per_tank</f>
        <v>0</v>
      </c>
      <c r="D84" s="694" t="s">
        <v>606</v>
      </c>
    </row>
    <row r="85" spans="1:6" x14ac:dyDescent="0.2">
      <c r="A85" s="128" t="s">
        <v>890</v>
      </c>
      <c r="B85" s="3" t="s">
        <v>2897</v>
      </c>
      <c r="C85" s="88">
        <f>IF(polymer_cmixers&lt;&gt;0,MAX(min_cmix_hp,polymer_tank_vol/1000*cmix_hp_per/polymer_cmix_per_tank),0)</f>
        <v>0</v>
      </c>
      <c r="D85" s="694" t="s">
        <v>1694</v>
      </c>
    </row>
    <row r="86" spans="1:6" x14ac:dyDescent="0.2">
      <c r="A86" s="627" t="s">
        <v>745</v>
      </c>
      <c r="B86" s="3" t="s">
        <v>2898</v>
      </c>
      <c r="C86" s="88">
        <f>polymer_day/IF(filter_type=0,backwash_time,MIN(backwash_time,filter_backwash_time))*60</f>
        <v>1.0767535714285714</v>
      </c>
      <c r="D86" s="694" t="s">
        <v>3747</v>
      </c>
      <c r="E86" s="7"/>
    </row>
    <row r="87" spans="1:6" x14ac:dyDescent="0.2">
      <c r="A87" s="128" t="s">
        <v>1545</v>
      </c>
      <c r="B87" s="3" t="s">
        <v>2885</v>
      </c>
      <c r="C87" s="26">
        <f>IF(polymer_day=0,0,ROUNDUP(polymer_rate*(1+pump_safety_factor)/max_cm_pump_size,0)+NRD_cm_pump)</f>
        <v>2</v>
      </c>
      <c r="D87" s="695" t="s">
        <v>606</v>
      </c>
      <c r="E87" s="26"/>
      <c r="F87" s="26"/>
    </row>
    <row r="88" spans="1:6" x14ac:dyDescent="0.2">
      <c r="A88" s="128" t="s">
        <v>3746</v>
      </c>
      <c r="B88" s="3" t="s">
        <v>2886</v>
      </c>
      <c r="C88" s="546">
        <f>IF(polymer_day=0,0,MAX(min_chem_flow,polymer_rate*(1+pump_safety_factor)/(cm_pumps_polymer-NRD_cm_pump)))</f>
        <v>1.3459419642857142</v>
      </c>
      <c r="D88" s="695" t="s">
        <v>3747</v>
      </c>
      <c r="E88" s="26"/>
      <c r="F88" s="26"/>
    </row>
    <row r="89" spans="1:6" x14ac:dyDescent="0.2">
      <c r="A89" s="627"/>
      <c r="B89" s="3"/>
      <c r="C89" s="81"/>
    </row>
    <row r="90" spans="1:6" x14ac:dyDescent="0.2">
      <c r="A90" s="736" t="s">
        <v>1480</v>
      </c>
    </row>
    <row r="91" spans="1:6" x14ac:dyDescent="0.2">
      <c r="A91" s="128" t="s">
        <v>1481</v>
      </c>
      <c r="B91" s="3" t="s">
        <v>2150</v>
      </c>
      <c r="C91" s="28">
        <f>res_solids*2000/transfer_time</f>
        <v>281.21539530188329</v>
      </c>
      <c r="D91" s="694" t="s">
        <v>1297</v>
      </c>
    </row>
    <row r="92" spans="1:6" x14ac:dyDescent="0.2">
      <c r="A92" s="128" t="s">
        <v>1482</v>
      </c>
      <c r="B92" s="3" t="s">
        <v>2151</v>
      </c>
      <c r="C92" s="175">
        <f>res_transfer_rate/(ht_solids_density/7.48*60)</f>
        <v>1.4023274379053916</v>
      </c>
      <c r="D92" s="694" t="s">
        <v>2765</v>
      </c>
    </row>
    <row r="93" spans="1:6" x14ac:dyDescent="0.2">
      <c r="A93" s="128" t="s">
        <v>1483</v>
      </c>
      <c r="B93" s="3" t="s">
        <v>3299</v>
      </c>
      <c r="C93" s="176">
        <f>IF(res_transfer_method=1,1,0)</f>
        <v>0</v>
      </c>
      <c r="D93" s="694" t="s">
        <v>606</v>
      </c>
    </row>
    <row r="94" spans="1:6" x14ac:dyDescent="0.2">
      <c r="A94" s="128" t="s">
        <v>1304</v>
      </c>
      <c r="B94" s="3" t="s">
        <v>1305</v>
      </c>
      <c r="C94" s="157">
        <f>VLOOKUP(10^6,eductor_size_table_cl,1)</f>
        <v>53.5</v>
      </c>
      <c r="D94" s="694" t="s">
        <v>2765</v>
      </c>
      <c r="E94" s="7" t="s">
        <v>3645</v>
      </c>
    </row>
    <row r="95" spans="1:6" x14ac:dyDescent="0.2">
      <c r="A95" s="128" t="s">
        <v>3586</v>
      </c>
      <c r="B95" s="3" t="s">
        <v>3300</v>
      </c>
      <c r="C95" s="177">
        <f>IF(res_transfer_method&lt;&gt;2,0,ROUNDUP(res_transfer_rate_gal/max_eductor_size,0))</f>
        <v>1</v>
      </c>
      <c r="D95" s="694" t="s">
        <v>606</v>
      </c>
    </row>
    <row r="96" spans="1:6" x14ac:dyDescent="0.2">
      <c r="A96" s="128" t="s">
        <v>1484</v>
      </c>
      <c r="B96" s="3" t="s">
        <v>1295</v>
      </c>
      <c r="C96" s="28">
        <f>IF(res_eductors=0,0,res_transfer_rate_gal/res_eductors)</f>
        <v>1.4023274379053916</v>
      </c>
      <c r="D96" s="694" t="s">
        <v>2765</v>
      </c>
    </row>
    <row r="97" spans="1:5" x14ac:dyDescent="0.2">
      <c r="A97" s="128" t="s">
        <v>1485</v>
      </c>
      <c r="B97" s="3" t="s">
        <v>1296</v>
      </c>
      <c r="C97" s="42">
        <f>IF(res_transfer_method=2,VLOOKUP(res_eff_transfer_rate,eductor_size_table_cl,2),"NA")</f>
        <v>1.5</v>
      </c>
      <c r="D97" s="694" t="s">
        <v>1253</v>
      </c>
    </row>
    <row r="98" spans="1:5" x14ac:dyDescent="0.2">
      <c r="A98" s="736"/>
      <c r="B98" s="3"/>
    </row>
    <row r="99" spans="1:5" x14ac:dyDescent="0.2">
      <c r="A99" s="736" t="s">
        <v>702</v>
      </c>
      <c r="B99" s="673"/>
    </row>
    <row r="100" spans="1:5" x14ac:dyDescent="0.2">
      <c r="A100" s="627" t="s">
        <v>703</v>
      </c>
      <c r="B100" s="3" t="s">
        <v>705</v>
      </c>
      <c r="C100" s="157">
        <f>VLOOKUP(10^6,st_bwt_cost_cl,1)-1</f>
        <v>289000</v>
      </c>
      <c r="D100" s="694" t="s">
        <v>1332</v>
      </c>
      <c r="E100" s="7" t="s">
        <v>3645</v>
      </c>
    </row>
    <row r="101" spans="1:5" x14ac:dyDescent="0.2">
      <c r="A101" s="627" t="s">
        <v>671</v>
      </c>
      <c r="B101" s="57" t="s">
        <v>672</v>
      </c>
      <c r="C101" s="28">
        <f>IF(sed_sludge_method=0,0,res_transfer_rate_gal*thick_time*60)</f>
        <v>0</v>
      </c>
      <c r="D101" s="694" t="s">
        <v>1332</v>
      </c>
      <c r="E101" s="7"/>
    </row>
    <row r="102" spans="1:5" x14ac:dyDescent="0.2">
      <c r="A102" s="627" t="s">
        <v>704</v>
      </c>
      <c r="B102" s="57" t="s">
        <v>706</v>
      </c>
      <c r="C102" s="28">
        <f>IF(sed_sludge_method=0,0,ROUNDUP(tot_req_thick_vol/max_thick_tank_size,0))</f>
        <v>0</v>
      </c>
      <c r="D102" s="694" t="s">
        <v>606</v>
      </c>
      <c r="E102" s="7"/>
    </row>
    <row r="103" spans="1:5" x14ac:dyDescent="0.2">
      <c r="A103" s="627" t="s">
        <v>707</v>
      </c>
      <c r="B103" s="57" t="s">
        <v>722</v>
      </c>
      <c r="C103" s="28">
        <f>IF(sed_sludge_method=0,0,tot_req_thick_vol/thick_tanks)</f>
        <v>0</v>
      </c>
      <c r="D103" s="694" t="s">
        <v>1332</v>
      </c>
    </row>
    <row r="104" spans="1:5" x14ac:dyDescent="0.2">
      <c r="A104" s="627"/>
      <c r="B104" s="57"/>
      <c r="C104" s="28"/>
    </row>
    <row r="105" spans="1:5" x14ac:dyDescent="0.2">
      <c r="A105" s="627" t="s">
        <v>712</v>
      </c>
      <c r="B105" s="57" t="s">
        <v>709</v>
      </c>
      <c r="C105" s="28">
        <f>IF(sed_sludge_method&lt;&gt;0,thick_basins_default,0)</f>
        <v>0</v>
      </c>
      <c r="D105" s="694" t="s">
        <v>606</v>
      </c>
    </row>
    <row r="106" spans="1:5" x14ac:dyDescent="0.2">
      <c r="A106" s="627" t="s">
        <v>713</v>
      </c>
      <c r="B106" s="31" t="s">
        <v>710</v>
      </c>
      <c r="C106" s="28">
        <f>IF(sed_sludge_method&lt;&gt;0,res_transfer_rate_gal*thick_time*60/7.48,0)</f>
        <v>0</v>
      </c>
      <c r="D106" s="694" t="s">
        <v>1239</v>
      </c>
    </row>
    <row r="107" spans="1:5" x14ac:dyDescent="0.2">
      <c r="A107" s="627" t="s">
        <v>720</v>
      </c>
      <c r="B107" s="57" t="s">
        <v>708</v>
      </c>
      <c r="C107" s="175">
        <f>IF(sed_sludge_method=0,0,MIN(ROUNDUP((thick_vol_ft/thick_basins)^(1/3)*thickening_ratio,0),max_thick_depth))</f>
        <v>0</v>
      </c>
      <c r="D107" s="694" t="s">
        <v>3506</v>
      </c>
      <c r="E107" s="58"/>
    </row>
    <row r="108" spans="1:5" x14ac:dyDescent="0.2">
      <c r="A108" s="627" t="s">
        <v>763</v>
      </c>
      <c r="B108" s="57" t="s">
        <v>764</v>
      </c>
      <c r="C108" s="175">
        <f>IF(thick_basins=0,0,thick_vol_ft/thick_basin_height)</f>
        <v>0</v>
      </c>
      <c r="D108" s="694" t="s">
        <v>1226</v>
      </c>
      <c r="E108" s="58"/>
    </row>
    <row r="109" spans="1:5" x14ac:dyDescent="0.2">
      <c r="A109" s="627" t="s">
        <v>765</v>
      </c>
      <c r="B109" s="57" t="s">
        <v>766</v>
      </c>
      <c r="C109" s="175">
        <f>IF(thick_basins=0,0,ROUNDUP((thick_sa/PI())^(1/2)*2,0))</f>
        <v>0</v>
      </c>
      <c r="D109" s="694" t="s">
        <v>605</v>
      </c>
      <c r="E109" s="58"/>
    </row>
    <row r="110" spans="1:5" x14ac:dyDescent="0.2">
      <c r="A110" s="627" t="s">
        <v>716</v>
      </c>
      <c r="B110" s="31" t="s">
        <v>718</v>
      </c>
      <c r="C110" s="6">
        <f>IF(thick_basins=0,0,thick_basin_height+thickening_freeboard)</f>
        <v>0</v>
      </c>
      <c r="D110" s="694" t="s">
        <v>3506</v>
      </c>
      <c r="E110" s="7"/>
    </row>
    <row r="111" spans="1:5" x14ac:dyDescent="0.2">
      <c r="A111" s="627" t="s">
        <v>768</v>
      </c>
      <c r="B111" s="31" t="s">
        <v>767</v>
      </c>
      <c r="C111" s="28">
        <f>IF(thick_basins=0,0,PI()*thick_basin_diam)</f>
        <v>0</v>
      </c>
      <c r="D111" s="694" t="s">
        <v>3506</v>
      </c>
      <c r="E111" s="7"/>
    </row>
    <row r="112" spans="1:5" x14ac:dyDescent="0.2">
      <c r="A112" s="627" t="s">
        <v>717</v>
      </c>
      <c r="B112" s="31" t="s">
        <v>719</v>
      </c>
      <c r="C112" s="28">
        <f>IF(thick_basins=0,0,ROUND(PI()*(thick_basin_diam/2)^2*thick_basin_depth*7.48,0))</f>
        <v>0</v>
      </c>
      <c r="D112" s="694" t="s">
        <v>1332</v>
      </c>
      <c r="E112" s="7"/>
    </row>
    <row r="113" spans="1:5" x14ac:dyDescent="0.2">
      <c r="A113" s="627" t="s">
        <v>792</v>
      </c>
      <c r="B113" s="31" t="s">
        <v>721</v>
      </c>
      <c r="C113" s="175">
        <f>thick_basins*thick_circ*thick_basin_depth*conc_thick/27</f>
        <v>0</v>
      </c>
      <c r="D113" s="694" t="s">
        <v>2337</v>
      </c>
      <c r="E113" s="7"/>
    </row>
    <row r="114" spans="1:5" x14ac:dyDescent="0.2">
      <c r="A114" s="128" t="s">
        <v>58</v>
      </c>
      <c r="B114" s="31" t="s">
        <v>769</v>
      </c>
      <c r="C114" s="73">
        <f>thick_basins*(((thick_basin_diam+conc_thick+overexcavate)/2)^2)*PI()*(thick_basin_depth+overexcavate)/27</f>
        <v>0</v>
      </c>
      <c r="D114" s="694" t="s">
        <v>2337</v>
      </c>
      <c r="E114" s="7"/>
    </row>
    <row r="115" spans="1:5" x14ac:dyDescent="0.2">
      <c r="A115" s="128" t="s">
        <v>60</v>
      </c>
      <c r="B115" s="31" t="s">
        <v>770</v>
      </c>
      <c r="C115" s="73">
        <f>thick_basins*(thick_excavation_vol-(((thick_basin_diam+conc_thick)/2)^2)*PI()*(thick_basin_depth)/27)</f>
        <v>0</v>
      </c>
      <c r="D115" s="694" t="s">
        <v>2337</v>
      </c>
      <c r="E115" s="7"/>
    </row>
    <row r="116" spans="1:5" x14ac:dyDescent="0.2">
      <c r="A116" s="128" t="s">
        <v>62</v>
      </c>
      <c r="B116" s="31" t="s">
        <v>771</v>
      </c>
      <c r="C116" s="73">
        <f>thick_basins*PI()*(thick_basin_diam+conc_thick/2)</f>
        <v>0</v>
      </c>
      <c r="D116" s="694" t="s">
        <v>1429</v>
      </c>
      <c r="E116" s="7"/>
    </row>
    <row r="117" spans="1:5" x14ac:dyDescent="0.2">
      <c r="A117" s="128"/>
      <c r="B117" s="31"/>
      <c r="C117" s="73"/>
      <c r="E117" s="7"/>
    </row>
    <row r="118" spans="1:5" x14ac:dyDescent="0.2">
      <c r="A118" s="627" t="s">
        <v>759</v>
      </c>
      <c r="B118" s="57" t="s">
        <v>661</v>
      </c>
      <c r="C118" s="175">
        <f>IF(sed_sludge_method=0,0,res_transfer_rate*thick_removal)</f>
        <v>0</v>
      </c>
      <c r="D118" s="694" t="s">
        <v>1297</v>
      </c>
    </row>
    <row r="119" spans="1:5" x14ac:dyDescent="0.2">
      <c r="A119" s="627" t="s">
        <v>691</v>
      </c>
      <c r="B119" s="3" t="s">
        <v>688</v>
      </c>
      <c r="C119" s="677">
        <f>IF(sed_sludge_method=0,0,res_solids*thick_removal)</f>
        <v>0</v>
      </c>
      <c r="D119" s="694" t="s">
        <v>3587</v>
      </c>
    </row>
    <row r="120" spans="1:5" x14ac:dyDescent="0.2">
      <c r="A120" s="627" t="s">
        <v>774</v>
      </c>
      <c r="B120" s="3" t="s">
        <v>773</v>
      </c>
      <c r="C120" s="65">
        <f>IF(sed_sludge_method=0,0,IF(OUTPUT!L495=1,thick_basins,thick_tanks))</f>
        <v>0</v>
      </c>
      <c r="D120" s="694" t="s">
        <v>606</v>
      </c>
    </row>
    <row r="121" spans="1:5" x14ac:dyDescent="0.2">
      <c r="A121" s="627" t="s">
        <v>793</v>
      </c>
      <c r="B121" s="3" t="s">
        <v>794</v>
      </c>
      <c r="C121" s="65">
        <f>IF(sed_sludge_method=0,0,IF(OUTPUT!L496=1,thick_basin_diam,thick_diam))</f>
        <v>0</v>
      </c>
      <c r="D121" s="694" t="s">
        <v>795</v>
      </c>
    </row>
    <row r="122" spans="1:5" x14ac:dyDescent="0.2">
      <c r="A122" s="627"/>
      <c r="B122" s="3"/>
    </row>
    <row r="123" spans="1:5" x14ac:dyDescent="0.2">
      <c r="A123" s="736" t="s">
        <v>677</v>
      </c>
      <c r="B123" s="57"/>
    </row>
    <row r="124" spans="1:5" x14ac:dyDescent="0.2">
      <c r="A124" s="627" t="s">
        <v>675</v>
      </c>
      <c r="B124" s="57" t="s">
        <v>676</v>
      </c>
      <c r="C124">
        <f>IF(sed_sludge_method&lt;&gt;1,0,ROUNDUP(thick_solids/(VLOOKUP(10^6,throughput_table,1)-1),0))</f>
        <v>0</v>
      </c>
      <c r="D124" s="721" t="s">
        <v>606</v>
      </c>
    </row>
    <row r="125" spans="1:5" x14ac:dyDescent="0.2">
      <c r="A125" s="627" t="s">
        <v>673</v>
      </c>
      <c r="B125" s="57" t="s">
        <v>674</v>
      </c>
      <c r="C125">
        <f>IF(sed_sludge_method&lt;&gt;1,0,VLOOKUP(thick_solids/num_belt_press,throughput_table,3,TRUE))</f>
        <v>0</v>
      </c>
      <c r="D125" s="721" t="s">
        <v>678</v>
      </c>
    </row>
    <row r="126" spans="1:5" x14ac:dyDescent="0.2">
      <c r="A126" s="627" t="s">
        <v>692</v>
      </c>
      <c r="B126" s="57" t="s">
        <v>693</v>
      </c>
      <c r="C126" s="175">
        <f>IF(sed_sludge_method&lt;&gt;1,0,res_solids_thick*belt_press_removal)</f>
        <v>0</v>
      </c>
      <c r="D126" s="694" t="s">
        <v>3587</v>
      </c>
    </row>
    <row r="127" spans="1:5" x14ac:dyDescent="0.2">
      <c r="A127" s="736"/>
      <c r="B127" s="3"/>
    </row>
    <row r="128" spans="1:5" x14ac:dyDescent="0.2">
      <c r="A128" s="736" t="s">
        <v>1709</v>
      </c>
      <c r="B128" s="3"/>
    </row>
    <row r="129" spans="1:4" x14ac:dyDescent="0.2">
      <c r="A129" s="627" t="s">
        <v>1704</v>
      </c>
      <c r="B129" s="3" t="s">
        <v>1705</v>
      </c>
      <c r="C129" s="81">
        <f>IF(res_s2_opt=4,0,ROUNDUP(IF(sed_sludge_method=1,res_cake_solids,IF(sed_sludge_method=2,res_solids_thick,res_solids))*2000/ht_solids_density/solids_storage_height,-1))</f>
        <v>30</v>
      </c>
      <c r="D129" s="694" t="s">
        <v>1202</v>
      </c>
    </row>
    <row r="130" spans="1:4" x14ac:dyDescent="0.2">
      <c r="A130" s="627" t="s">
        <v>1706</v>
      </c>
      <c r="B130" s="3" t="s">
        <v>1707</v>
      </c>
      <c r="C130" s="10">
        <f>ROUNDUP(solids_pad_area*IF(ss_cat2=1,pad_thick_small,pad_thick)/27,0)</f>
        <v>1</v>
      </c>
      <c r="D130" s="694" t="s">
        <v>1708</v>
      </c>
    </row>
    <row r="131" spans="1:4" x14ac:dyDescent="0.2">
      <c r="A131" s="627"/>
      <c r="B131" s="3"/>
      <c r="C131" s="10"/>
    </row>
    <row r="132" spans="1:4" x14ac:dyDescent="0.2">
      <c r="A132" s="736" t="s">
        <v>1427</v>
      </c>
      <c r="B132" s="3"/>
    </row>
    <row r="133" spans="1:4" x14ac:dyDescent="0.2">
      <c r="A133" s="128" t="s">
        <v>1880</v>
      </c>
      <c r="B133" s="3" t="s">
        <v>3505</v>
      </c>
      <c r="C133" s="35">
        <f>res_pipe_mult*facil_length+add_res_pipe_length</f>
        <v>70</v>
      </c>
      <c r="D133" s="694" t="s">
        <v>3506</v>
      </c>
    </row>
    <row r="134" spans="1:4" x14ac:dyDescent="0.2">
      <c r="A134" s="128" t="s">
        <v>1576</v>
      </c>
      <c r="B134" s="3" t="s">
        <v>1577</v>
      </c>
      <c r="C134" s="35">
        <f>MAX(min_res_pipe_size,VLOOKUP(res_flow,pipe_size_table_cl,2))</f>
        <v>1</v>
      </c>
      <c r="D134" s="694" t="s">
        <v>1253</v>
      </c>
    </row>
    <row r="135" spans="1:4" x14ac:dyDescent="0.2">
      <c r="A135" s="128" t="s">
        <v>2597</v>
      </c>
      <c r="B135" s="3" t="s">
        <v>2598</v>
      </c>
      <c r="C135" s="35">
        <f>IF(res_s2_opt=3,0,add_res_pipe_length)</f>
        <v>0</v>
      </c>
      <c r="D135" s="694" t="s">
        <v>3506</v>
      </c>
    </row>
    <row r="136" spans="1:4" x14ac:dyDescent="0.2">
      <c r="A136" s="128" t="s">
        <v>3310</v>
      </c>
      <c r="B136" s="3" t="s">
        <v>2599</v>
      </c>
      <c r="C136">
        <f>MAX(frost,min_trench_depth)</f>
        <v>38</v>
      </c>
      <c r="D136" s="694" t="s">
        <v>1430</v>
      </c>
    </row>
    <row r="137" spans="1:4" x14ac:dyDescent="0.2">
      <c r="A137" s="128" t="s">
        <v>3312</v>
      </c>
      <c r="B137" s="3" t="s">
        <v>2600</v>
      </c>
      <c r="C137" s="461">
        <f>VLOOKUP(res_pipe_diam,thrust_block_table_cl,2)*2.2</f>
        <v>764.79838682438469</v>
      </c>
      <c r="D137" s="694" t="s">
        <v>1253</v>
      </c>
    </row>
    <row r="138" spans="1:4" x14ac:dyDescent="0.2">
      <c r="A138" s="128" t="s">
        <v>3314</v>
      </c>
      <c r="B138" s="3" t="s">
        <v>2601</v>
      </c>
      <c r="C138">
        <f>1.5*res_thrust_force/(soil_dens*(res_trn_depth/12+res_pipe_diam/12)*Coeff_Kp*Reduction)</f>
        <v>2.5974368149556186</v>
      </c>
      <c r="D138" s="694" t="s">
        <v>2591</v>
      </c>
    </row>
    <row r="139" spans="1:4" x14ac:dyDescent="0.2">
      <c r="A139" s="128" t="s">
        <v>3316</v>
      </c>
      <c r="B139" s="3"/>
      <c r="C139">
        <f>res_bearing_area/C140</f>
        <v>2.2792265420337747</v>
      </c>
      <c r="D139" s="694" t="s">
        <v>1202</v>
      </c>
    </row>
    <row r="140" spans="1:4" x14ac:dyDescent="0.2">
      <c r="A140" s="128" t="s">
        <v>3317</v>
      </c>
      <c r="B140" s="3"/>
      <c r="C140">
        <f>(res_bearing_area/2)^0.5</f>
        <v>1.1396132710168871</v>
      </c>
      <c r="D140" s="694" t="s">
        <v>3506</v>
      </c>
    </row>
    <row r="141" spans="1:4" x14ac:dyDescent="0.2">
      <c r="A141" s="128" t="s">
        <v>1174</v>
      </c>
      <c r="B141" s="3"/>
      <c r="C141">
        <f>MAX(0.5,res_pipe_diam/12)</f>
        <v>0.5</v>
      </c>
      <c r="D141" s="694" t="s">
        <v>3506</v>
      </c>
    </row>
    <row r="142" spans="1:4" x14ac:dyDescent="0.2">
      <c r="A142" s="128" t="s">
        <v>1176</v>
      </c>
      <c r="B142" s="3"/>
      <c r="C142">
        <f>C139/2</f>
        <v>1.1396132710168874</v>
      </c>
      <c r="D142" s="694" t="s">
        <v>3506</v>
      </c>
    </row>
    <row r="143" spans="1:4" x14ac:dyDescent="0.2">
      <c r="A143" s="128" t="s">
        <v>1177</v>
      </c>
      <c r="B143" s="3" t="s">
        <v>2602</v>
      </c>
      <c r="C143">
        <f>IF(OR(buried_res_pipe_length=0,res_pipe_diam=0),0,(C142+(C135/12)/2)*(C139+C141)/2*C140/27)</f>
        <v>0</v>
      </c>
      <c r="D143" s="694" t="s">
        <v>2458</v>
      </c>
    </row>
    <row r="144" spans="1:4" x14ac:dyDescent="0.2">
      <c r="A144" s="128" t="s">
        <v>2603</v>
      </c>
      <c r="B144" s="3" t="s">
        <v>2604</v>
      </c>
      <c r="C144" s="71">
        <f>IF(res_pipe_diam=0,0,(res_pipe_diam/12+2)*(bedding_depth/12+res_pipe_diam/12+res_trn_depth/12)+(bedding_depth/12+res_pipe_diam/12+res_trn_depth/12)^2*TAN(trench_angle))</f>
        <v>21.875</v>
      </c>
      <c r="D144" s="694" t="s">
        <v>2458</v>
      </c>
    </row>
    <row r="145" spans="1:4" x14ac:dyDescent="0.2">
      <c r="A145" s="128" t="s">
        <v>2605</v>
      </c>
      <c r="B145" s="3"/>
      <c r="C145" s="19">
        <f>res_trench_area*buried_res_pipe_length/27</f>
        <v>0</v>
      </c>
      <c r="D145" s="694" t="s">
        <v>1202</v>
      </c>
    </row>
    <row r="146" spans="1:4" x14ac:dyDescent="0.2">
      <c r="A146" s="128" t="s">
        <v>2606</v>
      </c>
      <c r="B146" s="3" t="s">
        <v>2607</v>
      </c>
      <c r="C146" s="19">
        <f>IF(OR(buried_res_pipe_length=0,res_pipe_diam=0),0,C145+res_block_vol)</f>
        <v>0</v>
      </c>
      <c r="D146" s="694" t="s">
        <v>2458</v>
      </c>
    </row>
    <row r="147" spans="1:4" x14ac:dyDescent="0.2">
      <c r="A147" s="128" t="s">
        <v>3575</v>
      </c>
      <c r="B147" s="3"/>
      <c r="C147" s="72">
        <f>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1.3552705124144024</v>
      </c>
      <c r="D147" s="694" t="s">
        <v>1202</v>
      </c>
    </row>
    <row r="148" spans="1:4" x14ac:dyDescent="0.2">
      <c r="A148" s="128" t="s">
        <v>3576</v>
      </c>
      <c r="B148" s="3" t="s">
        <v>2608</v>
      </c>
      <c r="C148">
        <f>C147*buried_res_pipe_length/2/27</f>
        <v>0</v>
      </c>
      <c r="D148" s="694" t="s">
        <v>2458</v>
      </c>
    </row>
    <row r="149" spans="1:4" x14ac:dyDescent="0.2">
      <c r="A149" s="128"/>
      <c r="B149" s="3"/>
      <c r="C149" s="35"/>
    </row>
    <row r="150" spans="1:4" x14ac:dyDescent="0.2">
      <c r="A150" s="736" t="s">
        <v>1578</v>
      </c>
      <c r="B150" s="3"/>
      <c r="C150" s="35"/>
    </row>
    <row r="151" spans="1:4" x14ac:dyDescent="0.2">
      <c r="A151" s="627" t="s">
        <v>1579</v>
      </c>
      <c r="B151" s="3" t="s">
        <v>1580</v>
      </c>
      <c r="C151" s="35">
        <f>res_pipe_diam</f>
        <v>1</v>
      </c>
      <c r="D151" s="694" t="s">
        <v>1253</v>
      </c>
    </row>
    <row r="152" spans="1:4" x14ac:dyDescent="0.2">
      <c r="A152" s="128" t="s">
        <v>476</v>
      </c>
      <c r="B152" s="3" t="s">
        <v>477</v>
      </c>
      <c r="C152" s="35">
        <f>VLOOKUP("res_MOV_pump",valve_table,manual+1,FALSE)*res_pumps+VLOOKUP("res_MOV_tank",valve_table,manual+1,FALSE)*IF(res_holding="tanks",htanks,IF(res_holding="basins",hbasins,0))+VLOOKUP("res_MOV_ep",valve_table,manual+1,FALSE)*ep_cells</f>
        <v>3</v>
      </c>
      <c r="D152" s="694" t="s">
        <v>2767</v>
      </c>
    </row>
    <row r="153" spans="1:4" x14ac:dyDescent="0.2">
      <c r="A153" s="128" t="s">
        <v>3215</v>
      </c>
      <c r="B153" s="3" t="s">
        <v>3216</v>
      </c>
      <c r="C153" s="35">
        <f>VLOOKUP("res_man_pump",valve_table,manual+1,FALSE)*res_pumps+VLOOKUP("res_man_tank",valve_table,manual+1,FALSE)*IF(res_holding="tanks",htanks,IF(res_holding="basins",hbasins,0))+VLOOKUP("res_man_ep",valve_table,manual+1,FALSE)*ep_cells</f>
        <v>0</v>
      </c>
      <c r="D153" s="694" t="s">
        <v>2767</v>
      </c>
    </row>
    <row r="154" spans="1:4" x14ac:dyDescent="0.2">
      <c r="A154" s="128" t="s">
        <v>478</v>
      </c>
      <c r="B154" s="3" t="s">
        <v>479</v>
      </c>
      <c r="C154">
        <f>res_chv_pump*res_pumps+IF(res_pumps=0,res_chv_no_pump,0)</f>
        <v>2</v>
      </c>
      <c r="D154" s="694" t="s">
        <v>2767</v>
      </c>
    </row>
    <row r="155" spans="1:4" x14ac:dyDescent="0.2">
      <c r="A155" s="128" t="s">
        <v>480</v>
      </c>
      <c r="B155" s="3" t="s">
        <v>481</v>
      </c>
      <c r="C155">
        <f>IF(res_holding="tanks",htanks,IF(res_holding="basins",hbasins,0))*alarm_res</f>
        <v>1</v>
      </c>
      <c r="D155" s="694" t="s">
        <v>606</v>
      </c>
    </row>
    <row r="156" spans="1:4" x14ac:dyDescent="0.2">
      <c r="A156" s="128" t="s">
        <v>482</v>
      </c>
      <c r="B156" s="3" t="s">
        <v>483</v>
      </c>
      <c r="C156" s="35">
        <f>res_pipe_diam</f>
        <v>1</v>
      </c>
      <c r="D156" s="694" t="s">
        <v>1253</v>
      </c>
    </row>
    <row r="157" spans="1:4" x14ac:dyDescent="0.2">
      <c r="A157" s="128"/>
    </row>
    <row r="158" spans="1:4" x14ac:dyDescent="0.2">
      <c r="A158" s="736" t="s">
        <v>2291</v>
      </c>
    </row>
    <row r="159" spans="1:4" x14ac:dyDescent="0.2">
      <c r="A159" s="128" t="s">
        <v>2292</v>
      </c>
      <c r="B159" s="3" t="s">
        <v>2293</v>
      </c>
      <c r="C159" s="419">
        <f>IF(res_s2_opt=4,(res_flow_annual/7.48)*ep_safety_factor/((pan_evap*evap_ratio-precip)*0.0328),0)</f>
        <v>0</v>
      </c>
      <c r="D159" s="694" t="s">
        <v>1226</v>
      </c>
    </row>
    <row r="160" spans="1:4" x14ac:dyDescent="0.2">
      <c r="A160" s="128" t="s">
        <v>2294</v>
      </c>
      <c r="B160" s="3" t="s">
        <v>2295</v>
      </c>
      <c r="C160" s="418">
        <f>IF(res_s2_opt=4,ep_solids/ep_solids_density/ep_total_sa,0)</f>
        <v>0</v>
      </c>
      <c r="D160" s="694" t="s">
        <v>605</v>
      </c>
    </row>
    <row r="161" spans="1:5" x14ac:dyDescent="0.2">
      <c r="A161" s="128" t="s">
        <v>2296</v>
      </c>
      <c r="B161" s="3" t="s">
        <v>2297</v>
      </c>
      <c r="C161" s="418">
        <f>IF(res_s2_opt=4,(res_flow_annual/7.48)*winter_days/365/ep_total_sa,0)</f>
        <v>0</v>
      </c>
      <c r="D161" s="694" t="s">
        <v>605</v>
      </c>
    </row>
    <row r="162" spans="1:5" x14ac:dyDescent="0.2">
      <c r="A162" s="128" t="s">
        <v>2298</v>
      </c>
      <c r="B162" s="3" t="s">
        <v>2299</v>
      </c>
      <c r="C162" s="17">
        <f>IF(res_s2_opt=4,ep_solids_depth+ep_water_depth+ep_freeboard,0)</f>
        <v>0</v>
      </c>
      <c r="D162" s="694" t="s">
        <v>605</v>
      </c>
      <c r="E162" s="7" t="s">
        <v>3273</v>
      </c>
    </row>
    <row r="163" spans="1:5" x14ac:dyDescent="0.2">
      <c r="A163" s="128" t="s">
        <v>2300</v>
      </c>
      <c r="B163" s="3" t="s">
        <v>3262</v>
      </c>
      <c r="C163">
        <f>IF(res_s2_opt=4,IF(ROUNDUP(ep_total_sa/(max_ep_cell_area*43560),0)&lt;min_ep_cells,min_ep_cells,ROUNDUP(ep_total_sa/(max_ep_cell_area*43560),0)),0)</f>
        <v>0</v>
      </c>
      <c r="D163" s="694" t="s">
        <v>3274</v>
      </c>
    </row>
    <row r="164" spans="1:5" x14ac:dyDescent="0.2">
      <c r="A164" s="128" t="s">
        <v>3263</v>
      </c>
      <c r="B164" s="3" t="s">
        <v>3264</v>
      </c>
      <c r="C164" s="9">
        <f>IF(res_s2_opt=4,SQRT(ep_total_sa/ep_cells),0)</f>
        <v>0</v>
      </c>
      <c r="D164" s="694" t="s">
        <v>605</v>
      </c>
    </row>
    <row r="165" spans="1:5" x14ac:dyDescent="0.2">
      <c r="A165" s="128" t="s">
        <v>3265</v>
      </c>
      <c r="B165" s="3" t="s">
        <v>3266</v>
      </c>
      <c r="C165" s="419">
        <f>IF(res_s2_opt=4,ROUNDUP(((ep_cell_side+ep_overexcavate)^2*(ep_depth+ep_overexcavate)+0.5*(3*(ep_depth+ep_overexcavate)*(ep_cell_side+ep_overexcavate)*(ep_depth+ep_overexcavate)))*ep_cells/27,0),0)</f>
        <v>0</v>
      </c>
      <c r="D165" s="694" t="s">
        <v>2337</v>
      </c>
    </row>
    <row r="166" spans="1:5" x14ac:dyDescent="0.2">
      <c r="A166" s="128" t="s">
        <v>3267</v>
      </c>
      <c r="B166" s="3" t="s">
        <v>3268</v>
      </c>
      <c r="C166" s="419">
        <f>IF(res_s2_opt=4,ROUNDUP(ep_excavation_vol-(ep_cell_side^2*ep_depth*ep_cells)/27,0),0)</f>
        <v>0</v>
      </c>
      <c r="D166" s="694" t="s">
        <v>2337</v>
      </c>
    </row>
    <row r="167" spans="1:5" x14ac:dyDescent="0.2">
      <c r="A167" s="128" t="s">
        <v>3269</v>
      </c>
      <c r="B167" s="3" t="s">
        <v>3270</v>
      </c>
      <c r="C167" s="419">
        <f>IF(res_s2_opt=4,ep_cells*ep_cell_side*4*dike_xsection/27,0)</f>
        <v>0</v>
      </c>
      <c r="D167" s="694" t="s">
        <v>2337</v>
      </c>
    </row>
    <row r="168" spans="1:5" x14ac:dyDescent="0.2">
      <c r="A168" s="128" t="s">
        <v>3271</v>
      </c>
      <c r="B168" s="3" t="s">
        <v>3272</v>
      </c>
      <c r="C168" s="419">
        <f>(ep_cell_side^2+ep_cell_side*(ep_depth+2)*4)*ep_cells</f>
        <v>0</v>
      </c>
      <c r="D168" s="694" t="s">
        <v>1226</v>
      </c>
      <c r="E168" s="7" t="s">
        <v>3275</v>
      </c>
    </row>
    <row r="170" spans="1:5" x14ac:dyDescent="0.2">
      <c r="A170" s="2" t="s">
        <v>484</v>
      </c>
      <c r="B170" s="3"/>
    </row>
    <row r="171" spans="1:5" x14ac:dyDescent="0.2">
      <c r="A171" s="736" t="s">
        <v>585</v>
      </c>
      <c r="B171" s="3"/>
    </row>
    <row r="172" spans="1:5" x14ac:dyDescent="0.2">
      <c r="A172" s="128" t="s">
        <v>485</v>
      </c>
      <c r="B172" s="3"/>
      <c r="C172" s="10">
        <f>IF(res_pumps=0,0,res_flow_actual*res_pump_psi/(res_pumps-NRD_res_pump)/booster_pump_efficiency/14.7*33.9*8.34/550/60)</f>
        <v>5.2615697794269221E-3</v>
      </c>
      <c r="D172" s="694" t="s">
        <v>1694</v>
      </c>
    </row>
    <row r="173" spans="1:5" x14ac:dyDescent="0.2">
      <c r="A173" s="128" t="s">
        <v>486</v>
      </c>
      <c r="B173" s="3"/>
      <c r="C173" s="34">
        <f>C172*0.7457/1000*24*365</f>
        <v>3.437032064038343E-2</v>
      </c>
      <c r="D173" s="694" t="s">
        <v>2345</v>
      </c>
    </row>
    <row r="174" spans="1:5" x14ac:dyDescent="0.2">
      <c r="A174" s="128" t="s">
        <v>487</v>
      </c>
      <c r="B174" s="3" t="s">
        <v>488</v>
      </c>
      <c r="C174" s="34">
        <f>C173*(res_pumps-NRD_res_pump)</f>
        <v>3.437032064038343E-2</v>
      </c>
      <c r="D174" s="694" t="s">
        <v>2345</v>
      </c>
    </row>
    <row r="175" spans="1:5" x14ac:dyDescent="0.2">
      <c r="A175" s="128" t="s">
        <v>489</v>
      </c>
      <c r="B175" s="3" t="s">
        <v>490</v>
      </c>
      <c r="C175" s="14">
        <f>OUTPUT!J314*booster_pump_maintenance</f>
        <v>82.972499610981501</v>
      </c>
      <c r="D175" s="696" t="s">
        <v>1696</v>
      </c>
    </row>
    <row r="176" spans="1:5" x14ac:dyDescent="0.2">
      <c r="A176" s="128"/>
      <c r="B176" s="3"/>
    </row>
    <row r="177" spans="1:5" x14ac:dyDescent="0.2">
      <c r="A177" s="736" t="s">
        <v>2884</v>
      </c>
      <c r="B177" s="3"/>
    </row>
    <row r="178" spans="1:5" x14ac:dyDescent="0.2">
      <c r="A178" s="732" t="s">
        <v>4242</v>
      </c>
      <c r="B178" s="3" t="s">
        <v>3251</v>
      </c>
      <c r="C178" s="61">
        <f>IF(AND(res_holding&lt;&gt;"none",coag_res=1),coag_dose*8.34*(res_flow_annual+filter_res_flow_annual)/10^6,0)/coag_pct</f>
        <v>0</v>
      </c>
      <c r="D178" s="694" t="s">
        <v>2591</v>
      </c>
      <c r="E178" s="725" t="s">
        <v>4241</v>
      </c>
    </row>
    <row r="179" spans="1:5" x14ac:dyDescent="0.2">
      <c r="A179" s="627" t="s">
        <v>2882</v>
      </c>
      <c r="B179" s="3" t="s">
        <v>2883</v>
      </c>
      <c r="C179" s="61">
        <f>IF(AND(res_holding&lt;&gt;"none",polymer_res=1),polymer_dose*8.34*(res_flow_annual+filter_res_flow_annual)/10^6,0)</f>
        <v>652.85798</v>
      </c>
      <c r="D179" s="694" t="s">
        <v>2591</v>
      </c>
    </row>
    <row r="180" spans="1:5" x14ac:dyDescent="0.2">
      <c r="A180" s="627"/>
      <c r="B180" s="3"/>
      <c r="C180" s="61"/>
    </row>
    <row r="181" spans="1:5" x14ac:dyDescent="0.2">
      <c r="A181" s="818" t="s">
        <v>4000</v>
      </c>
      <c r="B181" s="815"/>
      <c r="C181" s="815"/>
      <c r="D181" s="815"/>
      <c r="E181" s="725" t="s">
        <v>4272</v>
      </c>
    </row>
    <row r="182" spans="1:5" x14ac:dyDescent="0.2">
      <c r="A182" s="819" t="s">
        <v>3984</v>
      </c>
      <c r="B182" s="815"/>
      <c r="C182" s="816" t="e">
        <f>VLOOKUP("Polymers - Large Qty",chem_break_table_cl,2,FALSE)</f>
        <v>#N/A</v>
      </c>
      <c r="D182" s="815" t="s">
        <v>2591</v>
      </c>
      <c r="E182" s="725" t="s">
        <v>3985</v>
      </c>
    </row>
    <row r="183" spans="1:5" x14ac:dyDescent="0.2">
      <c r="A183" s="819" t="s">
        <v>3986</v>
      </c>
      <c r="B183" s="815"/>
      <c r="C183" s="816" t="e">
        <f>VLOOKUP("Polymers - Mid Qty",chem_break_table_cl,2,FALSE)</f>
        <v>#N/A</v>
      </c>
      <c r="D183" s="815" t="s">
        <v>2591</v>
      </c>
      <c r="E183" s="725" t="s">
        <v>3985</v>
      </c>
    </row>
    <row r="184" spans="1:5" x14ac:dyDescent="0.2">
      <c r="A184" s="819" t="s">
        <v>3987</v>
      </c>
      <c r="B184" s="815"/>
      <c r="C184" s="816" t="e">
        <f>VLOOKUP("Polymers - Small Qty",chem_break_table_cl,2,FALSE)</f>
        <v>#N/A</v>
      </c>
      <c r="D184" s="815" t="s">
        <v>2591</v>
      </c>
      <c r="E184" s="725" t="s">
        <v>3985</v>
      </c>
    </row>
    <row r="185" spans="1:5" x14ac:dyDescent="0.2">
      <c r="A185" s="819" t="s">
        <v>3988</v>
      </c>
      <c r="B185" s="817" t="s">
        <v>3999</v>
      </c>
      <c r="C185" s="815" t="str">
        <f>IF(AND(ISNA(C182),ISNA(C183),ISNA(C184)),"",IF(polymer_storage_lbs&gt;=C182," - Large Qty",IF(polymer_storage_lbs&gt;=C183," - Mid Qty"," - Small Qty")))</f>
        <v/>
      </c>
      <c r="D185" s="815"/>
      <c r="E185" s="725" t="s">
        <v>3989</v>
      </c>
    </row>
    <row r="186" spans="1:5" x14ac:dyDescent="0.2">
      <c r="B186" s="3"/>
      <c r="C186" s="10"/>
      <c r="D186" s="5"/>
    </row>
    <row r="187" spans="1:5" x14ac:dyDescent="0.2">
      <c r="A187" s="736" t="s">
        <v>491</v>
      </c>
      <c r="B187" s="3"/>
    </row>
    <row r="188" spans="1:5" x14ac:dyDescent="0.2">
      <c r="A188" s="128" t="s">
        <v>492</v>
      </c>
      <c r="B188" s="3" t="s">
        <v>493</v>
      </c>
      <c r="C188" s="10">
        <f>IF(res_holding&lt;&gt;"none",TSS_residuals*(1-IF(coag_res=1,coag_TSSrem,htank_TSSrem)),TSS_residuals)</f>
        <v>733.38906076065848</v>
      </c>
      <c r="D188" s="694" t="s">
        <v>1878</v>
      </c>
    </row>
    <row r="189" spans="1:5" x14ac:dyDescent="0.2">
      <c r="A189" s="128" t="s">
        <v>494</v>
      </c>
      <c r="B189" s="3" t="s">
        <v>3211</v>
      </c>
      <c r="C189" s="61">
        <f>IF((TSS_residuals_dis-POTW_TSS_limit)*res_flow_annual*3.785/1000/453.59&gt;0,(TSS_residuals_dis-POTW_TSS_limit)*res_flow_annual*3.785/1000/453.59,0)</f>
        <v>574.19142429346732</v>
      </c>
      <c r="D189" s="695" t="s">
        <v>506</v>
      </c>
    </row>
    <row r="190" spans="1:5" x14ac:dyDescent="0.2">
      <c r="A190" s="627" t="s">
        <v>495</v>
      </c>
      <c r="B190" s="3"/>
      <c r="C190" s="66">
        <f>IF(POTW_rate_type=1,POTW_base_cost_avg_cl,IF(POTW_base_fee=1,POTW_base_cost_typ_cl,0))*12</f>
        <v>206.41019947671711</v>
      </c>
      <c r="D190" s="694" t="s">
        <v>508</v>
      </c>
    </row>
    <row r="191" spans="1:5" x14ac:dyDescent="0.2">
      <c r="A191" s="627" t="s">
        <v>496</v>
      </c>
      <c r="B191" s="3"/>
      <c r="C191" s="66">
        <f>IF(POTW_rate_type=1,POTW_vol_cost_avg_cl,IF(POTW_volume_fee=1,POTW_vol_cost_typ_cl,0))*res_flow_annual/1000</f>
        <v>791.0907217789628</v>
      </c>
      <c r="D191" s="694" t="s">
        <v>508</v>
      </c>
    </row>
    <row r="192" spans="1:5" x14ac:dyDescent="0.2">
      <c r="A192" s="627" t="s">
        <v>497</v>
      </c>
      <c r="B192" s="3"/>
      <c r="C192" s="66">
        <f>IF(POTW_rate_type=1,POTW_TSS_cost_avg_cl,IF(POTW_TSS_fee=1,POTW_TSS_cost_typ_cl,0))*ex_TSS_total</f>
        <v>152.73382070298464</v>
      </c>
      <c r="D192" s="694" t="s">
        <v>508</v>
      </c>
    </row>
    <row r="193" spans="1:5" x14ac:dyDescent="0.2">
      <c r="A193" s="627" t="s">
        <v>498</v>
      </c>
      <c r="B193" s="3" t="s">
        <v>499</v>
      </c>
      <c r="C193" s="83">
        <f>SUM(C190:C192)</f>
        <v>1150.2347419586645</v>
      </c>
      <c r="D193" s="694" t="s">
        <v>508</v>
      </c>
    </row>
    <row r="194" spans="1:5" x14ac:dyDescent="0.2">
      <c r="A194" s="128"/>
      <c r="B194" s="3"/>
    </row>
    <row r="195" spans="1:5" x14ac:dyDescent="0.2">
      <c r="A195" s="736" t="s">
        <v>1616</v>
      </c>
      <c r="B195" s="5"/>
    </row>
    <row r="196" spans="1:5" x14ac:dyDescent="0.2">
      <c r="A196" s="627" t="s">
        <v>694</v>
      </c>
      <c r="B196" s="5" t="s">
        <v>695</v>
      </c>
      <c r="C196" s="175">
        <f>IF(AND(solids_haz=1,solids_method=2),0,IF(sed_sludge_method=1,res_cake_solids,IF(sed_sludge_method=2,res_solids_thick,res_solids)))</f>
        <v>0.56243079060376655</v>
      </c>
      <c r="D196" s="694" t="s">
        <v>3587</v>
      </c>
    </row>
    <row r="197" spans="1:5" x14ac:dyDescent="0.2">
      <c r="A197" s="128" t="s">
        <v>500</v>
      </c>
      <c r="B197" s="3"/>
      <c r="C197" s="15">
        <f>IF(solids_haz=2,res_solids_event*sol_disp_freq*haz_disposal_cost_cl,res_solids_event*sol_disp_freq*nonhaz_disposal_cost_cl)</f>
        <v>123.77686513351223</v>
      </c>
      <c r="D197" s="694" t="s">
        <v>508</v>
      </c>
    </row>
    <row r="198" spans="1:5" x14ac:dyDescent="0.2">
      <c r="A198" s="128" t="s">
        <v>501</v>
      </c>
      <c r="B198" s="3" t="s">
        <v>3966</v>
      </c>
      <c r="C198" s="84">
        <f>IF(solids_haz=2,IF(res_solids_event&gt;max_haz_ship,ROUNDUP(res_solids_event/max_haz_ship,0)*sol_disp_freq,sol_disp_freq),sol_disp_freq)</f>
        <v>2</v>
      </c>
      <c r="E198" s="7"/>
    </row>
    <row r="199" spans="1:5" x14ac:dyDescent="0.2">
      <c r="A199" s="732" t="s">
        <v>3932</v>
      </c>
      <c r="B199" s="3"/>
      <c r="C199" s="84">
        <f>CHOOSE(solids_haz,nonhaz_transportation_cost_cl,haz_transportation_cost_cl)</f>
        <v>0.21197894053360555</v>
      </c>
      <c r="D199" s="694" t="s">
        <v>3935</v>
      </c>
      <c r="E199" s="7"/>
    </row>
    <row r="200" spans="1:5" x14ac:dyDescent="0.2">
      <c r="A200" s="732" t="s">
        <v>3933</v>
      </c>
      <c r="B200" s="3"/>
      <c r="C200" s="84">
        <f>CHOOSE(solids_haz,0,haz_trans_min_cost_cl)</f>
        <v>0</v>
      </c>
      <c r="D200" s="694" t="s">
        <v>3936</v>
      </c>
      <c r="E200" s="7"/>
    </row>
    <row r="201" spans="1:5" x14ac:dyDescent="0.2">
      <c r="A201" s="732" t="s">
        <v>3934</v>
      </c>
      <c r="B201" s="3" t="s">
        <v>3967</v>
      </c>
      <c r="C201" s="84">
        <f>CHOOSE(solids_haz,non_haz_miles,haz_miles)</f>
        <v>10</v>
      </c>
      <c r="D201" s="694" t="s">
        <v>515</v>
      </c>
      <c r="E201" s="7"/>
    </row>
    <row r="202" spans="1:5" x14ac:dyDescent="0.2">
      <c r="A202" s="128" t="s">
        <v>502</v>
      </c>
      <c r="B202" s="3"/>
      <c r="C202" s="15">
        <f>MAX(C198*C200,res_solids_event*C198*C201*C199)</f>
        <v>2.3844696623132915</v>
      </c>
      <c r="D202" s="694" t="s">
        <v>508</v>
      </c>
    </row>
    <row r="203" spans="1:5" x14ac:dyDescent="0.2">
      <c r="A203" s="128" t="s">
        <v>1617</v>
      </c>
      <c r="B203" s="3" t="s">
        <v>503</v>
      </c>
      <c r="C203" s="68">
        <f>C202+C197</f>
        <v>126.16133479582552</v>
      </c>
      <c r="D203" s="694" t="s">
        <v>508</v>
      </c>
    </row>
    <row r="204" spans="1:5" x14ac:dyDescent="0.2">
      <c r="D204" s="721"/>
      <c r="E204" s="67"/>
    </row>
    <row r="205" spans="1:5" x14ac:dyDescent="0.2">
      <c r="D205" s="721"/>
      <c r="E205" s="67"/>
    </row>
    <row r="206" spans="1:5" x14ac:dyDescent="0.2">
      <c r="D206" s="721"/>
      <c r="E206" s="67"/>
    </row>
    <row r="207" spans="1:5" x14ac:dyDescent="0.2">
      <c r="D207" s="721"/>
      <c r="E207" s="67"/>
    </row>
    <row r="208" spans="1:5" x14ac:dyDescent="0.2">
      <c r="D208" s="721"/>
      <c r="E208" s="67"/>
    </row>
    <row r="209" spans="4:5" x14ac:dyDescent="0.2">
      <c r="D209" s="721"/>
      <c r="E209" s="67"/>
    </row>
    <row r="210" spans="4:5" x14ac:dyDescent="0.2">
      <c r="D210" s="721"/>
      <c r="E210" s="67"/>
    </row>
    <row r="211" spans="4:5" x14ac:dyDescent="0.2">
      <c r="D211" s="721"/>
      <c r="E211" s="67"/>
    </row>
  </sheetData>
  <phoneticPr fontId="0" type="noConversion"/>
  <pageMargins left="0.75" right="0.75" top="1" bottom="1" header="0.5" footer="0.5"/>
  <pageSetup orientation="portrait" horizontalDpi="4294967293"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G108"/>
  <sheetViews>
    <sheetView zoomScaleNormal="100" workbookViewId="0">
      <pane ySplit="3" topLeftCell="A4" activePane="bottomLeft" state="frozen"/>
      <selection pane="bottomLeft"/>
    </sheetView>
  </sheetViews>
  <sheetFormatPr defaultRowHeight="12.75" x14ac:dyDescent="0.2"/>
  <cols>
    <col min="1" max="1" width="56.5703125" customWidth="1"/>
    <col min="2" max="2" width="19.140625" style="3" customWidth="1"/>
    <col min="3" max="3" width="14.85546875" style="5" customWidth="1"/>
  </cols>
  <sheetData>
    <row r="1" spans="1:5" x14ac:dyDescent="0.2">
      <c r="A1" s="1" t="s">
        <v>3862</v>
      </c>
      <c r="C1" s="694"/>
      <c r="D1" s="694"/>
    </row>
    <row r="2" spans="1:5" x14ac:dyDescent="0.2">
      <c r="C2" s="694"/>
      <c r="D2" s="694"/>
    </row>
    <row r="3" spans="1:5" x14ac:dyDescent="0.2">
      <c r="A3" s="193" t="s">
        <v>3853</v>
      </c>
      <c r="B3" s="193" t="s">
        <v>1640</v>
      </c>
      <c r="C3" s="194" t="s">
        <v>1641</v>
      </c>
      <c r="D3" s="193" t="s">
        <v>1642</v>
      </c>
      <c r="E3" s="193" t="s">
        <v>594</v>
      </c>
    </row>
    <row r="4" spans="1:5" x14ac:dyDescent="0.2">
      <c r="A4" s="2" t="s">
        <v>3724</v>
      </c>
      <c r="B4" s="25"/>
      <c r="C4" s="35"/>
      <c r="D4" s="26"/>
    </row>
    <row r="5" spans="1:5" x14ac:dyDescent="0.2">
      <c r="A5" s="26" t="s">
        <v>3725</v>
      </c>
      <c r="B5" s="31" t="s">
        <v>3352</v>
      </c>
      <c r="C5" s="37">
        <f>OUTPUT!J311*booster_pump_maintenance</f>
        <v>0</v>
      </c>
      <c r="D5" s="38" t="s">
        <v>1696</v>
      </c>
    </row>
    <row r="6" spans="1:5" x14ac:dyDescent="0.2">
      <c r="A6" s="26" t="s">
        <v>3725</v>
      </c>
      <c r="B6" s="31" t="s">
        <v>324</v>
      </c>
      <c r="C6" s="37">
        <f>IF(ISNUMBER(OUTPUT!J312),OUTPUT!J312*booster_pump_maintenance,0)</f>
        <v>0</v>
      </c>
      <c r="D6" s="38" t="s">
        <v>1696</v>
      </c>
    </row>
    <row r="7" spans="1:5" x14ac:dyDescent="0.2">
      <c r="A7" t="s">
        <v>3733</v>
      </c>
      <c r="B7" s="3" t="s">
        <v>3734</v>
      </c>
      <c r="C7" s="37">
        <f>IF(OR(back_interval&lt;=24*7,filter_back_interval&lt;=24*7),IF(ISNUMBER(OUTPUT!J313),OUTPUT!J313*booster_pump_maintenance,0),0)</f>
        <v>0</v>
      </c>
      <c r="D7" s="6" t="s">
        <v>1696</v>
      </c>
      <c r="E7" s="7" t="s">
        <v>3735</v>
      </c>
    </row>
    <row r="8" spans="1:5" x14ac:dyDescent="0.2">
      <c r="A8" t="s">
        <v>3737</v>
      </c>
      <c r="B8" s="3" t="s">
        <v>3736</v>
      </c>
      <c r="C8" s="37">
        <f>IF(AND(design_type=3,include_post=0),0,IF(back_interval&lt;=24*7,IF(air_scour_I="yes",Materials_pct*OUTPUT!J329,0),0))+IF(design_type=3,Materials_pct*OUTPUT!J330,0)</f>
        <v>142.80352460707297</v>
      </c>
      <c r="D8" s="6" t="s">
        <v>1696</v>
      </c>
      <c r="E8" s="7" t="s">
        <v>3738</v>
      </c>
    </row>
    <row r="9" spans="1:5" x14ac:dyDescent="0.2">
      <c r="A9" s="35" t="s">
        <v>330</v>
      </c>
      <c r="B9" s="31" t="s">
        <v>323</v>
      </c>
      <c r="C9" s="37">
        <f>IF(ISNUMBER(OUTPUT!J331),OUTPUT!J331*booster_pump_maintenance,0)</f>
        <v>223.88014210459548</v>
      </c>
      <c r="D9" s="38" t="s">
        <v>1696</v>
      </c>
      <c r="E9" s="7"/>
    </row>
    <row r="10" spans="1:5" x14ac:dyDescent="0.2">
      <c r="A10" s="35" t="s">
        <v>326</v>
      </c>
      <c r="B10" s="31" t="s">
        <v>3726</v>
      </c>
      <c r="C10" s="37">
        <f>Materials_pct*SUMPRODUCT(OUTPUT!J41:J44,OUTPUT!L41:L44)</f>
        <v>0</v>
      </c>
      <c r="D10" s="38" t="s">
        <v>1696</v>
      </c>
      <c r="E10" s="7" t="s">
        <v>325</v>
      </c>
    </row>
    <row r="11" spans="1:5" x14ac:dyDescent="0.2">
      <c r="A11" s="35" t="s">
        <v>327</v>
      </c>
      <c r="B11" s="31" t="s">
        <v>329</v>
      </c>
      <c r="C11" s="37">
        <f>Materials_pct*SUMPRODUCT(OUTPUT!J52:J55,OUTPUT!L52:L55)</f>
        <v>0</v>
      </c>
      <c r="D11" s="38" t="s">
        <v>1696</v>
      </c>
      <c r="E11" s="7" t="s">
        <v>328</v>
      </c>
    </row>
    <row r="12" spans="1:5" x14ac:dyDescent="0.2">
      <c r="C12" s="456"/>
      <c r="D12" s="6"/>
      <c r="E12" s="7"/>
    </row>
    <row r="13" spans="1:5" x14ac:dyDescent="0.2">
      <c r="A13" s="2" t="s">
        <v>410</v>
      </c>
      <c r="B13" s="25"/>
      <c r="C13" s="34"/>
      <c r="D13" s="26"/>
    </row>
    <row r="14" spans="1:5" ht="12" customHeight="1" x14ac:dyDescent="0.2">
      <c r="A14" t="s">
        <v>2107</v>
      </c>
      <c r="B14" s="3" t="s">
        <v>2109</v>
      </c>
      <c r="C14" s="10">
        <f>IF(e_donor_type=1,e_donor_day*365*average_flow/design_flow,0)</f>
        <v>5327.1750000000002</v>
      </c>
      <c r="D14" s="5" t="s">
        <v>432</v>
      </c>
    </row>
    <row r="15" spans="1:5" x14ac:dyDescent="0.2">
      <c r="A15" t="s">
        <v>2108</v>
      </c>
      <c r="B15" s="3" t="s">
        <v>2110</v>
      </c>
      <c r="C15" s="10">
        <f>IF(e_donor_type=2,e_donor_day_vol*365*average_flow/design_flow,0)</f>
        <v>0</v>
      </c>
      <c r="D15" s="5" t="s">
        <v>3635</v>
      </c>
    </row>
    <row r="16" spans="1:5" x14ac:dyDescent="0.2">
      <c r="A16" t="s">
        <v>2105</v>
      </c>
      <c r="B16" s="3" t="s">
        <v>2111</v>
      </c>
      <c r="C16" s="10">
        <f>NH4Cl_day*365*average_flow/design_flow</f>
        <v>0</v>
      </c>
      <c r="D16" s="5" t="s">
        <v>432</v>
      </c>
    </row>
    <row r="17" spans="1:5" x14ac:dyDescent="0.2">
      <c r="A17" t="s">
        <v>2106</v>
      </c>
      <c r="B17" s="3" t="s">
        <v>2112</v>
      </c>
      <c r="C17" s="10">
        <f>H3PO4_day*365*average_flow/design_flow</f>
        <v>450.60838568771442</v>
      </c>
      <c r="D17" s="5" t="s">
        <v>432</v>
      </c>
    </row>
    <row r="18" spans="1:5" x14ac:dyDescent="0.2">
      <c r="A18" t="s">
        <v>158</v>
      </c>
      <c r="B18" s="3" t="s">
        <v>159</v>
      </c>
      <c r="C18" s="10">
        <f>solution_day*average_flow/design_flow*365*(8.34*H2O2_sg)</f>
        <v>0</v>
      </c>
      <c r="D18" s="5" t="s">
        <v>3353</v>
      </c>
    </row>
    <row r="19" spans="1:5" x14ac:dyDescent="0.2">
      <c r="A19" s="5" t="s">
        <v>1948</v>
      </c>
      <c r="B19" s="3" t="s">
        <v>1168</v>
      </c>
      <c r="C19" s="157">
        <f>IF(design_type=3,0,(media_loss_rate*resin_per_vessel*IF(design_type=1,op_num_tanks,op_num_basins)))+IF(design_type=3,op_num_tanks*resin_per_vessel*fluid_media_loss_rate,0)</f>
        <v>418.46014145816048</v>
      </c>
      <c r="D19" s="5" t="s">
        <v>3353</v>
      </c>
    </row>
    <row r="20" spans="1:5" x14ac:dyDescent="0.2">
      <c r="A20" s="5" t="s">
        <v>2772</v>
      </c>
      <c r="B20" s="3" t="s">
        <v>2774</v>
      </c>
      <c r="C20" s="157">
        <f>(IF(filter_type=1,op_num_filters,IF(filter_type=2,op_num_tanks_filt,0))*sand_each*filter_media_loss_rate)</f>
        <v>11.561060965210437</v>
      </c>
      <c r="D20" s="5" t="s">
        <v>2777</v>
      </c>
    </row>
    <row r="21" spans="1:5" x14ac:dyDescent="0.2">
      <c r="A21" s="5" t="s">
        <v>2771</v>
      </c>
      <c r="B21" s="3" t="s">
        <v>2775</v>
      </c>
      <c r="C21" s="157">
        <f>(IF(filter_type=1,op_num_filters,IF(filter_type=2,op_num_tanks_filt,0))*anthracite_each*filter_media_loss_rate)</f>
        <v>387.29554233454974</v>
      </c>
      <c r="D21" s="5" t="s">
        <v>3353</v>
      </c>
    </row>
    <row r="22" spans="1:5" x14ac:dyDescent="0.2">
      <c r="A22" s="5" t="s">
        <v>2773</v>
      </c>
      <c r="B22" s="3" t="s">
        <v>2776</v>
      </c>
      <c r="C22" s="157">
        <f>(IF(filter_type=1,op_num_filters,IF(filter_type=2,op_num_tanks_filt,0))*garnet_each*filter_media_loss_rate)</f>
        <v>0</v>
      </c>
      <c r="D22" s="5" t="s">
        <v>3353</v>
      </c>
    </row>
    <row r="23" spans="1:5" x14ac:dyDescent="0.2">
      <c r="A23" s="5" t="s">
        <v>1949</v>
      </c>
      <c r="B23" s="3" t="s">
        <v>1950</v>
      </c>
      <c r="C23" s="157">
        <f>(IF(filter_type=1,op_num_filters,IF(filter_type=2,op_num_tanks_filt,0))*filt_GAC_each*filter_media_loss_rate)</f>
        <v>0</v>
      </c>
      <c r="D23" s="5" t="s">
        <v>3353</v>
      </c>
    </row>
    <row r="24" spans="1:5" x14ac:dyDescent="0.2">
      <c r="A24" s="5" t="s">
        <v>365</v>
      </c>
      <c r="B24" s="3" t="s">
        <v>341</v>
      </c>
      <c r="C24" s="157">
        <f>coag_yr+coag_yr_filt</f>
        <v>2663.5875000000005</v>
      </c>
      <c r="D24" s="5" t="s">
        <v>3353</v>
      </c>
    </row>
    <row r="25" spans="1:5" x14ac:dyDescent="0.2">
      <c r="A25" s="5"/>
      <c r="C25" s="157"/>
      <c r="D25" s="5"/>
    </row>
    <row r="26" spans="1:5" x14ac:dyDescent="0.2">
      <c r="A26" s="2" t="s">
        <v>1355</v>
      </c>
      <c r="B26" s="25"/>
      <c r="C26" s="37"/>
      <c r="D26" s="38"/>
    </row>
    <row r="27" spans="1:5" x14ac:dyDescent="0.2">
      <c r="A27" s="45" t="s">
        <v>3727</v>
      </c>
      <c r="B27" s="3" t="s">
        <v>3220</v>
      </c>
      <c r="C27" s="34">
        <f>tot_fm_in+tot_fm_proc+tot_level_switch+tot_turb_meters+tot_head_sens+tot_temp_meters+ORP_sensor+pH_controls+tot_ClO4_analyzer+tot_N_analyzer+tot_DO_analyzer</f>
        <v>19</v>
      </c>
      <c r="D27" s="38"/>
      <c r="E27" s="457" t="s">
        <v>3739</v>
      </c>
    </row>
    <row r="28" spans="1:5" x14ac:dyDescent="0.2">
      <c r="A28" t="s">
        <v>3728</v>
      </c>
      <c r="B28" s="31" t="s">
        <v>3729</v>
      </c>
      <c r="C28" s="34">
        <f>tot_fm_in+tot_fm_proc+tot_level_switch+tot_turb_meters+tot_head_sens+tot_temp_meters+ORP_sensor+pH_controls+tot_fm_back+tot_fm_res+tot_ClO4_analyzer+tot_N_analyzer+tot_DO_analyzer</f>
        <v>21</v>
      </c>
      <c r="D28" s="38"/>
      <c r="E28" s="457" t="s">
        <v>3740</v>
      </c>
    </row>
    <row r="29" spans="1:5" x14ac:dyDescent="0.2">
      <c r="A29" s="45" t="s">
        <v>3730</v>
      </c>
      <c r="B29" s="3" t="s">
        <v>3221</v>
      </c>
      <c r="C29">
        <f>booster_pumps+IF(cm_pumps_e_donor&gt;0,cm_pumps_e_donor-NRD_cm_pump,0)+IF(cm_pumps_NH4Cl&gt;0,cm_pumps_NH4Cl-NRD_cm_pump,0)+IF(cm_pumps_H3PO4&gt;0,cm_pumps_H3PO4-NRD_cm_pump,0)+IF(cm_pumps_H2O2&gt;0,cm_pumps_H2O2-NRD_cm_pump,0)+num_bio_blowers+num_aeration_blowers+recycle_pumps</f>
        <v>4</v>
      </c>
      <c r="D29" s="38"/>
      <c r="E29" s="457" t="s">
        <v>3741</v>
      </c>
    </row>
    <row r="30" spans="1:5" x14ac:dyDescent="0.2">
      <c r="A30" t="s">
        <v>3731</v>
      </c>
      <c r="B30" s="31" t="s">
        <v>3732</v>
      </c>
      <c r="C30">
        <f>booster_pumps+recycle_pumps+res_pumps+IF(OR(back_interval&lt;=24*7,filter_back_interval&lt;=24*7),backwash_pumps+IF(air_scour_I="yes",num_blowers,0),0)+num_bio_blowers+num_aeration_blowers</f>
        <v>5</v>
      </c>
      <c r="D30" s="38"/>
      <c r="E30" s="7" t="s">
        <v>3742</v>
      </c>
    </row>
    <row r="31" spans="1:5" x14ac:dyDescent="0.2">
      <c r="A31" t="s">
        <v>3222</v>
      </c>
      <c r="B31" s="31" t="s">
        <v>3223</v>
      </c>
      <c r="C31">
        <f>tot_proc_MOVs+tot_e_donor_MOVs+tot_NH4Cl_MOVs+tot_H3PO4_MOVs+tot_H2O2_MOVs+tot_proc_man+tot_e_donor_man+tot_NH4Cl_man+tot_H3PO4_man+tot_H2O2_man+tot_bp_MOVs+tot_bp_man</f>
        <v>31</v>
      </c>
      <c r="D31" s="38"/>
      <c r="E31" s="7" t="s">
        <v>841</v>
      </c>
    </row>
    <row r="32" spans="1:5" x14ac:dyDescent="0.2">
      <c r="A32" t="s">
        <v>3743</v>
      </c>
      <c r="B32" s="31" t="s">
        <v>3744</v>
      </c>
      <c r="C32">
        <f>H3PO4_tanks+e_donor_tanks+NH4Cl_tanks+H2O2_tanks+coag_tanks+polymer_tanks</f>
        <v>4</v>
      </c>
      <c r="D32" s="38"/>
      <c r="E32" s="7"/>
    </row>
    <row r="33" spans="1:5" x14ac:dyDescent="0.2">
      <c r="A33" s="5" t="s">
        <v>1923</v>
      </c>
      <c r="B33" s="31" t="s">
        <v>1869</v>
      </c>
      <c r="C33" s="9">
        <f>IF(design_type=3,0,IF(design_type=1,op_num_tanks,IF(design_type=2,op_num_basins,0))*(365*24/back_interval))</f>
        <v>1095</v>
      </c>
      <c r="D33" s="38"/>
    </row>
    <row r="34" spans="1:5" x14ac:dyDescent="0.2">
      <c r="A34" s="5" t="s">
        <v>1924</v>
      </c>
      <c r="B34" s="31" t="s">
        <v>1944</v>
      </c>
      <c r="C34" s="9">
        <f>IF(include_post=0,0,IF(filter_type=1,op_num_filters,op_num_tanks_filt)*(365*24/filter_back_interval))</f>
        <v>486.66666666666669</v>
      </c>
      <c r="D34" s="38"/>
    </row>
    <row r="35" spans="1:5" x14ac:dyDescent="0.2">
      <c r="A35" s="5"/>
      <c r="B35" s="31"/>
      <c r="C35"/>
      <c r="D35" s="38"/>
    </row>
    <row r="36" spans="1:5" x14ac:dyDescent="0.2">
      <c r="A36" t="s">
        <v>3745</v>
      </c>
      <c r="C36" s="458">
        <f>IF(manual=1,tot_inst*uloe_inst*365/60,uloe_inst_auto*365/60)</f>
        <v>30.416666666666668</v>
      </c>
      <c r="D36" s="26" t="s">
        <v>1695</v>
      </c>
    </row>
    <row r="37" spans="1:5" x14ac:dyDescent="0.2">
      <c r="A37" t="s">
        <v>554</v>
      </c>
      <c r="C37" s="458">
        <f>tot_inst_maint*uloe_inst_maint*12/60</f>
        <v>42</v>
      </c>
      <c r="D37" s="26"/>
    </row>
    <row r="38" spans="1:5" x14ac:dyDescent="0.2">
      <c r="A38" s="45" t="s">
        <v>555</v>
      </c>
      <c r="C38" s="459">
        <f>IF(OR(manual=1,manual=2),tot_pumps*uloe_pump*365/60,0)</f>
        <v>0</v>
      </c>
      <c r="D38" s="26" t="s">
        <v>1695</v>
      </c>
      <c r="E38" s="7" t="s">
        <v>3126</v>
      </c>
    </row>
    <row r="39" spans="1:5" x14ac:dyDescent="0.2">
      <c r="A39" s="45" t="s">
        <v>556</v>
      </c>
      <c r="C39" s="459">
        <f>tot_pumps_maint*uloe_pump_maint</f>
        <v>151.25</v>
      </c>
      <c r="D39" s="26"/>
      <c r="E39" s="7"/>
    </row>
    <row r="40" spans="1:5" x14ac:dyDescent="0.2">
      <c r="A40" s="45" t="s">
        <v>557</v>
      </c>
      <c r="C40" s="459">
        <f>IF(OR(manual=1,manual=2),tot_valves*uloe_valve*52/60,0)</f>
        <v>0</v>
      </c>
      <c r="D40" s="26" t="s">
        <v>1695</v>
      </c>
      <c r="E40" s="7" t="s">
        <v>3126</v>
      </c>
    </row>
    <row r="41" spans="1:5" x14ac:dyDescent="0.2">
      <c r="A41" t="s">
        <v>558</v>
      </c>
      <c r="C41" s="459">
        <f>tot_valves*uloe_valve_maint/60</f>
        <v>2.5833333333333335</v>
      </c>
      <c r="D41" s="26"/>
      <c r="E41" s="7"/>
    </row>
    <row r="42" spans="1:5" x14ac:dyDescent="0.2">
      <c r="A42" t="s">
        <v>559</v>
      </c>
      <c r="C42" s="459">
        <f>total_fp/100*uloe_fp*365/60</f>
        <v>27.375</v>
      </c>
      <c r="D42" s="26" t="s">
        <v>1695</v>
      </c>
    </row>
    <row r="43" spans="1:5" x14ac:dyDescent="0.2">
      <c r="A43" t="s">
        <v>560</v>
      </c>
      <c r="B43" s="31"/>
      <c r="C43" s="459">
        <f>tot_chem*uloe_chem_maint*12/60</f>
        <v>96</v>
      </c>
      <c r="D43" s="26" t="s">
        <v>1695</v>
      </c>
    </row>
    <row r="44" spans="1:5" x14ac:dyDescent="0.2">
      <c r="A44" t="s">
        <v>1544</v>
      </c>
      <c r="B44" s="3" t="s">
        <v>1242</v>
      </c>
      <c r="C44" s="59">
        <f>SUM(C36:C43)</f>
        <v>349.625</v>
      </c>
      <c r="D44" t="s">
        <v>1695</v>
      </c>
      <c r="E44" s="7"/>
    </row>
    <row r="45" spans="1:5" x14ac:dyDescent="0.2">
      <c r="C45" s="59"/>
      <c r="E45" s="7"/>
    </row>
    <row r="46" spans="1:5" x14ac:dyDescent="0.2">
      <c r="A46" s="431" t="s">
        <v>561</v>
      </c>
      <c r="C46" s="59"/>
      <c r="E46" s="7"/>
    </row>
    <row r="47" spans="1:5" x14ac:dyDescent="0.2">
      <c r="A47" s="5" t="s">
        <v>562</v>
      </c>
      <c r="B47" s="3" t="s">
        <v>563</v>
      </c>
      <c r="C47" s="34">
        <f>Weekly_labor*52*(total_num_basins+total_num_filt_basins)</f>
        <v>0</v>
      </c>
      <c r="D47" t="s">
        <v>1695</v>
      </c>
      <c r="E47" s="7"/>
    </row>
    <row r="48" spans="1:5" x14ac:dyDescent="0.2">
      <c r="A48" s="5" t="s">
        <v>3464</v>
      </c>
      <c r="B48" s="31"/>
      <c r="C48" s="459">
        <f>IF(OR(manual=1,manual=2),(backwash_yr*backwash_time+filter_backwash_yr*filter_backwash_time)*2/60,(backwash_yr+filter_backwash_yr)*uloe_autoback/60)</f>
        <v>26.361111111111111</v>
      </c>
      <c r="D48" s="26" t="s">
        <v>1695</v>
      </c>
      <c r="E48" s="7"/>
    </row>
    <row r="49" spans="1:5" x14ac:dyDescent="0.2">
      <c r="A49" s="5" t="s">
        <v>3432</v>
      </c>
      <c r="B49" s="5"/>
      <c r="C49" s="460">
        <f>IF(OR(res_s2_opt=4,res_transfer_method=3),res_solids*2000/ht_solids_density*sol_disp_freq*uloe_throwaway,sol_disp_freq*transfer_time)*(IF(sed_sludge_method=1,2,IF(sed_sludge_method=2,3,1)))</f>
        <v>8</v>
      </c>
      <c r="D49" t="s">
        <v>1695</v>
      </c>
      <c r="E49" s="7" t="s">
        <v>796</v>
      </c>
    </row>
    <row r="50" spans="1:5" x14ac:dyDescent="0.2">
      <c r="C50" s="59"/>
      <c r="E50" s="7"/>
    </row>
    <row r="51" spans="1:5" x14ac:dyDescent="0.2">
      <c r="A51" t="s">
        <v>1676</v>
      </c>
      <c r="B51" s="3" t="s">
        <v>1677</v>
      </c>
      <c r="C51" s="59">
        <f>General_Oper_Labor+filter_labor+SUM(C48:C49)</f>
        <v>383.98611111111109</v>
      </c>
      <c r="D51" t="s">
        <v>1695</v>
      </c>
      <c r="E51" s="7"/>
    </row>
    <row r="52" spans="1:5" x14ac:dyDescent="0.2">
      <c r="A52" t="s">
        <v>1678</v>
      </c>
      <c r="B52" s="3" t="s">
        <v>1679</v>
      </c>
      <c r="C52" s="34">
        <f>Operator_LOE*Manager_percent</f>
        <v>38.398611111111109</v>
      </c>
      <c r="D52" t="s">
        <v>1695</v>
      </c>
      <c r="E52" s="7" t="s">
        <v>1543</v>
      </c>
    </row>
    <row r="53" spans="1:5" x14ac:dyDescent="0.2">
      <c r="A53" t="s">
        <v>1585</v>
      </c>
      <c r="B53" s="3" t="s">
        <v>1680</v>
      </c>
      <c r="C53" s="34">
        <f>Operator_LOE*Clerical_percent</f>
        <v>38.398611111111109</v>
      </c>
      <c r="D53" t="s">
        <v>1695</v>
      </c>
      <c r="E53" s="7" t="s">
        <v>1543</v>
      </c>
    </row>
    <row r="54" spans="1:5" x14ac:dyDescent="0.2">
      <c r="C54" s="36"/>
      <c r="E54" s="7"/>
    </row>
    <row r="55" spans="1:5" x14ac:dyDescent="0.2">
      <c r="A55" s="2" t="s">
        <v>4177</v>
      </c>
    </row>
    <row r="56" spans="1:5" x14ac:dyDescent="0.2">
      <c r="A56" s="694" t="s">
        <v>4178</v>
      </c>
      <c r="C56" s="432">
        <f>IF(include_buildings=0,0,building_matl_rate_cl*total_fp)</f>
        <v>2915.5628411631005</v>
      </c>
      <c r="D56" s="6" t="s">
        <v>1696</v>
      </c>
      <c r="E56" s="7" t="s">
        <v>1652</v>
      </c>
    </row>
    <row r="57" spans="1:5" x14ac:dyDescent="0.2">
      <c r="A57" t="s">
        <v>1653</v>
      </c>
      <c r="C57" s="432">
        <f>build1_need_heat*heating_matl_rate_cl*build1_fp</f>
        <v>0</v>
      </c>
      <c r="D57" s="6" t="s">
        <v>1696</v>
      </c>
    </row>
    <row r="58" spans="1:5" x14ac:dyDescent="0.2">
      <c r="A58" t="s">
        <v>1654</v>
      </c>
      <c r="C58" s="432">
        <f>build1_need_cool*cooling_matl_rate_cl*build1_fp</f>
        <v>0</v>
      </c>
      <c r="D58" s="6" t="s">
        <v>1696</v>
      </c>
    </row>
    <row r="59" spans="1:5" x14ac:dyDescent="0.2">
      <c r="A59" t="s">
        <v>1655</v>
      </c>
      <c r="C59" s="432">
        <f>build2_need_heat*heating_matl_rate_cl*build2_fp</f>
        <v>0</v>
      </c>
      <c r="D59" s="6" t="s">
        <v>1696</v>
      </c>
    </row>
    <row r="60" spans="1:5" x14ac:dyDescent="0.2">
      <c r="A60" t="s">
        <v>1656</v>
      </c>
      <c r="C60" s="432">
        <f>build2_need_cool*cooling_matl_rate_cl*build2_fp</f>
        <v>0</v>
      </c>
      <c r="D60" s="6" t="s">
        <v>1696</v>
      </c>
    </row>
    <row r="61" spans="1:5" x14ac:dyDescent="0.2">
      <c r="A61" s="694" t="s">
        <v>4179</v>
      </c>
      <c r="B61" s="3" t="s">
        <v>1657</v>
      </c>
      <c r="C61" s="433">
        <f>SUM(C56:C60)</f>
        <v>2915.5628411631005</v>
      </c>
      <c r="E61" s="7" t="s">
        <v>1658</v>
      </c>
    </row>
    <row r="62" spans="1:5" x14ac:dyDescent="0.2">
      <c r="C62" s="36"/>
      <c r="E62" s="7"/>
    </row>
    <row r="63" spans="1:5" x14ac:dyDescent="0.2">
      <c r="A63" s="2" t="s">
        <v>3355</v>
      </c>
      <c r="C63" s="34"/>
      <c r="E63" s="7"/>
    </row>
    <row r="64" spans="1:5" x14ac:dyDescent="0.2">
      <c r="A64" s="736" t="s">
        <v>585</v>
      </c>
      <c r="C64" s="34"/>
      <c r="E64" s="7"/>
    </row>
    <row r="65" spans="1:7" x14ac:dyDescent="0.2">
      <c r="A65" s="128" t="s">
        <v>1356</v>
      </c>
      <c r="B65" s="31" t="s">
        <v>3925</v>
      </c>
      <c r="C65" s="60">
        <f>IF(booster_pumps=0,0,(average_flow_rate/IF(bp_pct&gt;0,bp_pct,1))*booster_pump_head/booster_pumps/booster_pump_efficiency/14.7*33.9*8.34/550/60)</f>
        <v>0</v>
      </c>
      <c r="D65" t="s">
        <v>1694</v>
      </c>
      <c r="E65" s="60"/>
      <c r="F65" s="60"/>
      <c r="G65" s="772"/>
    </row>
    <row r="66" spans="1:7" x14ac:dyDescent="0.2">
      <c r="A66" s="128" t="s">
        <v>2351</v>
      </c>
      <c r="C66" s="60">
        <f>C65*0.7457/1000*24*365</f>
        <v>0</v>
      </c>
      <c r="D66" t="s">
        <v>2345</v>
      </c>
      <c r="E66" s="7"/>
    </row>
    <row r="67" spans="1:7" x14ac:dyDescent="0.2">
      <c r="A67" s="129" t="s">
        <v>2352</v>
      </c>
      <c r="B67" s="31" t="s">
        <v>3356</v>
      </c>
      <c r="C67" s="64">
        <f>C66*booster_pumps</f>
        <v>0</v>
      </c>
      <c r="D67" s="26" t="s">
        <v>2345</v>
      </c>
    </row>
    <row r="68" spans="1:7" ht="13.5" customHeight="1" x14ac:dyDescent="0.2">
      <c r="A68" s="129"/>
      <c r="B68" s="31"/>
      <c r="C68" s="64"/>
      <c r="D68" s="26"/>
    </row>
    <row r="69" spans="1:7" x14ac:dyDescent="0.2">
      <c r="A69" s="627" t="s">
        <v>299</v>
      </c>
      <c r="B69" s="31" t="s">
        <v>3926</v>
      </c>
      <c r="C69" s="60">
        <f>IF(recycle_pumps=0,0,average_flow_rate*recycle_fluid*recycle_pump_head/recycle_pumps/recycle_pump_efficiency/14.7*33.9*8.34/550/60)</f>
        <v>0</v>
      </c>
      <c r="D69" t="s">
        <v>1694</v>
      </c>
      <c r="E69" s="60"/>
    </row>
    <row r="70" spans="1:7" x14ac:dyDescent="0.2">
      <c r="A70" s="627" t="s">
        <v>300</v>
      </c>
      <c r="C70" s="60">
        <f>C69*0.7457/1000*24*365</f>
        <v>0</v>
      </c>
      <c r="D70" t="s">
        <v>2345</v>
      </c>
      <c r="E70" s="7"/>
    </row>
    <row r="71" spans="1:7" x14ac:dyDescent="0.2">
      <c r="A71" s="737" t="s">
        <v>301</v>
      </c>
      <c r="B71" s="31" t="s">
        <v>302</v>
      </c>
      <c r="C71" s="64">
        <f>C70*recycle_pumps</f>
        <v>0</v>
      </c>
      <c r="D71" s="26" t="s">
        <v>2345</v>
      </c>
    </row>
    <row r="72" spans="1:7" x14ac:dyDescent="0.2">
      <c r="A72" s="129"/>
      <c r="B72" s="31"/>
      <c r="C72" s="64"/>
      <c r="D72" s="26"/>
    </row>
    <row r="73" spans="1:7" ht="13.5" customHeight="1" x14ac:dyDescent="0.2">
      <c r="A73" s="128" t="s">
        <v>1828</v>
      </c>
      <c r="B73" s="31" t="s">
        <v>3927</v>
      </c>
      <c r="C73" s="60">
        <f>MAX(water_flush,filter_water_flush)*back_pump_head/booster_pump_efficiency/14.7*33.9*8.34/550/60</f>
        <v>3.6523388991960419</v>
      </c>
      <c r="D73" t="s">
        <v>1694</v>
      </c>
    </row>
    <row r="74" spans="1:7" ht="13.5" customHeight="1" x14ac:dyDescent="0.2">
      <c r="A74" s="128" t="s">
        <v>1831</v>
      </c>
      <c r="B74" s="3" t="s">
        <v>3891</v>
      </c>
      <c r="C74" s="60">
        <f>(backwash_yr*backwash_time+filter_backwash_yr*filter_backwash_time)/60</f>
        <v>239.2777777777778</v>
      </c>
      <c r="D74" t="s">
        <v>1832</v>
      </c>
    </row>
    <row r="75" spans="1:7" ht="13.5" customHeight="1" x14ac:dyDescent="0.2">
      <c r="A75" s="129" t="s">
        <v>1833</v>
      </c>
      <c r="B75" s="31" t="s">
        <v>1827</v>
      </c>
      <c r="C75" s="464">
        <f>C73*0.7457/1000*back_pump_op_hours</f>
        <v>0.65168478041561195</v>
      </c>
      <c r="D75" s="26" t="s">
        <v>2345</v>
      </c>
    </row>
    <row r="76" spans="1:7" ht="13.5" customHeight="1" x14ac:dyDescent="0.2">
      <c r="A76" s="129"/>
      <c r="B76" s="31"/>
      <c r="C76" s="464"/>
      <c r="D76" s="26"/>
    </row>
    <row r="77" spans="1:7" ht="13.5" customHeight="1" x14ac:dyDescent="0.2">
      <c r="A77" s="770" t="s">
        <v>3899</v>
      </c>
      <c r="B77" s="31" t="s">
        <v>3901</v>
      </c>
      <c r="C77" s="464">
        <f>IF(design_type=3,(bed_depth+add_blow_head/12)/2.307,0)</f>
        <v>0</v>
      </c>
      <c r="D77" s="35" t="s">
        <v>1693</v>
      </c>
    </row>
    <row r="78" spans="1:7" ht="13.5" customHeight="1" x14ac:dyDescent="0.2">
      <c r="A78" s="770" t="s">
        <v>3922</v>
      </c>
      <c r="B78" s="31" t="s">
        <v>3902</v>
      </c>
      <c r="C78" s="464">
        <f>IF(design_type=3,(average_flow_rate*biomass_air_scour/60/num_bio_blowers)*bio_blower_head/(229*blower_effcy),0)</f>
        <v>0</v>
      </c>
      <c r="D78" s="35" t="s">
        <v>304</v>
      </c>
    </row>
    <row r="79" spans="1:7" ht="13.5" customHeight="1" x14ac:dyDescent="0.2">
      <c r="A79" s="770" t="s">
        <v>3897</v>
      </c>
      <c r="B79" s="31"/>
      <c r="C79" s="464">
        <f>bio_blower_hp*0.7457/1000*24*365</f>
        <v>0</v>
      </c>
      <c r="D79" s="35" t="s">
        <v>2345</v>
      </c>
    </row>
    <row r="80" spans="1:7" ht="13.5" customHeight="1" x14ac:dyDescent="0.2">
      <c r="A80" s="770" t="s">
        <v>3898</v>
      </c>
      <c r="B80" s="31" t="s">
        <v>3903</v>
      </c>
      <c r="C80" s="464">
        <f>C79*num_bio_blowers</f>
        <v>0</v>
      </c>
      <c r="D80" s="35" t="s">
        <v>2345</v>
      </c>
    </row>
    <row r="81" spans="1:5" ht="13.5" customHeight="1" x14ac:dyDescent="0.2">
      <c r="A81" s="129"/>
      <c r="B81" s="31"/>
      <c r="C81" s="771"/>
      <c r="D81" s="26"/>
    </row>
    <row r="82" spans="1:5" ht="13.5" customHeight="1" x14ac:dyDescent="0.2">
      <c r="A82" s="737" t="s">
        <v>303</v>
      </c>
      <c r="B82" s="31" t="s">
        <v>308</v>
      </c>
      <c r="C82" s="464">
        <f>IF(include_post_h2o2=0,(aeration_water_height+add_blow_head/12)/2.307,0)</f>
        <v>0.78592560339195039</v>
      </c>
      <c r="D82" s="35" t="s">
        <v>1693</v>
      </c>
    </row>
    <row r="83" spans="1:5" ht="13.5" customHeight="1" x14ac:dyDescent="0.2">
      <c r="A83" s="770" t="s">
        <v>3923</v>
      </c>
      <c r="B83" s="31" t="s">
        <v>309</v>
      </c>
      <c r="C83" s="464">
        <f>IF(include_post_h2o2=0,(average_flow_rate*rate_aeration/100/(num_aeration_blowers-NRD_blowers))*blower_head/(229*blower_effcy),0)</f>
        <v>7.7458097131969895E-3</v>
      </c>
      <c r="D83" s="35" t="s">
        <v>304</v>
      </c>
    </row>
    <row r="84" spans="1:5" ht="13.5" customHeight="1" x14ac:dyDescent="0.2">
      <c r="A84" s="770" t="s">
        <v>3914</v>
      </c>
      <c r="B84" s="31"/>
      <c r="C84" s="464">
        <f>blower_hp*0.7457/1000*24*365</f>
        <v>5.0598200655427528E-2</v>
      </c>
      <c r="D84" s="35" t="s">
        <v>2345</v>
      </c>
      <c r="E84" s="694"/>
    </row>
    <row r="85" spans="1:5" ht="13.5" customHeight="1" x14ac:dyDescent="0.2">
      <c r="A85" s="770" t="s">
        <v>3915</v>
      </c>
      <c r="B85" s="31" t="s">
        <v>318</v>
      </c>
      <c r="C85" s="464">
        <f>C84*num_blowers</f>
        <v>5.0598200655427528E-2</v>
      </c>
      <c r="D85" s="35" t="s">
        <v>2345</v>
      </c>
    </row>
    <row r="86" spans="1:5" ht="13.5" customHeight="1" x14ac:dyDescent="0.2">
      <c r="A86" s="129"/>
      <c r="B86" s="31"/>
      <c r="C86" s="64"/>
      <c r="D86" s="26"/>
    </row>
    <row r="87" spans="1:5" ht="13.5" customHeight="1" x14ac:dyDescent="0.2">
      <c r="A87" s="770" t="s">
        <v>3904</v>
      </c>
      <c r="B87" s="31" t="s">
        <v>3905</v>
      </c>
      <c r="C87" s="464">
        <f>IF(air_scour_I="yes",(MAX(IF(design_type=2,basin_op_depth,bed_depth),IF(filter_type=0,0,CHOOSE(filter_type,filt_basin_op_depth,filt_bed_depth,0)))+add_blow_head/12)/2.307,0)</f>
        <v>2.3551509897413667</v>
      </c>
      <c r="D87" s="35" t="s">
        <v>1693</v>
      </c>
    </row>
    <row r="88" spans="1:5" ht="13.5" customHeight="1" x14ac:dyDescent="0.2">
      <c r="A88" s="770" t="s">
        <v>3924</v>
      </c>
      <c r="B88" s="31" t="s">
        <v>3907</v>
      </c>
      <c r="C88" s="464">
        <f>IF(air_scour_I="yes",tot_air_scour*scour_blower_head/(229*blower_effcy),0)</f>
        <v>1.4770156052334291</v>
      </c>
      <c r="D88" s="35" t="s">
        <v>304</v>
      </c>
    </row>
    <row r="89" spans="1:5" ht="13.5" customHeight="1" x14ac:dyDescent="0.2">
      <c r="A89" s="732" t="s">
        <v>3913</v>
      </c>
      <c r="B89" s="3" t="s">
        <v>3912</v>
      </c>
      <c r="C89" s="60">
        <f>air_scour_time*(filter_backwash_yr+backwash_yr)/60</f>
        <v>131.80555555555557</v>
      </c>
      <c r="D89" t="s">
        <v>1832</v>
      </c>
    </row>
    <row r="90" spans="1:5" ht="13.5" customHeight="1" x14ac:dyDescent="0.2">
      <c r="A90" s="770" t="s">
        <v>3906</v>
      </c>
      <c r="B90" s="31" t="s">
        <v>3908</v>
      </c>
      <c r="C90" s="464">
        <f>scour_blower_hp*0.7457/1000*scour_blower_op_hours</f>
        <v>0.14517202770064128</v>
      </c>
      <c r="D90" s="35" t="s">
        <v>2345</v>
      </c>
    </row>
    <row r="91" spans="1:5" ht="13.5" customHeight="1" x14ac:dyDescent="0.2">
      <c r="A91" s="129"/>
      <c r="B91" s="31"/>
      <c r="C91" s="64"/>
      <c r="D91" s="26"/>
    </row>
    <row r="92" spans="1:5" x14ac:dyDescent="0.2">
      <c r="A92" s="736" t="s">
        <v>3873</v>
      </c>
      <c r="B92" s="31"/>
      <c r="C92" s="35"/>
      <c r="D92" s="26"/>
    </row>
    <row r="93" spans="1:5" x14ac:dyDescent="0.2">
      <c r="A93" s="627" t="s">
        <v>1722</v>
      </c>
      <c r="B93" s="3" t="s">
        <v>1723</v>
      </c>
      <c r="C93" s="455">
        <f>IF(OR(build1_fp&lt;500,component_level=""),lighting_power_low,CHOOSE(component_level,lighting_power_mid,lighting_power_high))*24*365/1000</f>
        <v>2.6279999999999997</v>
      </c>
      <c r="D93" t="s">
        <v>2755</v>
      </c>
    </row>
    <row r="94" spans="1:5" x14ac:dyDescent="0.2">
      <c r="A94" s="627" t="s">
        <v>1724</v>
      </c>
      <c r="B94" s="3" t="s">
        <v>1725</v>
      </c>
      <c r="C94" s="455">
        <f>IF(OR(build2_fp&lt;500,component_level=""),lighting_power_low,CHOOSE(component_level,lighting_power_mid,lighting_power_high))*24*365/1000</f>
        <v>2.6279999999999997</v>
      </c>
      <c r="D94" t="s">
        <v>2755</v>
      </c>
    </row>
    <row r="95" spans="1:5" x14ac:dyDescent="0.2">
      <c r="A95" s="627" t="s">
        <v>1357</v>
      </c>
      <c r="B95" s="3" t="s">
        <v>1358</v>
      </c>
      <c r="C95" s="455">
        <f>IF(include_buildings=0,0,MIN(1,Operator_LOE/(24*365))*(build1_fp*lighting_energy_1+build2_fp*lighting_energy_2)/1000)</f>
        <v>5.1838124999999992E-2</v>
      </c>
      <c r="D95" t="s">
        <v>2345</v>
      </c>
    </row>
    <row r="96" spans="1:5" x14ac:dyDescent="0.2">
      <c r="A96" s="627"/>
      <c r="C96" s="65"/>
      <c r="E96" s="7"/>
    </row>
    <row r="97" spans="1:4" x14ac:dyDescent="0.2">
      <c r="A97" s="736" t="s">
        <v>1123</v>
      </c>
      <c r="C97"/>
    </row>
    <row r="98" spans="1:4" x14ac:dyDescent="0.2">
      <c r="A98" s="627" t="s">
        <v>1124</v>
      </c>
      <c r="C98"/>
    </row>
    <row r="99" spans="1:4" x14ac:dyDescent="0.2">
      <c r="A99" s="743" t="s">
        <v>3629</v>
      </c>
      <c r="B99" s="3" t="s">
        <v>1349</v>
      </c>
      <c r="C99" s="79">
        <f t="shared" ref="C99:C104" si="0">IF(build1_heat=A99,VLOOKUP(A99,build1_heat_options, 7,FALSE),0)+IF(build2_heat=A99,VLOOKUP(A99,build2_heat_options, 7,FALSE),0)</f>
        <v>0</v>
      </c>
      <c r="D99" t="s">
        <v>2345</v>
      </c>
    </row>
    <row r="100" spans="1:4" x14ac:dyDescent="0.2">
      <c r="A100" s="743" t="s">
        <v>3631</v>
      </c>
      <c r="B100" s="3" t="s">
        <v>1546</v>
      </c>
      <c r="C100" s="79">
        <f t="shared" si="0"/>
        <v>0</v>
      </c>
      <c r="D100" t="s">
        <v>3632</v>
      </c>
    </row>
    <row r="101" spans="1:4" x14ac:dyDescent="0.2">
      <c r="A101" s="743" t="s">
        <v>3634</v>
      </c>
      <c r="B101" s="3" t="s">
        <v>1547</v>
      </c>
      <c r="C101" s="79">
        <f t="shared" si="0"/>
        <v>0</v>
      </c>
      <c r="D101" t="s">
        <v>3632</v>
      </c>
    </row>
    <row r="102" spans="1:4" x14ac:dyDescent="0.2">
      <c r="A102" s="743" t="s">
        <v>3521</v>
      </c>
      <c r="B102" s="3" t="s">
        <v>1548</v>
      </c>
      <c r="C102" s="79">
        <f t="shared" si="0"/>
        <v>0</v>
      </c>
      <c r="D102" t="s">
        <v>3635</v>
      </c>
    </row>
    <row r="103" spans="1:4" x14ac:dyDescent="0.2">
      <c r="A103" s="743" t="s">
        <v>3522</v>
      </c>
      <c r="B103" s="3" t="s">
        <v>1549</v>
      </c>
      <c r="C103" s="79">
        <f t="shared" si="0"/>
        <v>0</v>
      </c>
      <c r="D103" t="s">
        <v>3635</v>
      </c>
    </row>
    <row r="104" spans="1:4" x14ac:dyDescent="0.2">
      <c r="A104" s="743" t="s">
        <v>3630</v>
      </c>
      <c r="B104" s="3" t="s">
        <v>1350</v>
      </c>
      <c r="C104" s="79">
        <f t="shared" si="0"/>
        <v>0</v>
      </c>
      <c r="D104" t="s">
        <v>2345</v>
      </c>
    </row>
    <row r="105" spans="1:4" x14ac:dyDescent="0.2">
      <c r="A105" s="627"/>
      <c r="C105" s="79"/>
    </row>
    <row r="106" spans="1:4" x14ac:dyDescent="0.2">
      <c r="A106" s="627" t="s">
        <v>1125</v>
      </c>
      <c r="C106" s="79"/>
    </row>
    <row r="107" spans="1:4" x14ac:dyDescent="0.2">
      <c r="A107" s="743" t="s">
        <v>1003</v>
      </c>
      <c r="B107" s="3" t="s">
        <v>1691</v>
      </c>
      <c r="C107" s="79">
        <f>IF(build1_cool=A107,VLOOKUP(A107,build1_cool_options, 7,FALSE),0)+IF(build2_cool=A107,VLOOKUP(A107,build2_cool_options, 7,FALSE),0)</f>
        <v>0</v>
      </c>
      <c r="D107" t="s">
        <v>2345</v>
      </c>
    </row>
    <row r="108" spans="1:4" x14ac:dyDescent="0.2">
      <c r="A108" s="743" t="s">
        <v>3630</v>
      </c>
      <c r="B108" s="3" t="s">
        <v>1692</v>
      </c>
      <c r="C108" s="79">
        <f>IF(build1_cool=A108,VLOOKUP(A108,build1_cool_options, 7,FALSE),0)+IF(build2_cool=A108,VLOOKUP(A108,build2_cool_options, 7,FALSE),0)</f>
        <v>0</v>
      </c>
      <c r="D108" t="s">
        <v>2345</v>
      </c>
    </row>
  </sheetData>
  <phoneticPr fontId="0"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L141"/>
  <sheetViews>
    <sheetView zoomScaleNormal="100" workbookViewId="0">
      <pane ySplit="3" topLeftCell="A69" activePane="bottomLeft" state="frozen"/>
      <selection pane="bottomLeft"/>
    </sheetView>
  </sheetViews>
  <sheetFormatPr defaultColWidth="9.140625" defaultRowHeight="12.75" x14ac:dyDescent="0.2"/>
  <cols>
    <col min="1" max="1" width="47.42578125" style="600" customWidth="1"/>
    <col min="2" max="2" width="31.85546875" style="602" customWidth="1"/>
    <col min="3" max="3" width="19.85546875" style="600" customWidth="1"/>
    <col min="4" max="4" width="18.28515625" style="600" customWidth="1"/>
    <col min="5" max="5" width="13.28515625" style="601" customWidth="1"/>
    <col min="6" max="12" width="13.28515625" style="600" customWidth="1"/>
    <col min="13" max="16384" width="9.140625" style="600"/>
  </cols>
  <sheetData>
    <row r="1" spans="1:5" x14ac:dyDescent="0.2">
      <c r="A1" s="620" t="s">
        <v>3863</v>
      </c>
      <c r="C1" s="744"/>
      <c r="D1" s="744"/>
    </row>
    <row r="2" spans="1:5" x14ac:dyDescent="0.2">
      <c r="A2" s="620"/>
      <c r="C2" s="744"/>
      <c r="D2" s="744"/>
    </row>
    <row r="3" spans="1:5" x14ac:dyDescent="0.2">
      <c r="A3" s="193" t="s">
        <v>3853</v>
      </c>
      <c r="B3" s="193" t="s">
        <v>1640</v>
      </c>
      <c r="C3" s="194" t="s">
        <v>1641</v>
      </c>
      <c r="D3" s="193" t="s">
        <v>1642</v>
      </c>
      <c r="E3" s="193" t="s">
        <v>594</v>
      </c>
    </row>
    <row r="4" spans="1:5" x14ac:dyDescent="0.2">
      <c r="A4" s="605" t="s">
        <v>1088</v>
      </c>
      <c r="E4" s="601" t="s">
        <v>2440</v>
      </c>
    </row>
    <row r="5" spans="1:5" x14ac:dyDescent="0.2">
      <c r="A5" s="600" t="s">
        <v>2441</v>
      </c>
      <c r="B5" s="602" t="s">
        <v>2442</v>
      </c>
      <c r="C5" s="610">
        <f>IF(design_flow&lt;1,1,IF(design_flow&lt;10,2,3))</f>
        <v>1</v>
      </c>
      <c r="D5" s="600" t="s">
        <v>1687</v>
      </c>
    </row>
    <row r="6" spans="1:5" x14ac:dyDescent="0.2">
      <c r="A6" s="600" t="s">
        <v>1784</v>
      </c>
      <c r="B6" s="602" t="s">
        <v>1785</v>
      </c>
      <c r="C6">
        <f>IF(tank_geom=1,comm_height_length,comm_diam)+Top_bottom_Vessel_space</f>
        <v>13</v>
      </c>
      <c r="D6" s="600" t="s">
        <v>3506</v>
      </c>
    </row>
    <row r="7" spans="1:5" x14ac:dyDescent="0.2">
      <c r="A7" s="600" t="s">
        <v>1446</v>
      </c>
      <c r="B7" s="602" t="s">
        <v>1447</v>
      </c>
      <c r="C7" s="619">
        <f>build1_fp^0.5</f>
        <v>21.213203435596427</v>
      </c>
      <c r="D7" s="600" t="s">
        <v>3506</v>
      </c>
    </row>
    <row r="8" spans="1:5" x14ac:dyDescent="0.2">
      <c r="A8" s="600" t="s">
        <v>1448</v>
      </c>
      <c r="B8" s="602" t="s">
        <v>1449</v>
      </c>
      <c r="C8" s="619">
        <f>build2_fp^0.5</f>
        <v>0</v>
      </c>
      <c r="D8" s="600" t="s">
        <v>3506</v>
      </c>
    </row>
    <row r="9" spans="1:5" x14ac:dyDescent="0.2">
      <c r="A9" s="849" t="s">
        <v>4166</v>
      </c>
      <c r="B9" s="850" t="s">
        <v>4172</v>
      </c>
      <c r="C9" s="726">
        <f>IF(include_HVAC_I="no",0,IF(include_HVAC_I="yes",1,2))</f>
        <v>2</v>
      </c>
      <c r="D9" s="694" t="s">
        <v>4173</v>
      </c>
    </row>
    <row r="10" spans="1:5" x14ac:dyDescent="0.2">
      <c r="C10" s="610"/>
    </row>
    <row r="11" spans="1:5" x14ac:dyDescent="0.2">
      <c r="A11" s="605" t="s">
        <v>1087</v>
      </c>
    </row>
    <row r="12" spans="1:5" x14ac:dyDescent="0.2">
      <c r="A12" s="600" t="s">
        <v>1359</v>
      </c>
      <c r="B12" s="602" t="s">
        <v>1360</v>
      </c>
      <c r="C12" s="509">
        <f>IF(build2_fp=0,(Air_changes_contactor*(basin_fp+vessel_fp+back_tank_fp+htank_fp+hbasin_fp+filter_fp+filter_vessel_fp+aer_tank_fp+coag_mix_fp+thick_fp+belt_press_fp)+Air_changes_pump*(pump_fp+blower_fp)+Air_changes_chem_storage*(H3PO4_donor_fp+NH4Cl_donor_fp+e_donor_fp+H2O2_donor_fp+e_donor_day_fp+NH4Cl_donor_day_fp+H3PO4_donor_day_fp+H2O2_donor_day_fp+coag_fp+coag_day_fp+polymer_fp)+Air_changes_office*office_fp)/build1_fp,Air_changes_contactor)</f>
        <v>4.1177777777777775</v>
      </c>
      <c r="D12" s="621" t="s">
        <v>1777</v>
      </c>
    </row>
    <row r="13" spans="1:5" x14ac:dyDescent="0.2">
      <c r="A13" s="600" t="s">
        <v>1442</v>
      </c>
      <c r="B13" s="602" t="s">
        <v>1443</v>
      </c>
      <c r="C13" s="509">
        <f>IF(build2_fp=0,0,(Air_changes_contactor*(back_tank_fp+htank_fp+hbasin_fp+coag_mix_fp+thick_fp+belt_press_fp)+Air_changes_pump*(pump_fp+blower_fp)+Air_changes_chem_storage*(H3PO4_donor_fp+NH4Cl_donor_fp+e_donor_fp+H2O2_donor_fp+e_donor_day_fp+NH4Cl_donor_day_fp+H3PO4_donor_day_fp+H2O2_donor_day_fp+coag_fp+coag_day_fp+polymer_fp)+Air_changes_office*office_fp)/build2_fp)</f>
        <v>0</v>
      </c>
      <c r="D13" s="621" t="s">
        <v>1777</v>
      </c>
    </row>
    <row r="14" spans="1:5" x14ac:dyDescent="0.2">
      <c r="A14" s="600" t="s">
        <v>1444</v>
      </c>
      <c r="C14" s="619">
        <f>CHOOSE(ss_cat2,fan_days_build1_small,fan_days_build1_medium,fan_days_build1_large)*24*0.746*Fan_pressure_drop*build1_fp*Building_height*air_changes_build1/33000</f>
        <v>294.06099272727272</v>
      </c>
      <c r="D14" s="600" t="s">
        <v>2344</v>
      </c>
    </row>
    <row r="15" spans="1:5" x14ac:dyDescent="0.2">
      <c r="A15" s="600" t="s">
        <v>1445</v>
      </c>
      <c r="C15" s="619">
        <f>CHOOSE(ss_cat2,fan_days_build2_small,fan_days_build2_medium,fan_days_build2_large)*24*0.746*Fan_pressure_drop*build2_fp*Building_height*air_changes_build2/33000</f>
        <v>0</v>
      </c>
      <c r="D15" s="600" t="s">
        <v>2344</v>
      </c>
    </row>
    <row r="16" spans="1:5" x14ac:dyDescent="0.2">
      <c r="A16" s="600" t="s">
        <v>2175</v>
      </c>
      <c r="B16" s="602" t="s">
        <v>2176</v>
      </c>
      <c r="C16" s="619">
        <f>IF(include_HVAC=0,0,SUM(C14:C15)/1000)</f>
        <v>0.29406099272727271</v>
      </c>
      <c r="D16" s="600" t="s">
        <v>2345</v>
      </c>
    </row>
    <row r="17" spans="1:5" x14ac:dyDescent="0.2">
      <c r="C17" s="619"/>
    </row>
    <row r="18" spans="1:5" x14ac:dyDescent="0.2">
      <c r="A18" s="600" t="s">
        <v>1450</v>
      </c>
      <c r="B18" s="602" t="s">
        <v>1451</v>
      </c>
      <c r="C18" s="614">
        <f>build1_fp*Building_height*air_changes_build1/60</f>
        <v>401.48333333333335</v>
      </c>
      <c r="D18" s="600" t="s">
        <v>3250</v>
      </c>
    </row>
    <row r="19" spans="1:5" x14ac:dyDescent="0.2">
      <c r="A19" s="600" t="s">
        <v>1452</v>
      </c>
      <c r="B19" s="602" t="s">
        <v>1342</v>
      </c>
      <c r="C19" s="614">
        <f>build2_fp*Building_height*air_changes_build2/60</f>
        <v>0</v>
      </c>
      <c r="D19" s="600" t="s">
        <v>3250</v>
      </c>
    </row>
    <row r="20" spans="1:5" x14ac:dyDescent="0.2">
      <c r="C20" s="619"/>
    </row>
    <row r="21" spans="1:5" x14ac:dyDescent="0.2">
      <c r="A21" s="605" t="s">
        <v>1086</v>
      </c>
      <c r="C21" s="619"/>
    </row>
    <row r="22" spans="1:5" x14ac:dyDescent="0.2">
      <c r="A22" s="600" t="s">
        <v>3319</v>
      </c>
      <c r="B22" s="602" t="s">
        <v>3320</v>
      </c>
      <c r="C22" s="623">
        <f>IF(include_HVAC=0,0,IF(include_HVAC=1,1,VLOOKUP(IF(component_level_I="","low cost",component_level_I),IF(build1_fp&lt;500,heating_table_shed,heating_table),ss_cat2+2,FALSE)))</f>
        <v>0</v>
      </c>
      <c r="D22" s="744" t="s">
        <v>1552</v>
      </c>
      <c r="E22" s="601" t="s">
        <v>4174</v>
      </c>
    </row>
    <row r="23" spans="1:5" x14ac:dyDescent="0.2">
      <c r="A23" s="600" t="s">
        <v>3322</v>
      </c>
      <c r="B23" s="602" t="s">
        <v>3323</v>
      </c>
      <c r="C23" s="623">
        <f>IF(include_HVAC=0,0,IF(include_HVAC=1,1,VLOOKUP(IF(component_level_I="","low cost",component_level_I),IF(build1_fp&lt;500,cooling_table_shed,cooling_table),ss_cat2+2,FALSE)))</f>
        <v>0</v>
      </c>
      <c r="D23" s="744" t="s">
        <v>1552</v>
      </c>
    </row>
    <row r="24" spans="1:5" x14ac:dyDescent="0.2">
      <c r="A24" s="600" t="s">
        <v>3324</v>
      </c>
      <c r="B24" s="602" t="s">
        <v>1151</v>
      </c>
      <c r="C24" s="623">
        <f>IF(build2_fp=0,0,IF(include_HVAC=0,0,IF(include_HVAC=1,1,VLOOKUP(IF(component_level_I="","low cost",component_level_I),IF(build2_fp&lt;500,heating_table_shed,heating_table),ss_cat2+2,FALSE))))</f>
        <v>0</v>
      </c>
      <c r="D24" s="744" t="s">
        <v>1552</v>
      </c>
    </row>
    <row r="25" spans="1:5" x14ac:dyDescent="0.2">
      <c r="A25" s="600" t="s">
        <v>292</v>
      </c>
      <c r="B25" s="602" t="s">
        <v>293</v>
      </c>
      <c r="C25" s="623">
        <f>IF(build2_fp=0,0,IF(include_HVAC=0,0,IF(include_HVAC=1,1,VLOOKUP(IF(component_level_I="","low cost",component_level_I),IF(build2_fp&lt;500,cooling_table_shed,cooling_table),ss_cat2+2,FALSE))))</f>
        <v>0</v>
      </c>
      <c r="D25" s="744" t="s">
        <v>1552</v>
      </c>
    </row>
    <row r="27" spans="1:5" x14ac:dyDescent="0.2">
      <c r="A27" s="605" t="s">
        <v>1085</v>
      </c>
      <c r="C27" s="619"/>
    </row>
    <row r="28" spans="1:5" ht="13.5" customHeight="1" x14ac:dyDescent="0.2">
      <c r="A28" s="600" t="s">
        <v>1343</v>
      </c>
      <c r="B28" s="624"/>
      <c r="C28" s="619">
        <f>4*build1_side*Building_height*heat_DD*24/R_wall</f>
        <v>5638978.5900639845</v>
      </c>
      <c r="D28" s="600" t="s">
        <v>1050</v>
      </c>
    </row>
    <row r="29" spans="1:5" x14ac:dyDescent="0.2">
      <c r="A29" s="600" t="s">
        <v>1344</v>
      </c>
      <c r="B29" s="625"/>
      <c r="C29" s="619">
        <f>build1_fp*heat_DD*24/R_ceiling</f>
        <v>938938.77551020402</v>
      </c>
      <c r="D29" s="600" t="s">
        <v>1050</v>
      </c>
    </row>
    <row r="30" spans="1:5" x14ac:dyDescent="0.2">
      <c r="A30" s="600" t="s">
        <v>1345</v>
      </c>
      <c r="C30" s="614">
        <f>build1_cfm*heat_viload</f>
        <v>67721807.183333337</v>
      </c>
      <c r="D30" s="600" t="s">
        <v>1050</v>
      </c>
    </row>
    <row r="31" spans="1:5" x14ac:dyDescent="0.2">
      <c r="A31" s="600" t="s">
        <v>1084</v>
      </c>
      <c r="B31" s="602" t="s">
        <v>1083</v>
      </c>
      <c r="C31" s="614">
        <f>SUM(C28:C30)</f>
        <v>74299724.548907518</v>
      </c>
      <c r="D31" s="600" t="s">
        <v>1050</v>
      </c>
    </row>
    <row r="32" spans="1:5" x14ac:dyDescent="0.2">
      <c r="A32" s="600" t="s">
        <v>1082</v>
      </c>
      <c r="B32" s="602" t="s">
        <v>1081</v>
      </c>
      <c r="C32" s="614">
        <f>build1_heat_loss_yr/365.25/24/1000</f>
        <v>8.4758983058301975</v>
      </c>
      <c r="D32" s="600" t="s">
        <v>1074</v>
      </c>
      <c r="E32" s="601" t="s">
        <v>3958</v>
      </c>
    </row>
    <row r="33" spans="1:12" x14ac:dyDescent="0.2">
      <c r="A33" s="600" t="s">
        <v>1080</v>
      </c>
      <c r="B33" s="602" t="s">
        <v>1079</v>
      </c>
      <c r="C33" s="614">
        <f>ROUNDUP(build1_heat_mbh/max_heat_cl,0)</f>
        <v>1</v>
      </c>
    </row>
    <row r="34" spans="1:12" x14ac:dyDescent="0.2">
      <c r="C34" s="614"/>
    </row>
    <row r="35" spans="1:12" x14ac:dyDescent="0.2">
      <c r="A35" s="600" t="s">
        <v>1346</v>
      </c>
      <c r="B35" s="624"/>
      <c r="C35" s="619">
        <f>4*build2_side*Building_height*heat_DD*24/R_wall</f>
        <v>0</v>
      </c>
      <c r="D35" s="600" t="s">
        <v>1050</v>
      </c>
    </row>
    <row r="36" spans="1:12" x14ac:dyDescent="0.2">
      <c r="A36" s="600" t="s">
        <v>1347</v>
      </c>
      <c r="B36" s="625"/>
      <c r="C36" s="619">
        <f>build2_fp*heat_DD*24/R_ceiling</f>
        <v>0</v>
      </c>
      <c r="D36" s="600" t="s">
        <v>1050</v>
      </c>
    </row>
    <row r="37" spans="1:12" x14ac:dyDescent="0.2">
      <c r="A37" s="600" t="s">
        <v>1348</v>
      </c>
      <c r="C37" s="614">
        <f>build2_cfm*heat_viload</f>
        <v>0</v>
      </c>
      <c r="D37" s="600" t="s">
        <v>1050</v>
      </c>
    </row>
    <row r="38" spans="1:12" x14ac:dyDescent="0.2">
      <c r="A38" s="600" t="s">
        <v>1078</v>
      </c>
      <c r="B38" s="602" t="s">
        <v>1077</v>
      </c>
      <c r="C38" s="614">
        <f>SUM(C35:C37)</f>
        <v>0</v>
      </c>
      <c r="D38" s="600" t="s">
        <v>1050</v>
      </c>
    </row>
    <row r="39" spans="1:12" x14ac:dyDescent="0.2">
      <c r="A39" s="600" t="s">
        <v>1076</v>
      </c>
      <c r="B39" s="602" t="s">
        <v>1075</v>
      </c>
      <c r="C39" s="614">
        <f>build2_heat_loss_yr/365.25/24/1000</f>
        <v>0</v>
      </c>
      <c r="D39" s="600" t="s">
        <v>1074</v>
      </c>
    </row>
    <row r="40" spans="1:12" x14ac:dyDescent="0.2">
      <c r="A40" s="600" t="s">
        <v>1073</v>
      </c>
      <c r="B40" s="602" t="s">
        <v>1072</v>
      </c>
      <c r="C40" s="614">
        <f>ROUNDUP(build2_heat_mbh/max_heat_cl,0)</f>
        <v>0</v>
      </c>
    </row>
    <row r="42" spans="1:12" x14ac:dyDescent="0.2">
      <c r="A42" s="605" t="s">
        <v>1071</v>
      </c>
      <c r="C42" s="618"/>
    </row>
    <row r="43" spans="1:12" s="601" customFormat="1" x14ac:dyDescent="0.2">
      <c r="A43" s="744" t="s">
        <v>3879</v>
      </c>
      <c r="B43" s="602" t="s">
        <v>3883</v>
      </c>
      <c r="C43" s="617">
        <f>booster_pumps*pump_hp*(1-booster_pump_efficiency)*0.7457</f>
        <v>0</v>
      </c>
      <c r="D43" s="744" t="s">
        <v>238</v>
      </c>
      <c r="F43" s="600"/>
      <c r="G43" s="600"/>
      <c r="H43" s="600"/>
      <c r="I43" s="600"/>
      <c r="J43" s="600"/>
      <c r="K43" s="600"/>
      <c r="L43" s="600"/>
    </row>
    <row r="44" spans="1:12" s="601" customFormat="1" x14ac:dyDescent="0.2">
      <c r="A44" s="744" t="s">
        <v>3880</v>
      </c>
      <c r="B44" s="602" t="s">
        <v>3884</v>
      </c>
      <c r="C44" s="617">
        <f>eloss_pumps*3415</f>
        <v>0</v>
      </c>
      <c r="D44" s="600" t="s">
        <v>1893</v>
      </c>
      <c r="F44" s="600"/>
      <c r="G44" s="600"/>
      <c r="H44" s="600"/>
      <c r="I44" s="600"/>
      <c r="J44" s="600"/>
      <c r="K44" s="600"/>
      <c r="L44" s="600"/>
    </row>
    <row r="45" spans="1:12" s="601" customFormat="1" x14ac:dyDescent="0.2">
      <c r="A45" s="744" t="s">
        <v>3881</v>
      </c>
      <c r="B45" s="602" t="s">
        <v>3885</v>
      </c>
      <c r="C45" s="617">
        <f>recycle_pumps*recycle_pump_hp*(1-recycle_pump_efficiency)*0.7457</f>
        <v>0</v>
      </c>
      <c r="D45" s="744" t="s">
        <v>238</v>
      </c>
      <c r="F45" s="600"/>
      <c r="G45" s="600"/>
      <c r="H45" s="600"/>
      <c r="I45" s="600"/>
      <c r="J45" s="600"/>
      <c r="K45" s="600"/>
      <c r="L45" s="600"/>
    </row>
    <row r="46" spans="1:12" s="601" customFormat="1" x14ac:dyDescent="0.2">
      <c r="A46" s="744" t="s">
        <v>3882</v>
      </c>
      <c r="B46" s="602" t="s">
        <v>3886</v>
      </c>
      <c r="C46" s="617">
        <f>eloss_recycle_pumps*3415</f>
        <v>0</v>
      </c>
      <c r="D46" s="600" t="s">
        <v>1893</v>
      </c>
      <c r="F46" s="600"/>
      <c r="G46" s="600"/>
      <c r="H46" s="600"/>
      <c r="I46" s="600"/>
      <c r="J46" s="600"/>
      <c r="K46" s="600"/>
      <c r="L46" s="600"/>
    </row>
    <row r="47" spans="1:12" s="601" customFormat="1" x14ac:dyDescent="0.2">
      <c r="A47" s="600" t="s">
        <v>3887</v>
      </c>
      <c r="B47" s="602" t="s">
        <v>3888</v>
      </c>
      <c r="C47" s="617">
        <f>back_pump_hp*(1-booster_pump_efficiency)*0.7457</f>
        <v>0.68088727928262216</v>
      </c>
      <c r="D47" s="744" t="s">
        <v>238</v>
      </c>
      <c r="F47" s="600"/>
      <c r="G47" s="600"/>
      <c r="H47" s="600"/>
      <c r="I47" s="600"/>
      <c r="J47" s="600"/>
      <c r="K47" s="600"/>
      <c r="L47" s="600"/>
    </row>
    <row r="48" spans="1:12" s="601" customFormat="1" x14ac:dyDescent="0.2">
      <c r="A48" s="600" t="s">
        <v>3889</v>
      </c>
      <c r="B48" s="602" t="s">
        <v>3890</v>
      </c>
      <c r="C48" s="617">
        <f>eloss_bw_pumps*3415</f>
        <v>2325.2300587501545</v>
      </c>
      <c r="D48" s="600" t="s">
        <v>1893</v>
      </c>
      <c r="F48" s="600"/>
      <c r="G48" s="600"/>
      <c r="H48" s="600"/>
      <c r="I48" s="600"/>
      <c r="J48" s="600"/>
      <c r="K48" s="600"/>
      <c r="L48" s="600"/>
    </row>
    <row r="49" spans="1:12" s="601" customFormat="1" x14ac:dyDescent="0.2">
      <c r="A49" s="744" t="s">
        <v>3916</v>
      </c>
      <c r="B49" s="602" t="s">
        <v>3893</v>
      </c>
      <c r="C49" s="617">
        <f>(blower_hp+bio_blower_hp)*(1-blower_effcy)*0.7457</f>
        <v>1.732815090939299E-3</v>
      </c>
      <c r="D49" s="744" t="s">
        <v>238</v>
      </c>
      <c r="F49" s="600"/>
      <c r="G49" s="600"/>
      <c r="H49" s="600"/>
      <c r="I49" s="600"/>
      <c r="J49" s="600"/>
      <c r="K49" s="600"/>
      <c r="L49" s="600"/>
    </row>
    <row r="50" spans="1:12" s="601" customFormat="1" x14ac:dyDescent="0.2">
      <c r="A50" s="744" t="s">
        <v>3917</v>
      </c>
      <c r="B50" s="602" t="s">
        <v>3892</v>
      </c>
      <c r="C50" s="617">
        <f>eloss_blowers*3415</f>
        <v>5.9175635355577061</v>
      </c>
      <c r="D50" s="600" t="s">
        <v>1893</v>
      </c>
      <c r="F50" s="600"/>
      <c r="G50" s="600"/>
      <c r="H50" s="600"/>
      <c r="I50" s="600"/>
      <c r="J50" s="600"/>
      <c r="K50" s="600"/>
      <c r="L50" s="600"/>
    </row>
    <row r="51" spans="1:12" s="601" customFormat="1" x14ac:dyDescent="0.2">
      <c r="A51" s="744" t="s">
        <v>3918</v>
      </c>
      <c r="B51" s="602" t="s">
        <v>3920</v>
      </c>
      <c r="C51" s="617">
        <f>scour_blower_hp*(1-blower_effcy)*0.7457</f>
        <v>0.3304231610467705</v>
      </c>
      <c r="D51" s="744" t="s">
        <v>238</v>
      </c>
      <c r="F51" s="600"/>
      <c r="G51" s="600"/>
      <c r="H51" s="600"/>
      <c r="I51" s="600"/>
      <c r="J51" s="600"/>
      <c r="K51" s="600"/>
      <c r="L51" s="600"/>
    </row>
    <row r="52" spans="1:12" s="601" customFormat="1" x14ac:dyDescent="0.2">
      <c r="A52" s="744" t="s">
        <v>3919</v>
      </c>
      <c r="B52" s="602" t="s">
        <v>3921</v>
      </c>
      <c r="C52" s="617">
        <f>eloss_scour_blowers*3415</f>
        <v>1128.3950949747214</v>
      </c>
      <c r="D52" s="600" t="s">
        <v>1893</v>
      </c>
      <c r="F52" s="600"/>
      <c r="G52" s="600"/>
      <c r="H52" s="600"/>
      <c r="I52" s="600"/>
      <c r="J52" s="600"/>
      <c r="K52" s="600"/>
      <c r="L52" s="600"/>
    </row>
    <row r="53" spans="1:12" x14ac:dyDescent="0.2">
      <c r="A53" s="605"/>
      <c r="C53" s="618"/>
    </row>
    <row r="54" spans="1:12" x14ac:dyDescent="0.2">
      <c r="A54" s="600" t="s">
        <v>1550</v>
      </c>
      <c r="B54" s="624"/>
      <c r="C54" s="626">
        <f>4*build1_side*Building_height*cool_DD*24/R_wall</f>
        <v>1873041.0105494219</v>
      </c>
      <c r="D54" s="600" t="s">
        <v>1050</v>
      </c>
    </row>
    <row r="55" spans="1:12" x14ac:dyDescent="0.2">
      <c r="A55" s="600" t="s">
        <v>3252</v>
      </c>
      <c r="B55" s="625"/>
      <c r="C55" s="626">
        <f>build1_fp*cool_DD*24/R_ceiling</f>
        <v>311877.55102040817</v>
      </c>
      <c r="D55" s="600" t="s">
        <v>1050</v>
      </c>
    </row>
    <row r="56" spans="1:12" x14ac:dyDescent="0.2">
      <c r="A56" s="600" t="s">
        <v>3253</v>
      </c>
      <c r="C56" s="615">
        <f>build1_cfm*cool_viload</f>
        <v>20785193.650000002</v>
      </c>
      <c r="D56" s="600" t="s">
        <v>1050</v>
      </c>
    </row>
    <row r="57" spans="1:12" x14ac:dyDescent="0.2">
      <c r="A57" s="600" t="s">
        <v>1070</v>
      </c>
      <c r="B57" s="602" t="s">
        <v>1069</v>
      </c>
      <c r="C57" s="615">
        <f>SUM(C54:C56)</f>
        <v>22970112.211569831</v>
      </c>
      <c r="D57" s="600" t="s">
        <v>1050</v>
      </c>
    </row>
    <row r="58" spans="1:12" x14ac:dyDescent="0.2">
      <c r="A58" s="600" t="s">
        <v>1068</v>
      </c>
      <c r="B58" s="602" t="s">
        <v>1067</v>
      </c>
      <c r="C58" s="615">
        <f>build1_cooling_loss_yr/365.25/24</f>
        <v>2620.364158289965</v>
      </c>
      <c r="D58" s="600" t="s">
        <v>1893</v>
      </c>
    </row>
    <row r="59" spans="1:12" s="601" customFormat="1" x14ac:dyDescent="0.2">
      <c r="A59" s="600"/>
      <c r="B59" s="602"/>
      <c r="C59" s="615"/>
      <c r="D59" s="600"/>
      <c r="F59" s="600"/>
      <c r="G59" s="600"/>
      <c r="H59" s="600"/>
      <c r="I59" s="600"/>
      <c r="J59" s="600"/>
      <c r="K59" s="600"/>
      <c r="L59" s="600"/>
    </row>
    <row r="60" spans="1:12" s="601" customFormat="1" x14ac:dyDescent="0.2">
      <c r="A60" s="600" t="s">
        <v>1066</v>
      </c>
      <c r="B60" s="602" t="s">
        <v>1065</v>
      </c>
      <c r="C60" s="615">
        <f>build1_cooling_loss_hr+IF(fp_required&lt;add_2nd_building,waste_heat_pumps+waste_heat_recycle_pumps+waste_heat_bw_pumps+waste_heat_blowers+waste_heat_scour_blowers,0)</f>
        <v>6079.9068755503986</v>
      </c>
      <c r="D60" s="600" t="s">
        <v>1893</v>
      </c>
      <c r="F60" s="600"/>
      <c r="G60" s="600"/>
      <c r="H60" s="600"/>
      <c r="I60" s="600"/>
      <c r="J60" s="600"/>
      <c r="K60" s="600"/>
      <c r="L60" s="600"/>
    </row>
    <row r="61" spans="1:12" s="601" customFormat="1" x14ac:dyDescent="0.2">
      <c r="A61" s="600" t="s">
        <v>1064</v>
      </c>
      <c r="B61" s="602" t="s">
        <v>1063</v>
      </c>
      <c r="C61" s="615">
        <f>build1_cooling_loss_hr*365.25*24+IF(fp_required&lt;add_2nd_building,(waste_heat_pumps+waste_heat_recycle_pumps+waste_heat_blowers)*365.25*24+waste_heat_bw_pumps*back_pump_op_hours+waste_heat_scour_blowers*scour_blower_op_hours)</f>
        <v>23727090.197181668</v>
      </c>
      <c r="D61" s="600" t="s">
        <v>1050</v>
      </c>
      <c r="F61" s="600"/>
      <c r="G61" s="600"/>
      <c r="H61" s="600"/>
      <c r="I61" s="600"/>
      <c r="J61" s="600"/>
      <c r="K61" s="600"/>
      <c r="L61" s="600"/>
    </row>
    <row r="62" spans="1:12" s="601" customFormat="1" x14ac:dyDescent="0.2">
      <c r="A62" s="600" t="s">
        <v>1062</v>
      </c>
      <c r="B62" s="602" t="s">
        <v>1061</v>
      </c>
      <c r="C62" s="617">
        <f>build1_cooling_req/12000</f>
        <v>0.50665890629586652</v>
      </c>
      <c r="D62" s="600" t="s">
        <v>3587</v>
      </c>
      <c r="E62" s="601" t="s">
        <v>3959</v>
      </c>
      <c r="F62" s="600"/>
      <c r="G62" s="600"/>
      <c r="H62" s="600"/>
      <c r="I62" s="600"/>
      <c r="J62" s="600"/>
      <c r="K62" s="600"/>
      <c r="L62" s="600"/>
    </row>
    <row r="63" spans="1:12" s="601" customFormat="1" x14ac:dyDescent="0.2">
      <c r="A63" s="600" t="s">
        <v>1060</v>
      </c>
      <c r="B63" s="602" t="s">
        <v>1059</v>
      </c>
      <c r="C63" s="614">
        <f>ROUNDUP(build1_cooling_tons/max_cool_cl,0)</f>
        <v>1</v>
      </c>
      <c r="D63" s="600"/>
      <c r="F63" s="600"/>
      <c r="G63" s="600"/>
      <c r="H63" s="600"/>
      <c r="I63" s="600"/>
      <c r="J63" s="600"/>
      <c r="K63" s="600"/>
      <c r="L63" s="600"/>
    </row>
    <row r="64" spans="1:12" s="601" customFormat="1" x14ac:dyDescent="0.2">
      <c r="A64" s="600"/>
      <c r="B64" s="602"/>
      <c r="C64" s="614"/>
      <c r="D64" s="600"/>
      <c r="F64" s="600"/>
      <c r="G64" s="600"/>
      <c r="H64" s="600"/>
      <c r="I64" s="600"/>
      <c r="J64" s="600"/>
      <c r="K64" s="600"/>
      <c r="L64" s="600"/>
    </row>
    <row r="65" spans="1:12" s="601" customFormat="1" x14ac:dyDescent="0.2">
      <c r="A65" s="600" t="s">
        <v>3254</v>
      </c>
      <c r="B65" s="624"/>
      <c r="C65" s="619">
        <f>4*build2_side*Building_height*cool_DD*24/R_wall</f>
        <v>0</v>
      </c>
      <c r="D65" s="600" t="s">
        <v>1050</v>
      </c>
      <c r="F65" s="600"/>
      <c r="G65" s="600"/>
      <c r="H65" s="600"/>
      <c r="I65" s="600"/>
      <c r="J65" s="600"/>
      <c r="K65" s="600"/>
      <c r="L65" s="600"/>
    </row>
    <row r="66" spans="1:12" s="601" customFormat="1" x14ac:dyDescent="0.2">
      <c r="A66" s="600" t="s">
        <v>3255</v>
      </c>
      <c r="B66" s="625"/>
      <c r="C66" s="619">
        <f>build2_fp*cool_DD*24/R_ceiling</f>
        <v>0</v>
      </c>
      <c r="D66" s="600" t="s">
        <v>1050</v>
      </c>
      <c r="F66" s="600"/>
      <c r="G66" s="600"/>
      <c r="H66" s="600"/>
      <c r="I66" s="600"/>
      <c r="J66" s="600"/>
      <c r="K66" s="600"/>
      <c r="L66" s="600"/>
    </row>
    <row r="67" spans="1:12" s="601" customFormat="1" x14ac:dyDescent="0.2">
      <c r="A67" s="600" t="s">
        <v>1690</v>
      </c>
      <c r="B67" s="602"/>
      <c r="C67" s="614">
        <f>build2_cfm*cool_viload</f>
        <v>0</v>
      </c>
      <c r="D67" s="600" t="s">
        <v>1050</v>
      </c>
      <c r="F67" s="600"/>
      <c r="G67" s="600"/>
      <c r="H67" s="600"/>
      <c r="I67" s="600"/>
      <c r="J67" s="600"/>
      <c r="K67" s="600"/>
      <c r="L67" s="600"/>
    </row>
    <row r="68" spans="1:12" s="601" customFormat="1" x14ac:dyDescent="0.2">
      <c r="A68" s="600" t="s">
        <v>1058</v>
      </c>
      <c r="B68" s="602" t="s">
        <v>1057</v>
      </c>
      <c r="C68" s="614">
        <f>SUM(C65:C67)</f>
        <v>0</v>
      </c>
      <c r="D68" s="600" t="s">
        <v>1050</v>
      </c>
      <c r="F68" s="600"/>
      <c r="G68" s="600"/>
      <c r="H68" s="600"/>
      <c r="I68" s="600"/>
      <c r="J68" s="600"/>
      <c r="K68" s="600"/>
      <c r="L68" s="600"/>
    </row>
    <row r="69" spans="1:12" s="601" customFormat="1" x14ac:dyDescent="0.2">
      <c r="A69" s="600" t="s">
        <v>1056</v>
      </c>
      <c r="B69" s="602" t="s">
        <v>1055</v>
      </c>
      <c r="C69" s="614">
        <f>build2_cooling_loss_yr/365.25/24</f>
        <v>0</v>
      </c>
      <c r="D69" s="600" t="s">
        <v>1893</v>
      </c>
      <c r="F69" s="600"/>
      <c r="G69" s="600"/>
      <c r="H69" s="600"/>
      <c r="I69" s="600"/>
      <c r="J69" s="600"/>
      <c r="K69" s="600"/>
      <c r="L69" s="600"/>
    </row>
    <row r="70" spans="1:12" s="601" customFormat="1" x14ac:dyDescent="0.2">
      <c r="A70" s="600"/>
      <c r="B70" s="602"/>
      <c r="C70" s="614"/>
      <c r="D70" s="600"/>
      <c r="F70" s="600"/>
      <c r="G70" s="600"/>
      <c r="H70" s="600"/>
      <c r="I70" s="600"/>
      <c r="J70" s="600"/>
      <c r="K70" s="600"/>
      <c r="L70" s="600"/>
    </row>
    <row r="71" spans="1:12" x14ac:dyDescent="0.2">
      <c r="A71" s="600" t="s">
        <v>1054</v>
      </c>
      <c r="B71" s="602" t="s">
        <v>1053</v>
      </c>
      <c r="C71" s="614">
        <f>build2_cooling_loss_hr+IF(fp_required&lt;add_2nd_building,0,waste_heat_pumps+waste_heat_recycle_pumps+waste_heat_bw_pumps+waste_heat_blowers+waste_heat_scour_blowers)</f>
        <v>0</v>
      </c>
      <c r="D71" s="600" t="s">
        <v>1893</v>
      </c>
    </row>
    <row r="72" spans="1:12" x14ac:dyDescent="0.2">
      <c r="A72" s="600" t="s">
        <v>1052</v>
      </c>
      <c r="B72" s="602" t="s">
        <v>1051</v>
      </c>
      <c r="C72" s="614">
        <f>build2_cooling_loss_hr*365.25*24+IF(fp_required&lt;add_2nd_building,0,(waste_heat_pumps+waste_heat_recycle_pumps+waste_heat_blowers)*365.25*24+waste_heat_bw_pumps*back_pump_op_hours+waste_heat_scour_blowers*scour_blower_op_hours)</f>
        <v>0</v>
      </c>
      <c r="D72" s="600" t="s">
        <v>1050</v>
      </c>
    </row>
    <row r="73" spans="1:12" x14ac:dyDescent="0.2">
      <c r="A73" s="600" t="s">
        <v>1049</v>
      </c>
      <c r="B73" s="602" t="s">
        <v>1048</v>
      </c>
      <c r="C73" s="617">
        <f>build2_cooling_req/12000</f>
        <v>0</v>
      </c>
      <c r="D73" s="600" t="s">
        <v>3587</v>
      </c>
      <c r="E73" s="601" t="s">
        <v>3959</v>
      </c>
    </row>
    <row r="74" spans="1:12" x14ac:dyDescent="0.2">
      <c r="A74" s="600" t="s">
        <v>1047</v>
      </c>
      <c r="B74" s="602" t="s">
        <v>1046</v>
      </c>
      <c r="C74" s="614">
        <f>ROUNDUP(build2_cooling_tons/max_cool_cl,0)</f>
        <v>0</v>
      </c>
    </row>
    <row r="76" spans="1:12" x14ac:dyDescent="0.2">
      <c r="A76" s="605" t="s">
        <v>1045</v>
      </c>
      <c r="F76" s="601"/>
    </row>
    <row r="77" spans="1:12" x14ac:dyDescent="0.2">
      <c r="C77" s="616"/>
    </row>
    <row r="78" spans="1:12" x14ac:dyDescent="0.2">
      <c r="A78" s="600" t="s">
        <v>1044</v>
      </c>
      <c r="B78" s="602" t="s">
        <v>1043</v>
      </c>
      <c r="C78" s="616">
        <f>MAX(build1_heat_zones, build1_cool_zones)</f>
        <v>1</v>
      </c>
    </row>
    <row r="79" spans="1:12" x14ac:dyDescent="0.2">
      <c r="A79" s="600" t="s">
        <v>1042</v>
      </c>
      <c r="B79" s="602" t="s">
        <v>1041</v>
      </c>
      <c r="C79" s="616">
        <f>MAX(build2_heat_zones, build2_cool_zones)</f>
        <v>0</v>
      </c>
    </row>
    <row r="80" spans="1:12" x14ac:dyDescent="0.2">
      <c r="C80" s="616"/>
    </row>
    <row r="81" spans="1:12" x14ac:dyDescent="0.2">
      <c r="A81" s="600" t="s">
        <v>1040</v>
      </c>
      <c r="B81" s="602" t="s">
        <v>1039</v>
      </c>
      <c r="C81" s="615" t="b">
        <f>AND(build1_heat_mbh&lt;=hp_max_heat_cl,build1_cooling_tons&lt;=hp_max_cool_cl)</f>
        <v>1</v>
      </c>
      <c r="E81" s="601" t="s">
        <v>1038</v>
      </c>
    </row>
    <row r="82" spans="1:12" x14ac:dyDescent="0.2">
      <c r="A82" s="600" t="s">
        <v>1037</v>
      </c>
      <c r="B82" s="602" t="s">
        <v>1036</v>
      </c>
      <c r="C82" s="615" t="b">
        <f>AND(build2_heat_mbh&lt;=hp_max_heat_cl,build2_cooling_tons&lt;=hp_max_cool_cl)</f>
        <v>1</v>
      </c>
    </row>
    <row r="83" spans="1:12" x14ac:dyDescent="0.2">
      <c r="C83" s="615"/>
    </row>
    <row r="84" spans="1:12" x14ac:dyDescent="0.2">
      <c r="A84" s="602" t="s">
        <v>3652</v>
      </c>
      <c r="B84" s="602" t="s">
        <v>1035</v>
      </c>
      <c r="F84" s="601"/>
    </row>
    <row r="85" spans="1:12" x14ac:dyDescent="0.2">
      <c r="A85" s="605" t="s">
        <v>1026</v>
      </c>
      <c r="B85" s="605" t="s">
        <v>1033</v>
      </c>
      <c r="C85" s="605" t="s">
        <v>1032</v>
      </c>
      <c r="D85" s="605" t="s">
        <v>1023</v>
      </c>
      <c r="E85" s="605" t="s">
        <v>1022</v>
      </c>
      <c r="F85" s="605" t="s">
        <v>1021</v>
      </c>
      <c r="G85" s="605" t="s">
        <v>1020</v>
      </c>
      <c r="H85" s="605"/>
      <c r="I85" s="605" t="s">
        <v>1019</v>
      </c>
      <c r="J85" s="605"/>
      <c r="K85" s="605" t="s">
        <v>1018</v>
      </c>
      <c r="L85" s="605" t="s">
        <v>1017</v>
      </c>
    </row>
    <row r="86" spans="1:12" x14ac:dyDescent="0.2">
      <c r="A86" s="600" t="s">
        <v>3629</v>
      </c>
      <c r="B86" s="610">
        <f>build1_heat_mbh/build1_zones</f>
        <v>8.4758983058301975</v>
      </c>
      <c r="C86" s="610">
        <f>IF(curve=1,B86,VLOOKUP(B86,hvac_elec_cost_cl,2))</f>
        <v>8.4758983058301975</v>
      </c>
      <c r="D86" s="609">
        <f>IF(curve=1,hvac_elec_eq_1,VLOOKUP(B86,hvac_elec_cost_cl,3))</f>
        <v>5925.8798363935894</v>
      </c>
      <c r="E86" s="610">
        <f>VLOOKUP(B86,hvac_elec_cost_cl,IF(ss_cat="large",4,5))</f>
        <v>20</v>
      </c>
      <c r="F86" s="609">
        <f>IF(D86="contact vendor","n/a",-PMT(Discount_rate,E86,D86)*build1_zones)</f>
        <v>559.36113536015625</v>
      </c>
      <c r="G86" s="608">
        <f>build1_heat_loss_yr/3412000/resist_eff</f>
        <v>22.22041191619839</v>
      </c>
      <c r="H86" s="600" t="s">
        <v>2345</v>
      </c>
      <c r="I86" s="607">
        <f>energy_cost_cl</f>
        <v>0.11001750924784216</v>
      </c>
      <c r="J86" s="606" t="s">
        <v>3359</v>
      </c>
      <c r="K86" s="603">
        <f>I86*G86*1000</f>
        <v>2444.6343734812185</v>
      </c>
      <c r="L86" s="604">
        <f t="shared" ref="L86:L91" si="0">IF(OR(F86="n/a",K86="n/a"),"n/a",F86+K86)</f>
        <v>3003.9955088413749</v>
      </c>
    </row>
    <row r="87" spans="1:12" x14ac:dyDescent="0.2">
      <c r="A87" s="600" t="s">
        <v>3630</v>
      </c>
      <c r="B87" s="1036" t="s">
        <v>1031</v>
      </c>
      <c r="C87" s="1036"/>
      <c r="D87" s="1036"/>
      <c r="E87" s="1036"/>
      <c r="F87" s="610" t="s">
        <v>1030</v>
      </c>
      <c r="G87" s="608">
        <f>IF(hp_ok_1,build1_heat_loss_yr/3412000/COP,"n/a")</f>
        <v>6.5987889932952797</v>
      </c>
      <c r="H87" s="600" t="s">
        <v>2345</v>
      </c>
      <c r="I87" s="607">
        <f>energy_cost_cl</f>
        <v>0.11001750924784216</v>
      </c>
      <c r="J87" s="606" t="s">
        <v>3359</v>
      </c>
      <c r="K87" s="603">
        <f>IF(G87="n/a","n/a",I87*G87*1000)</f>
        <v>725.98232909442254</v>
      </c>
      <c r="L87" s="604" t="str">
        <f t="shared" si="0"/>
        <v>n/a</v>
      </c>
    </row>
    <row r="88" spans="1:12" x14ac:dyDescent="0.2">
      <c r="A88" s="600" t="s">
        <v>3631</v>
      </c>
      <c r="B88" s="610">
        <f>build1_heat_mbh/build1_zones</f>
        <v>8.4758983058301975</v>
      </c>
      <c r="C88" s="610">
        <f>IF(curve=1,B88,VLOOKUP(B88,hvac_gas_non_cost_cl,2))</f>
        <v>8.4758983058301975</v>
      </c>
      <c r="D88" s="609">
        <f>IF(curve=1,hvac_gas_non_eq_1,VLOOKUP(B88,hvac_gas_non_cost_cl,3))</f>
        <v>4401.8254200690899</v>
      </c>
      <c r="E88" s="610">
        <f>VLOOKUP(B88,hvac_gas_non_cost_cl,IF(ss_cat="large",4,5))</f>
        <v>20</v>
      </c>
      <c r="F88" s="609">
        <f>IF(D88="contact vendor","n/a",-PMT(Discount_rate,E88,D88)*build1_zones)</f>
        <v>415.50118001135689</v>
      </c>
      <c r="G88" s="614">
        <f>build1_heat_loss_yr/100000/gas_non_eff</f>
        <v>874.11440645773553</v>
      </c>
      <c r="H88" s="600" t="s">
        <v>3632</v>
      </c>
      <c r="I88" s="613">
        <f>gas_cost_cl</f>
        <v>0.57856140350877194</v>
      </c>
      <c r="J88" s="612" t="s">
        <v>3633</v>
      </c>
      <c r="K88" s="603">
        <f>I88*G88</f>
        <v>505.72885782742463</v>
      </c>
      <c r="L88" s="604">
        <f t="shared" si="0"/>
        <v>921.23003783878153</v>
      </c>
    </row>
    <row r="89" spans="1:12" x14ac:dyDescent="0.2">
      <c r="A89" s="600" t="s">
        <v>3634</v>
      </c>
      <c r="B89" s="610">
        <f>build1_heat_mbh/build1_zones</f>
        <v>8.4758983058301975</v>
      </c>
      <c r="C89" s="610">
        <f>IF(curve=1,B89,VLOOKUP(B89,hvac_gas_cost_cl,2))</f>
        <v>8.4758983058301975</v>
      </c>
      <c r="D89" s="609">
        <f>IF(curve=1,hvac_gas_eq_1,VLOOKUP(B89,hvac_gas_cost_cl,3))</f>
        <v>4401.8254200690899</v>
      </c>
      <c r="E89" s="610">
        <f>VLOOKUP(B89,hvac_gas_cost_cl,IF(ss_cat="large",4,5))</f>
        <v>20</v>
      </c>
      <c r="F89" s="609">
        <f>IF(D89="contact vendor","n/a",-PMT(Discount_rate,E89,D89)*build1_zones)</f>
        <v>415.50118001135689</v>
      </c>
      <c r="G89" s="614">
        <f>build1_heat_loss_yr/100000/gas_eff</f>
        <v>825.55249498786134</v>
      </c>
      <c r="H89" s="600" t="s">
        <v>3632</v>
      </c>
      <c r="I89" s="613">
        <f>gas_cost_cl</f>
        <v>0.57856140350877194</v>
      </c>
      <c r="J89" s="612" t="s">
        <v>3633</v>
      </c>
      <c r="K89" s="603">
        <f>I89*G89</f>
        <v>477.63281017034546</v>
      </c>
      <c r="L89" s="604">
        <f t="shared" si="0"/>
        <v>893.1339901817023</v>
      </c>
    </row>
    <row r="90" spans="1:12" x14ac:dyDescent="0.2">
      <c r="A90" s="600" t="s">
        <v>3521</v>
      </c>
      <c r="B90" s="610">
        <f>build1_heat_mbh/build1_zones</f>
        <v>8.4758983058301975</v>
      </c>
      <c r="C90" s="610">
        <f>IF(curve=1,B90,VLOOKUP(B90,hvac_oil_std_cost_cl,2))</f>
        <v>8.4758983058301975</v>
      </c>
      <c r="D90" s="609">
        <f>IF(curve=1,hvac_oil_std_eq_1,VLOOKUP(B90,hvac_oil_std_cost_cl,3))</f>
        <v>5380.6881330483639</v>
      </c>
      <c r="E90" s="610">
        <f>VLOOKUP(B90,hvac_oil_std_cost_cl,IF(ss_cat="large",4,5))</f>
        <v>20</v>
      </c>
      <c r="F90" s="609">
        <f>IF(D90="contact vendor","n/a",-PMT(Discount_rate,E90,D90)*build1_zones)</f>
        <v>507.89889539045129</v>
      </c>
      <c r="G90" s="614">
        <f>build1_heat_loss_yr/diesel_heat_content/diesel_non_eff</f>
        <v>651.86633224168736</v>
      </c>
      <c r="H90" s="600" t="s">
        <v>3635</v>
      </c>
      <c r="I90" s="613">
        <f>diesel_cost_cl</f>
        <v>3.8295007720020586</v>
      </c>
      <c r="J90" s="612" t="s">
        <v>3636</v>
      </c>
      <c r="K90" s="603">
        <f>I90*G90</f>
        <v>2496.3226225616922</v>
      </c>
      <c r="L90" s="604">
        <f t="shared" si="0"/>
        <v>3004.2215179521436</v>
      </c>
    </row>
    <row r="91" spans="1:12" x14ac:dyDescent="0.2">
      <c r="A91" s="600" t="s">
        <v>3522</v>
      </c>
      <c r="B91" s="610">
        <f>build1_heat_mbh/build1_zones</f>
        <v>8.4758983058301975</v>
      </c>
      <c r="C91" s="610">
        <f>IF(curve=1,B91,VLOOKUP(B91,hvac_oil_mid_cost_cl,2))</f>
        <v>8.4758983058301975</v>
      </c>
      <c r="D91" s="609">
        <f>IF(curve=1,hvac_oil_mid_eq_1,VLOOKUP(B91,hvac_oil_mid_cost_cl,3))</f>
        <v>5380.6881330483639</v>
      </c>
      <c r="E91" s="610">
        <f>VLOOKUP(B91,hvac_oil_mid_cost_cl,IF(ss_cat="large",4,5))</f>
        <v>20</v>
      </c>
      <c r="F91" s="609">
        <f>IF(D91="contact vendor","n/a",-PMT(Discount_rate,E91,D91)*build1_zones)</f>
        <v>507.89889539045129</v>
      </c>
      <c r="G91" s="614">
        <f>build1_heat_loss_yr/diesel_heat_content/diesel_eff</f>
        <v>593.92265826464848</v>
      </c>
      <c r="H91" s="600" t="s">
        <v>3635</v>
      </c>
      <c r="I91" s="613">
        <f>diesel_cost_cl</f>
        <v>3.8295007720020586</v>
      </c>
      <c r="J91" s="612" t="s">
        <v>3636</v>
      </c>
      <c r="K91" s="603">
        <f>I91*G91</f>
        <v>2274.4272783339861</v>
      </c>
      <c r="L91" s="604">
        <f t="shared" si="0"/>
        <v>2782.3261737244375</v>
      </c>
    </row>
    <row r="92" spans="1:12" x14ac:dyDescent="0.2">
      <c r="F92" s="601"/>
    </row>
    <row r="93" spans="1:12" x14ac:dyDescent="0.2">
      <c r="A93" s="602" t="s">
        <v>3318</v>
      </c>
      <c r="B93" s="602" t="s">
        <v>1034</v>
      </c>
      <c r="F93" s="601"/>
    </row>
    <row r="94" spans="1:12" x14ac:dyDescent="0.2">
      <c r="A94" s="605" t="s">
        <v>1026</v>
      </c>
      <c r="B94" s="605" t="s">
        <v>1033</v>
      </c>
      <c r="C94" s="605" t="s">
        <v>1032</v>
      </c>
      <c r="D94" s="605" t="s">
        <v>1023</v>
      </c>
      <c r="E94" s="605" t="s">
        <v>1022</v>
      </c>
      <c r="F94" s="605" t="s">
        <v>1021</v>
      </c>
      <c r="G94" s="605" t="s">
        <v>1020</v>
      </c>
      <c r="H94" s="605"/>
      <c r="I94" s="605" t="s">
        <v>1019</v>
      </c>
      <c r="J94" s="605"/>
      <c r="K94" s="605" t="s">
        <v>1018</v>
      </c>
      <c r="L94" s="605" t="s">
        <v>1017</v>
      </c>
    </row>
    <row r="95" spans="1:12" x14ac:dyDescent="0.2">
      <c r="A95" s="600" t="s">
        <v>3629</v>
      </c>
      <c r="B95" s="610" t="e">
        <f>build2_heat_mbh/build2_zones</f>
        <v>#DIV/0!</v>
      </c>
      <c r="C95" s="610" t="e">
        <f>IF(curve=1,B95,VLOOKUP(B95,hvac_elec_cost_cl,2))</f>
        <v>#DIV/0!</v>
      </c>
      <c r="D95" s="609" t="str">
        <f>IF(curve=1,hvac_elec_eq_2,VLOOKUP(B95,hvac_elec_cost_cl,3))</f>
        <v>contact vendor</v>
      </c>
      <c r="E95" s="610" t="e">
        <f>VLOOKUP(B95,hvac_elec_cost_cl,IF(ss_cat="large",4,5))</f>
        <v>#DIV/0!</v>
      </c>
      <c r="F95" s="609" t="str">
        <f>IF(D95="contact vendor","n/a",-PMT(Discount_rate,E95,D95)*build2_zones)</f>
        <v>n/a</v>
      </c>
      <c r="G95" s="608">
        <f>build2_heat_loss_yr/3412000/resist_eff</f>
        <v>0</v>
      </c>
      <c r="H95" s="600" t="s">
        <v>2345</v>
      </c>
      <c r="I95" s="607">
        <f>energy_cost_cl</f>
        <v>0.11001750924784216</v>
      </c>
      <c r="J95" s="606" t="s">
        <v>3359</v>
      </c>
      <c r="K95" s="603">
        <f>I95*G95*1000</f>
        <v>0</v>
      </c>
      <c r="L95" s="604" t="str">
        <f>IF(F95="n/a","n/a",F95+K95)</f>
        <v>n/a</v>
      </c>
    </row>
    <row r="96" spans="1:12" x14ac:dyDescent="0.2">
      <c r="A96" s="600" t="s">
        <v>3630</v>
      </c>
      <c r="B96" s="1036" t="s">
        <v>1031</v>
      </c>
      <c r="C96" s="1036"/>
      <c r="D96" s="1036"/>
      <c r="E96" s="1036"/>
      <c r="F96" s="610" t="s">
        <v>1030</v>
      </c>
      <c r="G96" s="608">
        <f>IF(hp_ok_2,build2_heat_loss_yr/3412000/COP,"n/a")</f>
        <v>0</v>
      </c>
      <c r="H96" s="600" t="s">
        <v>2345</v>
      </c>
      <c r="I96" s="607">
        <f>energy_cost_cl</f>
        <v>0.11001750924784216</v>
      </c>
      <c r="J96" s="606" t="s">
        <v>3359</v>
      </c>
      <c r="K96" s="603">
        <f>IF(G96="n/a","n/a",I96*G96*1000)</f>
        <v>0</v>
      </c>
      <c r="L96" s="604" t="str">
        <f>IF(OR(F96="n/a",K96="n/a"),"n/a",F96+K96)</f>
        <v>n/a</v>
      </c>
    </row>
    <row r="97" spans="1:12" x14ac:dyDescent="0.2">
      <c r="A97" s="600" t="s">
        <v>3631</v>
      </c>
      <c r="B97" s="610" t="e">
        <f>build2_heat_mbh/build2_zones</f>
        <v>#DIV/0!</v>
      </c>
      <c r="C97" s="610" t="e">
        <f>IF(curve=1,B97,VLOOKUP(B97,hvac_gas_non_cost_cl,2))</f>
        <v>#DIV/0!</v>
      </c>
      <c r="D97" s="609" t="str">
        <f>IF(curve=1,hvac_gas_non_eq_2,VLOOKUP(B97,hvac_gas_non_cost_cl,3))</f>
        <v>contact vendor</v>
      </c>
      <c r="E97" s="610" t="e">
        <f>VLOOKUP(B97,hvac_gas_non_cost_cl,IF(ss_cat="large",4,5))</f>
        <v>#DIV/0!</v>
      </c>
      <c r="F97" s="609" t="str">
        <f>IF(D97="contact vendor","n/a",-PMT(Discount_rate,E97,D97)*build2_zones)</f>
        <v>n/a</v>
      </c>
      <c r="G97" s="614">
        <f>build2_heat_loss_yr/100000/gas_non_eff</f>
        <v>0</v>
      </c>
      <c r="H97" s="600" t="s">
        <v>3632</v>
      </c>
      <c r="I97" s="613">
        <f>gas_cost_cl</f>
        <v>0.57856140350877194</v>
      </c>
      <c r="J97" s="612" t="s">
        <v>3633</v>
      </c>
      <c r="K97" s="603">
        <f>I97*G97</f>
        <v>0</v>
      </c>
      <c r="L97" s="604" t="str">
        <f>IF(F97="n/a","n/a",F97+K97)</f>
        <v>n/a</v>
      </c>
    </row>
    <row r="98" spans="1:12" x14ac:dyDescent="0.2">
      <c r="A98" s="600" t="s">
        <v>3634</v>
      </c>
      <c r="B98" s="610" t="e">
        <f>build2_heat_mbh/build2_zones</f>
        <v>#DIV/0!</v>
      </c>
      <c r="C98" s="610" t="e">
        <f>IF(curve=1,B98,VLOOKUP(B98,hvac_gas_cost_cl,2))</f>
        <v>#DIV/0!</v>
      </c>
      <c r="D98" s="609" t="str">
        <f>IF(curve=1,hvac_gas_eq_2,VLOOKUP(B98,hvac_gas_cost_cl,3))</f>
        <v>contact vendor</v>
      </c>
      <c r="E98" s="610" t="e">
        <f>VLOOKUP(B98,hvac_gas_cost_cl,IF(ss_cat="large",4,5))</f>
        <v>#DIV/0!</v>
      </c>
      <c r="F98" s="609" t="str">
        <f>IF(D98="contact vendor","n/a",-PMT(Discount_rate,E98,D98)*build2_zones)</f>
        <v>n/a</v>
      </c>
      <c r="G98" s="614">
        <f>build2_heat_loss_yr/100000/gas_eff</f>
        <v>0</v>
      </c>
      <c r="H98" s="600" t="s">
        <v>3632</v>
      </c>
      <c r="I98" s="613">
        <f>gas_cost_cl</f>
        <v>0.57856140350877194</v>
      </c>
      <c r="J98" s="612" t="s">
        <v>3633</v>
      </c>
      <c r="K98" s="603">
        <f>I98*G98</f>
        <v>0</v>
      </c>
      <c r="L98" s="604" t="str">
        <f>IF(F98="n/a","n/a",F98+K98)</f>
        <v>n/a</v>
      </c>
    </row>
    <row r="99" spans="1:12" x14ac:dyDescent="0.2">
      <c r="A99" s="600" t="s">
        <v>3521</v>
      </c>
      <c r="B99" s="610" t="e">
        <f>build2_heat_mbh/build2_zones</f>
        <v>#DIV/0!</v>
      </c>
      <c r="C99" s="610" t="e">
        <f>IF(curve=1,B99,VLOOKUP(B99,hvac_oil_std_cost_cl,2))</f>
        <v>#DIV/0!</v>
      </c>
      <c r="D99" s="609" t="str">
        <f>IF(curve=1,hvac_oil_std_eq_2,VLOOKUP(B99,hvac_oil_std_cost_cl,3))</f>
        <v>contact vendor</v>
      </c>
      <c r="E99" s="610" t="e">
        <f>VLOOKUP(B99,hvac_oil_std_cost_cl,IF(ss_cat="large",4,5))</f>
        <v>#DIV/0!</v>
      </c>
      <c r="F99" s="609" t="str">
        <f>IF(D99="contact vendor","n/a",-PMT(Discount_rate,E99,D99)*build2_zones)</f>
        <v>n/a</v>
      </c>
      <c r="G99" s="614">
        <f>build2_heat_loss_yr/diesel_heat_content/diesel_non_eff</f>
        <v>0</v>
      </c>
      <c r="H99" s="600" t="s">
        <v>3635</v>
      </c>
      <c r="I99" s="613">
        <f>diesel_cost_cl</f>
        <v>3.8295007720020586</v>
      </c>
      <c r="J99" s="612" t="s">
        <v>3636</v>
      </c>
      <c r="K99" s="603">
        <f>I99*G99</f>
        <v>0</v>
      </c>
      <c r="L99" s="604" t="str">
        <f>IF(F99="n/a","n/a",F99+K99)</f>
        <v>n/a</v>
      </c>
    </row>
    <row r="100" spans="1:12" x14ac:dyDescent="0.2">
      <c r="A100" s="600" t="s">
        <v>3522</v>
      </c>
      <c r="B100" s="610" t="e">
        <f>build2_heat_mbh/build2_zones</f>
        <v>#DIV/0!</v>
      </c>
      <c r="C100" s="610" t="e">
        <f>IF(curve=1,B100,VLOOKUP(B100,hvac_oil_mid_cost_cl,2))</f>
        <v>#DIV/0!</v>
      </c>
      <c r="D100" s="609" t="str">
        <f>IF(curve=1,hvac_oil_mid_eq_2,VLOOKUP(B100,hvac_oil_mid_cost_cl,3))</f>
        <v>contact vendor</v>
      </c>
      <c r="E100" s="610" t="e">
        <f>VLOOKUP(B100,hvac_oil_mid_cost_cl,IF(ss_cat="large",4,5))</f>
        <v>#DIV/0!</v>
      </c>
      <c r="F100" s="609" t="str">
        <f>IF(D100="contact vendor","n/a",-PMT(Discount_rate,E100,D100)*build2_zones)</f>
        <v>n/a</v>
      </c>
      <c r="G100" s="614">
        <f>build2_heat_loss_yr/diesel_heat_content/diesel_eff</f>
        <v>0</v>
      </c>
      <c r="H100" s="600" t="s">
        <v>3635</v>
      </c>
      <c r="I100" s="613">
        <f>diesel_cost_cl</f>
        <v>3.8295007720020586</v>
      </c>
      <c r="J100" s="612" t="s">
        <v>3636</v>
      </c>
      <c r="K100" s="603">
        <f>I100*G100</f>
        <v>0</v>
      </c>
      <c r="L100" s="604" t="str">
        <f>IF(F100="n/a","n/a",F100+K100)</f>
        <v>n/a</v>
      </c>
    </row>
    <row r="102" spans="1:12" x14ac:dyDescent="0.2">
      <c r="A102" s="605" t="s">
        <v>1029</v>
      </c>
      <c r="F102" s="601"/>
    </row>
    <row r="103" spans="1:12" x14ac:dyDescent="0.2">
      <c r="A103" s="602" t="s">
        <v>3652</v>
      </c>
      <c r="B103" s="602" t="s">
        <v>1028</v>
      </c>
      <c r="F103" s="601"/>
    </row>
    <row r="104" spans="1:12" x14ac:dyDescent="0.2">
      <c r="A104" s="605" t="s">
        <v>1026</v>
      </c>
      <c r="B104" s="605" t="s">
        <v>1025</v>
      </c>
      <c r="C104" s="605" t="s">
        <v>1024</v>
      </c>
      <c r="D104" s="605" t="s">
        <v>1023</v>
      </c>
      <c r="E104" s="605" t="s">
        <v>1022</v>
      </c>
      <c r="F104" s="605" t="s">
        <v>1021</v>
      </c>
      <c r="G104" s="605" t="s">
        <v>1020</v>
      </c>
      <c r="H104" s="605"/>
      <c r="I104" s="605" t="s">
        <v>1019</v>
      </c>
      <c r="J104" s="605"/>
      <c r="K104" s="605" t="s">
        <v>1018</v>
      </c>
      <c r="L104" s="605" t="s">
        <v>1017</v>
      </c>
    </row>
    <row r="105" spans="1:12" x14ac:dyDescent="0.2">
      <c r="A105" s="600" t="s">
        <v>1003</v>
      </c>
      <c r="B105" s="611">
        <f>build1_cooling_tons/build1_zones</f>
        <v>0.50665890629586652</v>
      </c>
      <c r="C105" s="611">
        <f>IF(curve=1,B105,VLOOKUP(B105,hvac_ac_cost_cl,2))</f>
        <v>0.50665890629586652</v>
      </c>
      <c r="D105" s="609">
        <f>IF(curve=1,hvac_ac_eq_1,VLOOKUP(B105,hvac_ac_cost_cl,3))</f>
        <v>1164.4012906020453</v>
      </c>
      <c r="E105" s="610">
        <f>VLOOKUP(B105,hvac_ac_cost_cl,IF(ss_cat="large",4,5))</f>
        <v>20</v>
      </c>
      <c r="F105" s="609">
        <f>IF(D105="contact vendor","n/a",-PMT(Discount_rate,E105,D105)*build1_zones)</f>
        <v>109.91124455914996</v>
      </c>
      <c r="G105" s="608">
        <f>build1_cooling_yr/EER/10^6</f>
        <v>2.0107703556933614</v>
      </c>
      <c r="H105" s="600" t="s">
        <v>2345</v>
      </c>
      <c r="I105" s="607">
        <f>energy_cost_cl</f>
        <v>0.11001750924784216</v>
      </c>
      <c r="J105" s="606" t="s">
        <v>3359</v>
      </c>
      <c r="K105" s="603">
        <f>I105*G105*1000</f>
        <v>221.21994620278127</v>
      </c>
      <c r="L105" s="604">
        <f>IF(F105="n/a","n/a",F105+K105)</f>
        <v>331.13119076193124</v>
      </c>
    </row>
    <row r="106" spans="1:12" x14ac:dyDescent="0.2">
      <c r="A106" s="600" t="s">
        <v>3630</v>
      </c>
      <c r="B106" s="611">
        <f>build1_cooling_tons/build1_zones</f>
        <v>0.50665890629586652</v>
      </c>
      <c r="C106" s="611">
        <f>IF(hp_ok_1,IF(curve=1,B106,VLOOKUP(B106,hvac_hp_cost_cl,2)),"n/a")</f>
        <v>0.50665890629586652</v>
      </c>
      <c r="D106" s="609">
        <f>_xlfn.SINGLE(IF(C106="n/a","n/a",IF(curve=1,IF(build1_cooling_tons/build1_zones &gt; 12,hvac_hp_eq_1_l, hvac_hp_eq_1_s),VLOOKUP(B106,hvac_hp_cost_cl,3))))</f>
        <v>2499.1240724034501</v>
      </c>
      <c r="E106" s="610">
        <f>IF(C106="n/a","n/a",VLOOKUP(B106,hvac_hp_cost_cl,IF(ss_cat="large",4,5)))</f>
        <v>20</v>
      </c>
      <c r="F106" s="609">
        <f>IF(OR(D106="contact vendor",D106="n/a"),"n/a",-PMT(Discount_rate,E106,D106)*build1_zones)</f>
        <v>235.89963298956161</v>
      </c>
      <c r="G106" s="608">
        <f>IF(C106="n/a","n/a",build1_cooling_yr/hp_EER/10^6)</f>
        <v>2.0107703556933614</v>
      </c>
      <c r="H106" s="600" t="s">
        <v>2345</v>
      </c>
      <c r="I106" s="607">
        <f>energy_cost_cl</f>
        <v>0.11001750924784216</v>
      </c>
      <c r="J106" s="606" t="s">
        <v>3359</v>
      </c>
      <c r="K106" s="603">
        <f>IF(C106="n/a","n/a",I106*G106*1000)</f>
        <v>221.21994620278127</v>
      </c>
      <c r="L106" s="604">
        <f>IF(F106="n/a","n/a",F106+K106)</f>
        <v>457.11957919234288</v>
      </c>
    </row>
    <row r="108" spans="1:12" x14ac:dyDescent="0.2">
      <c r="A108" s="602" t="s">
        <v>3318</v>
      </c>
      <c r="B108" s="602" t="s">
        <v>1027</v>
      </c>
    </row>
    <row r="109" spans="1:12" x14ac:dyDescent="0.2">
      <c r="A109" s="605" t="s">
        <v>1026</v>
      </c>
      <c r="B109" s="605" t="s">
        <v>1025</v>
      </c>
      <c r="C109" s="605" t="s">
        <v>1024</v>
      </c>
      <c r="D109" s="605" t="s">
        <v>1023</v>
      </c>
      <c r="E109" s="605" t="s">
        <v>1022</v>
      </c>
      <c r="F109" s="605" t="s">
        <v>1021</v>
      </c>
      <c r="G109" s="605" t="s">
        <v>1020</v>
      </c>
      <c r="H109" s="605"/>
      <c r="I109" s="605" t="s">
        <v>1019</v>
      </c>
      <c r="J109" s="605"/>
      <c r="K109" s="605" t="s">
        <v>1018</v>
      </c>
      <c r="L109" s="605" t="s">
        <v>1017</v>
      </c>
    </row>
    <row r="110" spans="1:12" x14ac:dyDescent="0.2">
      <c r="A110" s="600" t="s">
        <v>1003</v>
      </c>
      <c r="B110" s="611" t="e">
        <f>build2_cooling_tons/build2_zones</f>
        <v>#DIV/0!</v>
      </c>
      <c r="C110" s="611" t="e">
        <f>IF(curve=1,B110,VLOOKUP(B110,hvac_ac_cost_cl,2))</f>
        <v>#DIV/0!</v>
      </c>
      <c r="D110" s="609" t="str">
        <f>IF(curve=1,hvac_ac_eq_2,VLOOKUP(B110,hvac_ac_cost_cl,3))</f>
        <v>contact vendor</v>
      </c>
      <c r="E110" s="610" t="e">
        <f>VLOOKUP(B110,hvac_ac_cost_cl,IF(ss_cat="large",4,5))</f>
        <v>#DIV/0!</v>
      </c>
      <c r="F110" s="609" t="str">
        <f>IF(D110="contact vendor","n/a",-PMT(Discount_rate,E110,D110)*build2_zones)</f>
        <v>n/a</v>
      </c>
      <c r="G110" s="608">
        <f>build2_cooling_yr/EER/10^6</f>
        <v>0</v>
      </c>
      <c r="H110" s="600" t="s">
        <v>2345</v>
      </c>
      <c r="I110" s="607">
        <f>energy_cost_cl</f>
        <v>0.11001750924784216</v>
      </c>
      <c r="J110" s="606" t="s">
        <v>3359</v>
      </c>
      <c r="K110" s="603">
        <f>I110*G110*1000</f>
        <v>0</v>
      </c>
      <c r="L110" s="604" t="str">
        <f>IF(F110="n/a","n/a",F110+K110)</f>
        <v>n/a</v>
      </c>
    </row>
    <row r="111" spans="1:12" x14ac:dyDescent="0.2">
      <c r="A111" s="600" t="s">
        <v>3630</v>
      </c>
      <c r="B111" s="611" t="e">
        <f>build2_cooling_tons/build2_zones</f>
        <v>#DIV/0!</v>
      </c>
      <c r="C111" s="611" t="e">
        <f>IF(hp_ok_2,IF(curve=1,B111,VLOOKUP(B111,hvac_hp_cost_cl,2)),"n/a")</f>
        <v>#DIV/0!</v>
      </c>
      <c r="D111" s="609" t="e">
        <f>_xlfn.SINGLE(IF(C111="n/a","n/a",IF(curve=1,IF(build2_cooling_tons/build2_zones &gt; 12,  hvac_hp_eq_2_l, hvac_hp_eq_2_s),VLOOKUP(B111,hvac_hp_cost_cl,3))))</f>
        <v>#DIV/0!</v>
      </c>
      <c r="E111" s="610" t="e">
        <f>IF(C111="n/a","n/a",VLOOKUP(B111,hvac_hp_cost_cl,IF(ss_cat="large",4,5)))</f>
        <v>#DIV/0!</v>
      </c>
      <c r="F111" s="609" t="e">
        <f>IF(OR(D111="contact vendor",D111="n/a"),"n/a",-PMT(Discount_rate,E111,D111)*build2_zones)</f>
        <v>#DIV/0!</v>
      </c>
      <c r="G111" s="608" t="e">
        <f>IF(C111="n/a","n/a",build2_cooling_yr/hp_EER/10^6)</f>
        <v>#DIV/0!</v>
      </c>
      <c r="H111" s="600" t="s">
        <v>2345</v>
      </c>
      <c r="I111" s="607">
        <f>energy_cost_cl</f>
        <v>0.11001750924784216</v>
      </c>
      <c r="J111" s="606" t="s">
        <v>3359</v>
      </c>
      <c r="K111" s="603" t="e">
        <f>IF(C111="n/a","n/a",I111*G111*1000)</f>
        <v>#DIV/0!</v>
      </c>
      <c r="L111" s="604" t="e">
        <f>IF(F111="n/a","n/a",F111+K111)</f>
        <v>#DIV/0!</v>
      </c>
    </row>
    <row r="114" spans="1:5" x14ac:dyDescent="0.2">
      <c r="A114" s="605" t="s">
        <v>1016</v>
      </c>
      <c r="E114" s="601" t="s">
        <v>1015</v>
      </c>
    </row>
    <row r="116" spans="1:5" x14ac:dyDescent="0.2">
      <c r="A116" s="602" t="s">
        <v>1014</v>
      </c>
      <c r="E116" s="600"/>
    </row>
    <row r="117" spans="1:5" x14ac:dyDescent="0.2">
      <c r="A117" s="605" t="s">
        <v>1007</v>
      </c>
      <c r="B117" s="605" t="s">
        <v>1005</v>
      </c>
      <c r="C117" s="605" t="s">
        <v>1006</v>
      </c>
      <c r="D117" s="605" t="s">
        <v>1005</v>
      </c>
      <c r="E117" s="605" t="s">
        <v>1004</v>
      </c>
    </row>
    <row r="118" spans="1:5" x14ac:dyDescent="0.2">
      <c r="A118" s="600" t="s">
        <v>3629</v>
      </c>
      <c r="B118" s="603">
        <f>IF(build1_need_heat,VLOOKUP(A118,build1_heat_options,12,FALSE),0)</f>
        <v>0</v>
      </c>
      <c r="C118" s="600" t="s">
        <v>1003</v>
      </c>
      <c r="D118" s="603">
        <f>IF(build1_need_cool,VLOOKUP(C118,build1_cool_options,12,FALSE),0)</f>
        <v>0</v>
      </c>
      <c r="E118" s="603">
        <f t="shared" ref="E118:E123" si="1">IF(OR(B118="n/a",D118="n/a"),"n/a",ROUND(B118+D118,0))</f>
        <v>0</v>
      </c>
    </row>
    <row r="119" spans="1:5" x14ac:dyDescent="0.2">
      <c r="A119" s="600" t="s">
        <v>3631</v>
      </c>
      <c r="B119" s="603">
        <f>IF(build1_need_heat,VLOOKUP(A119,build1_heat_options,12,FALSE),0)</f>
        <v>0</v>
      </c>
      <c r="C119" s="600" t="s">
        <v>1003</v>
      </c>
      <c r="D119" s="603">
        <f>IF(build1_need_cool,VLOOKUP(C119,build1_cool_options,12,FALSE),0)</f>
        <v>0</v>
      </c>
      <c r="E119" s="603">
        <f t="shared" si="1"/>
        <v>0</v>
      </c>
    </row>
    <row r="120" spans="1:5" x14ac:dyDescent="0.2">
      <c r="A120" s="600" t="s">
        <v>3634</v>
      </c>
      <c r="B120" s="603">
        <f>IF(build1_need_heat,VLOOKUP(A120,build1_heat_options,12,FALSE),0)</f>
        <v>0</v>
      </c>
      <c r="C120" s="600" t="s">
        <v>1003</v>
      </c>
      <c r="D120" s="603">
        <f>IF(build1_need_cool,VLOOKUP(C120,build1_cool_options,12,FALSE),0)</f>
        <v>0</v>
      </c>
      <c r="E120" s="603">
        <f t="shared" si="1"/>
        <v>0</v>
      </c>
    </row>
    <row r="121" spans="1:5" x14ac:dyDescent="0.2">
      <c r="A121" s="600" t="s">
        <v>3521</v>
      </c>
      <c r="B121" s="603">
        <f>IF(build1_need_heat,VLOOKUP(A121,build1_heat_options,12,FALSE),0)</f>
        <v>0</v>
      </c>
      <c r="C121" s="600" t="s">
        <v>1003</v>
      </c>
      <c r="D121" s="603">
        <f>IF(build1_need_cool,VLOOKUP(C121,build1_cool_options,12,FALSE),0)</f>
        <v>0</v>
      </c>
      <c r="E121" s="603">
        <f t="shared" si="1"/>
        <v>0</v>
      </c>
    </row>
    <row r="122" spans="1:5" x14ac:dyDescent="0.2">
      <c r="A122" s="600" t="s">
        <v>3522</v>
      </c>
      <c r="B122" s="603">
        <f>IF(build1_need_heat,VLOOKUP(A122,build1_heat_options,12,FALSE),0)</f>
        <v>0</v>
      </c>
      <c r="C122" s="600" t="s">
        <v>1003</v>
      </c>
      <c r="D122" s="603">
        <f>IF(build1_need_cool,VLOOKUP(C122,build1_cool_options,12,FALSE),0)</f>
        <v>0</v>
      </c>
      <c r="E122" s="603">
        <f t="shared" si="1"/>
        <v>0</v>
      </c>
    </row>
    <row r="123" spans="1:5" x14ac:dyDescent="0.2">
      <c r="A123" s="600" t="s">
        <v>3630</v>
      </c>
      <c r="B123" s="604" t="str">
        <f>IF(AND(build1_need_heat, build1_need_cool),K87,"n/a")</f>
        <v>n/a</v>
      </c>
      <c r="C123" s="600" t="s">
        <v>3630</v>
      </c>
      <c r="D123" s="603">
        <f>IF(AND(build1_need_heat,build1_need_cool),VLOOKUP(C123,build1_cool_options,12,FALSE),0)</f>
        <v>0</v>
      </c>
      <c r="E123" s="603" t="str">
        <f t="shared" si="1"/>
        <v>n/a</v>
      </c>
    </row>
    <row r="124" spans="1:5" x14ac:dyDescent="0.2">
      <c r="B124" s="600"/>
      <c r="D124" s="603"/>
      <c r="E124" s="603"/>
    </row>
    <row r="125" spans="1:5" x14ac:dyDescent="0.2">
      <c r="A125" s="600" t="s">
        <v>1002</v>
      </c>
      <c r="B125" s="602" t="s">
        <v>1013</v>
      </c>
      <c r="C125" s="600">
        <f>MATCH(MIN(E118:E123),E118:E123,0)</f>
        <v>1</v>
      </c>
      <c r="D125" s="603"/>
      <c r="E125" s="603"/>
    </row>
    <row r="126" spans="1:5" x14ac:dyDescent="0.2">
      <c r="A126" s="600" t="s">
        <v>1012</v>
      </c>
      <c r="B126" s="602" t="s">
        <v>1011</v>
      </c>
      <c r="C126" s="600" t="str">
        <f>IF(build1_need_heat,INDEX(A118:A123,build1_row),"n/a")</f>
        <v>n/a</v>
      </c>
      <c r="D126" s="603"/>
      <c r="E126" s="603"/>
    </row>
    <row r="127" spans="1:5" x14ac:dyDescent="0.2">
      <c r="A127" s="600" t="s">
        <v>1010</v>
      </c>
      <c r="B127" s="602" t="s">
        <v>1009</v>
      </c>
      <c r="C127" s="600" t="str">
        <f>IF(build1_need_cool,INDEX(C118:C123,build1_row),"n/a")</f>
        <v>n/a</v>
      </c>
      <c r="D127" s="603"/>
      <c r="E127" s="603"/>
    </row>
    <row r="128" spans="1:5" x14ac:dyDescent="0.2">
      <c r="B128" s="600"/>
      <c r="D128" s="603"/>
      <c r="E128" s="603"/>
    </row>
    <row r="130" spans="1:5" x14ac:dyDescent="0.2">
      <c r="A130" s="602" t="s">
        <v>1008</v>
      </c>
      <c r="E130" s="600"/>
    </row>
    <row r="131" spans="1:5" x14ac:dyDescent="0.2">
      <c r="A131" s="605" t="s">
        <v>1007</v>
      </c>
      <c r="B131" s="605" t="s">
        <v>1005</v>
      </c>
      <c r="C131" s="605" t="s">
        <v>1006</v>
      </c>
      <c r="D131" s="605" t="s">
        <v>1005</v>
      </c>
      <c r="E131" s="605" t="s">
        <v>1004</v>
      </c>
    </row>
    <row r="132" spans="1:5" x14ac:dyDescent="0.2">
      <c r="A132" s="600" t="s">
        <v>3629</v>
      </c>
      <c r="B132" s="603">
        <f>IF(build2_need_heat,VLOOKUP(A132,build2_heat_options,12,FALSE),0)</f>
        <v>0</v>
      </c>
      <c r="C132" s="600" t="s">
        <v>1003</v>
      </c>
      <c r="D132" s="603">
        <f>IF(build2_need_cool,VLOOKUP(C132,build2_cool_options,12,FALSE),0)</f>
        <v>0</v>
      </c>
      <c r="E132" s="603">
        <f t="shared" ref="E132:E137" si="2">IF(OR(B132="n/a",D132="n/a"),"n/a",ROUND(B132+D132,0))</f>
        <v>0</v>
      </c>
    </row>
    <row r="133" spans="1:5" x14ac:dyDescent="0.2">
      <c r="A133" s="600" t="s">
        <v>3631</v>
      </c>
      <c r="B133" s="603">
        <f>IF(build2_need_heat,VLOOKUP(A133,build2_heat_options,12,FALSE),0)</f>
        <v>0</v>
      </c>
      <c r="C133" s="600" t="s">
        <v>1003</v>
      </c>
      <c r="D133" s="603">
        <f>IF(build2_need_cool,VLOOKUP(C133,build2_cool_options,12,FALSE),0)</f>
        <v>0</v>
      </c>
      <c r="E133" s="603">
        <f t="shared" si="2"/>
        <v>0</v>
      </c>
    </row>
    <row r="134" spans="1:5" x14ac:dyDescent="0.2">
      <c r="A134" s="600" t="s">
        <v>3634</v>
      </c>
      <c r="B134" s="603">
        <f>IF(build2_need_heat,VLOOKUP(A134,build2_heat_options,12,FALSE),0)</f>
        <v>0</v>
      </c>
      <c r="C134" s="600" t="s">
        <v>1003</v>
      </c>
      <c r="D134" s="603">
        <f>IF(build2_need_cool,VLOOKUP(C134,build2_cool_options,12,FALSE),0)</f>
        <v>0</v>
      </c>
      <c r="E134" s="603">
        <f t="shared" si="2"/>
        <v>0</v>
      </c>
    </row>
    <row r="135" spans="1:5" x14ac:dyDescent="0.2">
      <c r="A135" s="600" t="s">
        <v>3521</v>
      </c>
      <c r="B135" s="603">
        <f>IF(build2_need_heat,VLOOKUP(A135,build2_heat_options,12,FALSE),0)</f>
        <v>0</v>
      </c>
      <c r="C135" s="600" t="s">
        <v>1003</v>
      </c>
      <c r="D135" s="603">
        <f>IF(build2_need_cool,VLOOKUP(C135,build2_cool_options,12,FALSE),0)</f>
        <v>0</v>
      </c>
      <c r="E135" s="603">
        <f t="shared" si="2"/>
        <v>0</v>
      </c>
    </row>
    <row r="136" spans="1:5" x14ac:dyDescent="0.2">
      <c r="A136" s="600" t="s">
        <v>3522</v>
      </c>
      <c r="B136" s="603">
        <f>IF(build2_need_heat,VLOOKUP(A136,build2_heat_options,12,FALSE),0)</f>
        <v>0</v>
      </c>
      <c r="C136" s="600" t="s">
        <v>1003</v>
      </c>
      <c r="D136" s="603">
        <f>IF(build2_need_cool,VLOOKUP(C136,build2_cool_options,12,FALSE),0)</f>
        <v>0</v>
      </c>
      <c r="E136" s="603">
        <f t="shared" si="2"/>
        <v>0</v>
      </c>
    </row>
    <row r="137" spans="1:5" x14ac:dyDescent="0.2">
      <c r="A137" s="600" t="s">
        <v>3630</v>
      </c>
      <c r="B137" s="604" t="str">
        <f>IF(AND(build2_need_heat, build2_need_cool),K96,"n/a")</f>
        <v>n/a</v>
      </c>
      <c r="C137" s="600" t="s">
        <v>3630</v>
      </c>
      <c r="D137" s="603">
        <f>IF(AND(build1_need_heat,build2_need_cool),VLOOKUP(C137,build2_cool_options,12,FALSE),0)</f>
        <v>0</v>
      </c>
      <c r="E137" s="603" t="str">
        <f t="shared" si="2"/>
        <v>n/a</v>
      </c>
    </row>
    <row r="138" spans="1:5" x14ac:dyDescent="0.2">
      <c r="B138" s="600"/>
      <c r="D138" s="603"/>
      <c r="E138" s="603"/>
    </row>
    <row r="139" spans="1:5" x14ac:dyDescent="0.2">
      <c r="A139" s="600" t="s">
        <v>1002</v>
      </c>
      <c r="B139" s="602" t="s">
        <v>1001</v>
      </c>
      <c r="C139" s="600">
        <f>MATCH(MIN(E132:E137),E132:E137,0)</f>
        <v>1</v>
      </c>
      <c r="D139" s="603"/>
      <c r="E139" s="603"/>
    </row>
    <row r="140" spans="1:5" x14ac:dyDescent="0.2">
      <c r="A140" s="600" t="s">
        <v>1000</v>
      </c>
      <c r="B140" s="602" t="s">
        <v>999</v>
      </c>
      <c r="C140" s="600" t="str">
        <f>IF(build2_need_heat,INDEX(A132:A137,build2_row),"n/a")</f>
        <v>n/a</v>
      </c>
      <c r="D140" s="603"/>
      <c r="E140" s="603"/>
    </row>
    <row r="141" spans="1:5" x14ac:dyDescent="0.2">
      <c r="A141" s="600" t="s">
        <v>998</v>
      </c>
      <c r="B141" s="602" t="s">
        <v>997</v>
      </c>
      <c r="C141" s="600" t="str">
        <f>IF(build2_need_cool,INDEX(C132:C137,build2_row),"n/a")</f>
        <v>n/a</v>
      </c>
      <c r="D141" s="603"/>
      <c r="E141" s="603"/>
    </row>
  </sheetData>
  <mergeCells count="2">
    <mergeCell ref="B87:E87"/>
    <mergeCell ref="B96:E96"/>
  </mergeCells>
  <phoneticPr fontId="0"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E99"/>
  <sheetViews>
    <sheetView workbookViewId="0">
      <pane ySplit="3" topLeftCell="A4" activePane="bottomLeft" state="frozen"/>
      <selection pane="bottomLeft"/>
    </sheetView>
  </sheetViews>
  <sheetFormatPr defaultRowHeight="12.75" x14ac:dyDescent="0.2"/>
  <cols>
    <col min="1" max="1" width="54.42578125" customWidth="1"/>
    <col min="2" max="2" width="18" customWidth="1"/>
    <col min="3" max="3" width="13.7109375" customWidth="1"/>
  </cols>
  <sheetData>
    <row r="1" spans="1:5" x14ac:dyDescent="0.2">
      <c r="A1" s="1" t="s">
        <v>3864</v>
      </c>
      <c r="D1" s="694"/>
    </row>
    <row r="2" spans="1:5" x14ac:dyDescent="0.2">
      <c r="D2" s="694"/>
    </row>
    <row r="3" spans="1:5" x14ac:dyDescent="0.2">
      <c r="A3" s="193" t="s">
        <v>3853</v>
      </c>
      <c r="B3" s="193" t="s">
        <v>1640</v>
      </c>
      <c r="C3" s="194" t="s">
        <v>1641</v>
      </c>
      <c r="D3" s="193" t="s">
        <v>1642</v>
      </c>
      <c r="E3" s="193" t="s">
        <v>594</v>
      </c>
    </row>
    <row r="4" spans="1:5" x14ac:dyDescent="0.2">
      <c r="A4" s="2" t="s">
        <v>4175</v>
      </c>
      <c r="B4" s="1"/>
      <c r="C4" s="195"/>
      <c r="D4" s="1"/>
      <c r="E4" s="1"/>
    </row>
    <row r="5" spans="1:5" x14ac:dyDescent="0.2">
      <c r="A5" s="721" t="s">
        <v>4163</v>
      </c>
      <c r="B5" s="3" t="s">
        <v>1643</v>
      </c>
      <c r="C5" s="726">
        <f>IF(include_buildings_I="no",0,1)</f>
        <v>1</v>
      </c>
      <c r="D5" s="694" t="s">
        <v>4176</v>
      </c>
      <c r="E5" s="1"/>
    </row>
    <row r="6" spans="1:5" x14ac:dyDescent="0.2">
      <c r="A6" s="721" t="s">
        <v>4169</v>
      </c>
      <c r="B6" s="3" t="s">
        <v>1377</v>
      </c>
      <c r="C6" s="726">
        <f>IF(include_land_I="no",0,1)</f>
        <v>1</v>
      </c>
      <c r="D6" s="694" t="s">
        <v>4176</v>
      </c>
      <c r="E6" s="1"/>
    </row>
    <row r="7" spans="1:5" x14ac:dyDescent="0.2">
      <c r="A7" s="1"/>
      <c r="B7" s="1"/>
      <c r="C7" s="195"/>
      <c r="D7" s="1"/>
      <c r="E7" s="1"/>
    </row>
    <row r="8" spans="1:5" x14ac:dyDescent="0.2">
      <c r="A8" s="46" t="s">
        <v>2329</v>
      </c>
    </row>
    <row r="9" spans="1:5" x14ac:dyDescent="0.2">
      <c r="A9" s="128" t="s">
        <v>1354</v>
      </c>
      <c r="C9" s="10">
        <f>pump_energy*design_flow/average_flow/365/24*1000</f>
        <v>0</v>
      </c>
      <c r="D9" t="s">
        <v>238</v>
      </c>
    </row>
    <row r="10" spans="1:5" x14ac:dyDescent="0.2">
      <c r="A10" s="627" t="s">
        <v>317</v>
      </c>
      <c r="C10" s="10">
        <f>recycle_pump_energy*design_flow/average_flow/365/24*1000</f>
        <v>0</v>
      </c>
      <c r="D10" t="s">
        <v>238</v>
      </c>
    </row>
    <row r="11" spans="1:5" x14ac:dyDescent="0.2">
      <c r="A11" s="732" t="s">
        <v>3450</v>
      </c>
      <c r="C11" s="10">
        <f>(blower_energy+bio_blower_energy)*design_flow/average_flow/365/24*1000</f>
        <v>2.0463721073949812E-2</v>
      </c>
      <c r="D11" t="s">
        <v>238</v>
      </c>
    </row>
    <row r="12" spans="1:5" x14ac:dyDescent="0.2">
      <c r="A12" s="128" t="s">
        <v>1357</v>
      </c>
      <c r="C12" s="10">
        <f>IF(include_buildings=0,0,(build1_fp*lighting_energy_1+build2_fp*lighting_energy_2)/365/24)</f>
        <v>0.13499999999999998</v>
      </c>
      <c r="D12" t="s">
        <v>238</v>
      </c>
    </row>
    <row r="13" spans="1:5" x14ac:dyDescent="0.2">
      <c r="A13" s="627" t="s">
        <v>1444</v>
      </c>
      <c r="B13" s="3"/>
      <c r="C13" s="65">
        <f>IF(include_HVAC=0,0,0.746*Fan_pressure_drop*build1_fp*Building_height*air_changes_build1/33000)</f>
        <v>0.13613934848484846</v>
      </c>
      <c r="D13" t="s">
        <v>238</v>
      </c>
    </row>
    <row r="14" spans="1:5" x14ac:dyDescent="0.2">
      <c r="A14" s="627" t="s">
        <v>1445</v>
      </c>
      <c r="B14" s="3"/>
      <c r="C14" s="65">
        <f>IF(include_HVAC=0,0,0.746*Fan_pressure_drop*build2_fp*Building_height*air_changes_build2/33000)</f>
        <v>0</v>
      </c>
      <c r="D14" t="s">
        <v>238</v>
      </c>
    </row>
    <row r="15" spans="1:5" x14ac:dyDescent="0.2">
      <c r="A15" s="128" t="s">
        <v>2649</v>
      </c>
      <c r="B15" s="3" t="s">
        <v>2650</v>
      </c>
      <c r="C15" s="70">
        <f>SUM(C9:C14)</f>
        <v>0.29160306955879822</v>
      </c>
      <c r="D15" t="s">
        <v>238</v>
      </c>
    </row>
    <row r="16" spans="1:5" x14ac:dyDescent="0.2">
      <c r="A16" s="128"/>
      <c r="B16" s="3"/>
      <c r="C16" s="70"/>
    </row>
    <row r="17" spans="1:4" x14ac:dyDescent="0.2">
      <c r="A17" s="128" t="s">
        <v>1126</v>
      </c>
      <c r="B17" s="3" t="s">
        <v>1127</v>
      </c>
      <c r="C17" s="6" t="b">
        <f>IF(build1_need_heat=1,VLOOKUP(build1_heat,build1_heat_options,8,FALSE)="MWh/yr",FALSE)</f>
        <v>0</v>
      </c>
    </row>
    <row r="18" spans="1:4" x14ac:dyDescent="0.2">
      <c r="A18" s="128" t="s">
        <v>1128</v>
      </c>
      <c r="B18" s="3" t="s">
        <v>1129</v>
      </c>
      <c r="C18" s="628">
        <f>IF(build1_elec_heat,VLOOKUP(build1_heat,build1_heat_options,7,FALSE),0)*365.25*24/1000</f>
        <v>0</v>
      </c>
      <c r="D18" t="s">
        <v>238</v>
      </c>
    </row>
    <row r="19" spans="1:4" x14ac:dyDescent="0.2">
      <c r="A19" s="128" t="s">
        <v>1130</v>
      </c>
      <c r="B19" s="3" t="s">
        <v>1131</v>
      </c>
      <c r="C19" s="6" t="b">
        <f>IF(build2_need_heat,(VLOOKUP(build2_heat,build2_heat_options,8,FALSE)="MWh/yr"),FALSE)</f>
        <v>0</v>
      </c>
    </row>
    <row r="20" spans="1:4" x14ac:dyDescent="0.2">
      <c r="A20" s="128" t="s">
        <v>1132</v>
      </c>
      <c r="B20" s="3" t="s">
        <v>1133</v>
      </c>
      <c r="C20" s="628">
        <f>IF(build2_elec_heat,VLOOKUP(build2_heat,build2_heat_options,7,FALSE),0)*365.25*24/1000</f>
        <v>0</v>
      </c>
      <c r="D20" t="s">
        <v>238</v>
      </c>
    </row>
    <row r="21" spans="1:4" x14ac:dyDescent="0.2">
      <c r="A21" s="128" t="s">
        <v>2651</v>
      </c>
      <c r="B21" s="3" t="s">
        <v>2652</v>
      </c>
      <c r="C21" s="628">
        <f>IF(include_HVAC=0,0,build1_elec_heat_power+build2_elec_heat_power)</f>
        <v>0</v>
      </c>
      <c r="D21" t="s">
        <v>238</v>
      </c>
    </row>
    <row r="22" spans="1:4" x14ac:dyDescent="0.2">
      <c r="A22" s="128"/>
    </row>
    <row r="23" spans="1:4" x14ac:dyDescent="0.2">
      <c r="A23" s="128" t="s">
        <v>1134</v>
      </c>
      <c r="B23" s="3" t="s">
        <v>1135</v>
      </c>
      <c r="C23" s="6" t="b">
        <f>IF(build1_need_cool,(VLOOKUP(build1_cool,build1_cool_options,8,FALSE)="MWh/yr"),FALSE)</f>
        <v>0</v>
      </c>
    </row>
    <row r="24" spans="1:4" x14ac:dyDescent="0.2">
      <c r="A24" s="128" t="s">
        <v>1136</v>
      </c>
      <c r="B24" s="3" t="s">
        <v>1137</v>
      </c>
      <c r="C24" s="628">
        <f>IF(build1_elec_cool,VLOOKUP(build1_cool,build1_cool_options,7,FALSE),0)*365.25*24/1000</f>
        <v>0</v>
      </c>
      <c r="D24" t="s">
        <v>238</v>
      </c>
    </row>
    <row r="25" spans="1:4" x14ac:dyDescent="0.2">
      <c r="A25" s="128" t="s">
        <v>1138</v>
      </c>
      <c r="B25" s="3" t="s">
        <v>1139</v>
      </c>
      <c r="C25" s="6" t="b">
        <f>IF(build2_need_cool,(VLOOKUP(build2_cool,build2_cool_options,8,FALSE)="MWh/yr"),FALSE)</f>
        <v>0</v>
      </c>
    </row>
    <row r="26" spans="1:4" x14ac:dyDescent="0.2">
      <c r="A26" s="128" t="s">
        <v>1140</v>
      </c>
      <c r="B26" s="3" t="s">
        <v>1141</v>
      </c>
      <c r="C26" s="628">
        <f>IF(build2_elec_cool,VLOOKUP(build2_cool,build2_cool_options,7,FALSE),0)*365.25*24/1000</f>
        <v>0</v>
      </c>
      <c r="D26" t="s">
        <v>238</v>
      </c>
    </row>
    <row r="27" spans="1:4" x14ac:dyDescent="0.2">
      <c r="A27" s="128" t="s">
        <v>474</v>
      </c>
      <c r="B27" s="3" t="s">
        <v>475</v>
      </c>
      <c r="C27" s="628">
        <f>IF(include_HVAC=0,0,build1_elec_cool_power+build2_elec_cool_power)</f>
        <v>0</v>
      </c>
      <c r="D27" t="s">
        <v>238</v>
      </c>
    </row>
    <row r="28" spans="1:4" x14ac:dyDescent="0.2">
      <c r="A28" s="128"/>
      <c r="B28" s="3"/>
      <c r="C28" s="70"/>
    </row>
    <row r="29" spans="1:4" x14ac:dyDescent="0.2">
      <c r="A29" s="128" t="s">
        <v>2178</v>
      </c>
      <c r="B29" s="3" t="s">
        <v>2179</v>
      </c>
      <c r="C29" s="542">
        <f>ROUNDUP(2*MAX(min_standby,(IF(AND(need_heat=1,need_cool=1),MAX(std_heat,std_cool),need_heat*std_heat+need_cool*std_cool)+std_base)*(1+std_safety_factor)),0)/2</f>
        <v>1.5</v>
      </c>
      <c r="D29" t="s">
        <v>238</v>
      </c>
    </row>
    <row r="30" spans="1:4" x14ac:dyDescent="0.2">
      <c r="A30" s="128" t="s">
        <v>2180</v>
      </c>
      <c r="B30" s="3" t="s">
        <v>2181</v>
      </c>
      <c r="C30" s="14">
        <f>VLOOKUP(std_power,std_gen_cost_cl,3)*std_power</f>
        <v>990</v>
      </c>
    </row>
    <row r="32" spans="1:4" x14ac:dyDescent="0.2">
      <c r="A32" s="2" t="s">
        <v>1438</v>
      </c>
    </row>
    <row r="33" spans="1:4" x14ac:dyDescent="0.2">
      <c r="A33" s="128" t="s">
        <v>2508</v>
      </c>
      <c r="B33" s="3" t="s">
        <v>2509</v>
      </c>
      <c r="C33" s="10">
        <f>total_fp+solids_pad_area+ep_fp</f>
        <v>480</v>
      </c>
      <c r="D33" t="s">
        <v>1226</v>
      </c>
    </row>
    <row r="34" spans="1:4" x14ac:dyDescent="0.2">
      <c r="A34" s="128" t="s">
        <v>1863</v>
      </c>
      <c r="B34" s="3" t="s">
        <v>1864</v>
      </c>
      <c r="C34" s="10">
        <f>MAX(IF(design_type=1,0,basin_depth),IF(include_post=0,0,filt_basin_depth),IF(res_holding="basins",hbasin_depth,0),IF(OUTPUT!L495=1,thick_basin_depth,0))</f>
        <v>8</v>
      </c>
      <c r="D34" t="s">
        <v>605</v>
      </c>
    </row>
    <row r="35" spans="1:4" x14ac:dyDescent="0.2">
      <c r="A35" s="128" t="s">
        <v>1735</v>
      </c>
      <c r="B35" s="3" t="s">
        <v>1736</v>
      </c>
      <c r="C35" s="10">
        <f>IF(design_type=1,bore_depth_p,IF(max_excav_depth&gt;deep_bore_need,bore_depth_max,bore_depth_min))</f>
        <v>10</v>
      </c>
      <c r="D35" t="s">
        <v>605</v>
      </c>
    </row>
    <row r="36" spans="1:4" x14ac:dyDescent="0.2">
      <c r="A36" s="128" t="s">
        <v>2510</v>
      </c>
      <c r="B36" s="3" t="s">
        <v>2511</v>
      </c>
      <c r="C36" s="10">
        <f>IF(OR(design_type=2,tech_fp&gt;bore_need),0,ROUNDUP(tech_fp/hole_per_sf,0))</f>
        <v>1</v>
      </c>
    </row>
    <row r="37" spans="1:4" x14ac:dyDescent="0.2">
      <c r="A37" s="128" t="s">
        <v>2512</v>
      </c>
      <c r="B37" s="3" t="s">
        <v>2513</v>
      </c>
      <c r="C37" s="10">
        <f>IF(AND(design_type=1,tech_fp&lt;bore_need),0,IF(ROUNDUP(tech_fp/hole_per_sf,0)&lt;min_holes,min_holes,ROUNDUP(tech_fp/hole_per_sf,0)))</f>
        <v>0</v>
      </c>
    </row>
    <row r="38" spans="1:4" x14ac:dyDescent="0.2">
      <c r="A38" s="128"/>
      <c r="B38" s="3"/>
      <c r="C38" s="10"/>
    </row>
    <row r="39" spans="1:4" x14ac:dyDescent="0.2">
      <c r="A39" s="736" t="s">
        <v>2514</v>
      </c>
      <c r="B39" s="3"/>
      <c r="C39" s="10"/>
    </row>
    <row r="40" spans="1:4" x14ac:dyDescent="0.2">
      <c r="A40" s="128" t="s">
        <v>2515</v>
      </c>
      <c r="C40" s="14">
        <f>IF(num_pits&gt;0,1,ROUNDUP(num_holes/hole_per_job,0))*VLOOKUP(0,stake_out_cost_cl,3)</f>
        <v>1475</v>
      </c>
    </row>
    <row r="41" spans="1:4" x14ac:dyDescent="0.2">
      <c r="A41" s="128" t="s">
        <v>2516</v>
      </c>
      <c r="C41" s="14">
        <f>ROUNDUP(num_holes/hole_per_job,0)*VLOOKUP(0,bore_draw_cost_cl,3)</f>
        <v>0</v>
      </c>
    </row>
    <row r="42" spans="1:4" x14ac:dyDescent="0.2">
      <c r="A42" s="128" t="s">
        <v>2517</v>
      </c>
      <c r="C42" s="14">
        <f>IF(num_pits&gt;0,1,ROUNDUP(num_holes/hole_per_job,0))*VLOOKUP(0,bore_report_cost_cl,3)</f>
        <v>970</v>
      </c>
    </row>
    <row r="43" spans="1:4" x14ac:dyDescent="0.2">
      <c r="A43" s="128" t="s">
        <v>2518</v>
      </c>
      <c r="C43" s="14">
        <f>IF(num_pits&gt;0,0,1)*VLOOKUP(0,bore_mob_cost_cl,3)</f>
        <v>0</v>
      </c>
    </row>
    <row r="44" spans="1:4" x14ac:dyDescent="0.2">
      <c r="A44" s="128" t="s">
        <v>3301</v>
      </c>
      <c r="C44" s="14">
        <f>ROUNDUP(bore_depth*num_holes/hole_per_day,0)*VLOOKUP(0,bore_rig_cost_cl,3)</f>
        <v>0</v>
      </c>
    </row>
    <row r="45" spans="1:4" x14ac:dyDescent="0.2">
      <c r="A45" s="128" t="s">
        <v>3302</v>
      </c>
      <c r="C45" s="14">
        <f>num_holes*bore_depth*VLOOKUP(0,bore_cost_cl,3)</f>
        <v>0</v>
      </c>
    </row>
    <row r="46" spans="1:4" x14ac:dyDescent="0.2">
      <c r="A46" s="128" t="s">
        <v>3303</v>
      </c>
      <c r="C46" s="14">
        <f>pit_width*pit_length*pit_depth/27*num_pits*VLOOKUP(0,pit_cost_cl,3)</f>
        <v>1180.148148148148</v>
      </c>
    </row>
    <row r="47" spans="1:4" x14ac:dyDescent="0.2">
      <c r="A47" s="128" t="s">
        <v>3304</v>
      </c>
      <c r="B47" s="3" t="s">
        <v>3305</v>
      </c>
      <c r="C47" s="14">
        <f>SUM(C40:C46)</f>
        <v>3625.1481481481478</v>
      </c>
    </row>
    <row r="48" spans="1:4" x14ac:dyDescent="0.2">
      <c r="A48" s="128"/>
    </row>
    <row r="49" spans="1:5" x14ac:dyDescent="0.2">
      <c r="A49" s="128" t="s">
        <v>3306</v>
      </c>
      <c r="B49" s="3" t="s">
        <v>3307</v>
      </c>
      <c r="C49" s="14">
        <f>tech_fp*sitework_sf_cl</f>
        <v>7291.7802197802193</v>
      </c>
    </row>
    <row r="51" spans="1:5" x14ac:dyDescent="0.2">
      <c r="A51" s="2" t="s">
        <v>2327</v>
      </c>
    </row>
    <row r="52" spans="1:5" x14ac:dyDescent="0.2">
      <c r="A52" s="128" t="s">
        <v>3308</v>
      </c>
      <c r="B52" s="3" t="s">
        <v>3309</v>
      </c>
      <c r="C52">
        <f>SUMPRODUCT(OUTPUT!G177:G181,OUTPUT!L177:L181)</f>
        <v>3</v>
      </c>
      <c r="D52" t="s">
        <v>1430</v>
      </c>
      <c r="E52" s="7" t="s">
        <v>4422</v>
      </c>
    </row>
    <row r="53" spans="1:5" x14ac:dyDescent="0.2">
      <c r="A53" s="128" t="s">
        <v>3310</v>
      </c>
      <c r="B53" s="3" t="s">
        <v>3311</v>
      </c>
      <c r="C53">
        <f>MAX(frost,min_trench_depth)</f>
        <v>38</v>
      </c>
      <c r="D53" t="s">
        <v>1253</v>
      </c>
    </row>
    <row r="54" spans="1:5" x14ac:dyDescent="0.2">
      <c r="A54" s="128" t="s">
        <v>3312</v>
      </c>
      <c r="B54" s="3" t="s">
        <v>3313</v>
      </c>
      <c r="C54" s="10">
        <f>VLOOKUP(yard_pipe_diam,thrust_block_table_cl,2)*2.2</f>
        <v>1500.2060005469853</v>
      </c>
      <c r="D54" t="s">
        <v>2591</v>
      </c>
    </row>
    <row r="55" spans="1:5" x14ac:dyDescent="0.2">
      <c r="A55" s="128" t="s">
        <v>3314</v>
      </c>
      <c r="B55" s="3" t="s">
        <v>3315</v>
      </c>
      <c r="C55">
        <f>1.5*thrust_force/(soil_dens*(trench_depth/12+yard_pipe_diam/12)*Coeff_Kp*Reduction)</f>
        <v>4.8465162927098016</v>
      </c>
      <c r="D55" t="s">
        <v>1202</v>
      </c>
    </row>
    <row r="56" spans="1:5" x14ac:dyDescent="0.2">
      <c r="A56" s="128" t="s">
        <v>3316</v>
      </c>
      <c r="B56" s="3"/>
      <c r="C56">
        <f>bearing_area/C57</f>
        <v>3.1133635485467486</v>
      </c>
      <c r="D56" t="s">
        <v>3506</v>
      </c>
    </row>
    <row r="57" spans="1:5" x14ac:dyDescent="0.2">
      <c r="A57" s="128" t="s">
        <v>3317</v>
      </c>
      <c r="B57" s="3"/>
      <c r="C57">
        <f>(bearing_area/2)^0.5</f>
        <v>1.5566817742733743</v>
      </c>
      <c r="D57" t="s">
        <v>3506</v>
      </c>
    </row>
    <row r="58" spans="1:5" x14ac:dyDescent="0.2">
      <c r="A58" s="128" t="s">
        <v>1174</v>
      </c>
      <c r="B58" s="3"/>
      <c r="C58">
        <f>MAX(0.5,yard_pipe_diam/12)</f>
        <v>0.5</v>
      </c>
      <c r="D58" t="s">
        <v>3506</v>
      </c>
      <c r="E58" s="7" t="s">
        <v>1175</v>
      </c>
    </row>
    <row r="59" spans="1:5" x14ac:dyDescent="0.2">
      <c r="A59" s="128" t="s">
        <v>1176</v>
      </c>
      <c r="B59" s="3"/>
      <c r="C59">
        <f>C56/2</f>
        <v>1.5566817742733743</v>
      </c>
      <c r="D59" t="s">
        <v>3506</v>
      </c>
    </row>
    <row r="60" spans="1:5" x14ac:dyDescent="0.2">
      <c r="A60" s="128" t="s">
        <v>1177</v>
      </c>
      <c r="B60" s="3" t="s">
        <v>1178</v>
      </c>
      <c r="C60">
        <f>(C59+(yard_pipe_diam/12)/2)*(C56+C58)/2*C57/27</f>
        <v>0.17517073707849207</v>
      </c>
      <c r="D60" t="s">
        <v>2458</v>
      </c>
    </row>
    <row r="61" spans="1:5" x14ac:dyDescent="0.2">
      <c r="A61" s="128" t="s">
        <v>1179</v>
      </c>
      <c r="B61" s="3" t="s">
        <v>1180</v>
      </c>
      <c r="C61" s="71">
        <f>(yard_pipe_diam/12+2)*(bedding_depth/12+yard_pipe_diam/12+trench_depth/12)+(bedding_depth/12+yard_pipe_diam/12+trench_depth/12)^2*TAN(trench_angle)</f>
        <v>24.152777777777775</v>
      </c>
      <c r="D61" t="s">
        <v>1202</v>
      </c>
    </row>
    <row r="62" spans="1:5" x14ac:dyDescent="0.2">
      <c r="A62" s="128" t="s">
        <v>1181</v>
      </c>
      <c r="B62" s="3"/>
      <c r="C62" s="19">
        <f>trench_area*yard_in/27</f>
        <v>0</v>
      </c>
      <c r="D62" t="s">
        <v>2458</v>
      </c>
    </row>
    <row r="63" spans="1:5" x14ac:dyDescent="0.2">
      <c r="A63" s="128" t="s">
        <v>4428</v>
      </c>
      <c r="B63" s="3"/>
      <c r="C63" s="71">
        <f>((2*non_fire_buffer)+2*(build1_fp^0.5)/4)*trench_area/27</f>
        <v>27.379053697145622</v>
      </c>
      <c r="D63" t="s">
        <v>2458</v>
      </c>
    </row>
    <row r="64" spans="1:5" x14ac:dyDescent="0.2">
      <c r="A64" s="128" t="s">
        <v>1182</v>
      </c>
      <c r="B64" s="3"/>
      <c r="C64" s="71">
        <f>IF(build2_fp=0,0,((2*non_fire_buffer)+2*(build2_fp^0.5)/4)*trench_area/27)</f>
        <v>0</v>
      </c>
      <c r="D64" t="s">
        <v>2458</v>
      </c>
    </row>
    <row r="65" spans="1:5" x14ac:dyDescent="0.2">
      <c r="A65" s="128" t="s">
        <v>3167</v>
      </c>
      <c r="C65" s="19">
        <f>trench_area*yard_out/27</f>
        <v>0</v>
      </c>
      <c r="D65" t="s">
        <v>2458</v>
      </c>
    </row>
    <row r="66" spans="1:5" x14ac:dyDescent="0.2">
      <c r="A66" s="128" t="s">
        <v>3168</v>
      </c>
      <c r="B66" s="3" t="s">
        <v>3169</v>
      </c>
      <c r="C66" s="19">
        <f>SUM(C62:C65)+block_vol</f>
        <v>27.554224434224114</v>
      </c>
      <c r="D66" t="s">
        <v>2458</v>
      </c>
    </row>
    <row r="67" spans="1:5" x14ac:dyDescent="0.2">
      <c r="A67" s="128" t="s">
        <v>3295</v>
      </c>
      <c r="B67" s="3" t="s">
        <v>3296</v>
      </c>
      <c r="C67" s="10">
        <f>yard_in+yard_out+2*((2*non_fire_buffer)+2*(build1_fp^0.5)/4+IF(build2_fp=0,0,((2*non_fire_buffer)+2*(build2_fp^0.5)/4))+2*(trench_depth+yard_pipe_diam)/12)</f>
        <v>74.879870102263098</v>
      </c>
      <c r="D67" t="s">
        <v>1429</v>
      </c>
    </row>
    <row r="68" spans="1:5" x14ac:dyDescent="0.2">
      <c r="A68" s="128" t="s">
        <v>3575</v>
      </c>
      <c r="B68" s="3"/>
      <c r="C68" s="72">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1.5724346117296191</v>
      </c>
      <c r="D68" t="s">
        <v>1202</v>
      </c>
    </row>
    <row r="69" spans="1:5" x14ac:dyDescent="0.2">
      <c r="A69" s="128" t="s">
        <v>3576</v>
      </c>
      <c r="B69" s="3" t="s">
        <v>3577</v>
      </c>
      <c r="C69">
        <f>C68*yard_pipe_length/2/27</f>
        <v>2.1804388790854889</v>
      </c>
      <c r="D69" t="s">
        <v>2458</v>
      </c>
    </row>
    <row r="70" spans="1:5" x14ac:dyDescent="0.2">
      <c r="A70" s="128"/>
    </row>
    <row r="71" spans="1:5" x14ac:dyDescent="0.2">
      <c r="A71" s="736" t="s">
        <v>2514</v>
      </c>
    </row>
    <row r="72" spans="1:5" x14ac:dyDescent="0.2">
      <c r="A72" s="128" t="s">
        <v>3578</v>
      </c>
      <c r="C72" s="15">
        <f>VLOOKUP(0,bedding_cost_cl,3)*bedding_vol</f>
        <v>98.88290316652693</v>
      </c>
    </row>
    <row r="73" spans="1:5" x14ac:dyDescent="0.2">
      <c r="A73" s="128" t="s">
        <v>3579</v>
      </c>
      <c r="C73" s="15">
        <f>trench_vol*VLOOKUP(0,excavate_cost_cl,3)</f>
        <v>850.8744505288405</v>
      </c>
    </row>
    <row r="74" spans="1:5" x14ac:dyDescent="0.2">
      <c r="A74" s="128" t="s">
        <v>3580</v>
      </c>
      <c r="C74" s="15">
        <f>trench_vol*VLOOKUP(0,backfill_cost_cl,3)</f>
        <v>513.88628569827972</v>
      </c>
    </row>
    <row r="75" spans="1:5" x14ac:dyDescent="0.2">
      <c r="A75" s="128" t="s">
        <v>3581</v>
      </c>
      <c r="C75" s="15">
        <f>block_vol*VLOOKUP(0,conc_basin_cost_cl,3)</f>
        <v>129.55725612826805</v>
      </c>
    </row>
    <row r="76" spans="1:5" x14ac:dyDescent="0.2">
      <c r="A76" s="128" t="s">
        <v>3582</v>
      </c>
      <c r="C76" s="15">
        <f>yard_pipe_length*SUMPRODUCT(OUTPUT!I177:I181,OUTPUT!L177:L181)</f>
        <v>352.28092638521696</v>
      </c>
      <c r="E76" s="7" t="s">
        <v>4422</v>
      </c>
    </row>
    <row r="77" spans="1:5" x14ac:dyDescent="0.2">
      <c r="A77" s="128" t="s">
        <v>3583</v>
      </c>
      <c r="B77" s="3" t="s">
        <v>415</v>
      </c>
      <c r="C77" s="68">
        <f>SUM(C72:C76)</f>
        <v>1945.4818219071321</v>
      </c>
    </row>
    <row r="79" spans="1:5" x14ac:dyDescent="0.2">
      <c r="A79" s="2" t="s">
        <v>2332</v>
      </c>
    </row>
    <row r="80" spans="1:5" x14ac:dyDescent="0.2">
      <c r="A80" s="128" t="s">
        <v>3390</v>
      </c>
      <c r="C80" s="14">
        <f>SUMPRODUCT(OUTPUT!J465:J477,OUTPUT!L465:L477)</f>
        <v>22834.0302499602</v>
      </c>
      <c r="D80" s="7" t="s">
        <v>3399</v>
      </c>
    </row>
    <row r="81" spans="1:5" x14ac:dyDescent="0.2">
      <c r="A81" s="128" t="s">
        <v>3391</v>
      </c>
      <c r="C81" s="14">
        <f>SUMPRODUCT(OUTPUT!L479:L491,OUTPUT!J479:J491)</f>
        <v>0</v>
      </c>
      <c r="D81" s="7" t="s">
        <v>3399</v>
      </c>
    </row>
    <row r="82" spans="1:5" x14ac:dyDescent="0.2">
      <c r="A82" s="128" t="s">
        <v>3392</v>
      </c>
      <c r="C82" s="14">
        <f>VLOOKUP(design_flow,UBC_mult_table_cl,3)*(BPCost_UBC97(C80)+BPCost_UBC97(C81))</f>
        <v>835.47499999999991</v>
      </c>
      <c r="D82" s="7" t="s">
        <v>4404</v>
      </c>
    </row>
    <row r="83" spans="1:5" x14ac:dyDescent="0.2">
      <c r="A83" s="128" t="s">
        <v>3393</v>
      </c>
      <c r="C83" s="14">
        <f>IF(res_s2_opt=1,VLOOKUP(res_flow_annual/365,NPDES_permit_cost_cl,2),0)</f>
        <v>0</v>
      </c>
      <c r="D83" s="7" t="s">
        <v>3400</v>
      </c>
    </row>
    <row r="84" spans="1:5" x14ac:dyDescent="0.2">
      <c r="A84" s="732" t="s">
        <v>4405</v>
      </c>
      <c r="C84" s="14">
        <f>IF(res_s2_opt=2,pretreat_permit_cost_cl,0)</f>
        <v>0</v>
      </c>
      <c r="D84" s="7" t="s">
        <v>4406</v>
      </c>
    </row>
    <row r="85" spans="1:5" x14ac:dyDescent="0.2">
      <c r="A85" s="128" t="s">
        <v>3394</v>
      </c>
      <c r="C85" s="14">
        <f>VLOOKUP(land_required,SW_permit_cost_cl,2)</f>
        <v>0</v>
      </c>
      <c r="D85" s="7" t="s">
        <v>1637</v>
      </c>
    </row>
    <row r="86" spans="1:5" x14ac:dyDescent="0.2">
      <c r="A86" s="128" t="s">
        <v>3395</v>
      </c>
      <c r="C86" s="14">
        <v>0</v>
      </c>
      <c r="D86" s="7" t="s">
        <v>1638</v>
      </c>
    </row>
    <row r="87" spans="1:5" x14ac:dyDescent="0.2">
      <c r="A87" s="128" t="s">
        <v>3396</v>
      </c>
      <c r="C87" s="14">
        <f>CHOOSE(include_NEPA,IF(res_s2_opt=1,NEPA_SW_cost_cl,0),IF(res_s2_opt=1,NEPA_SW_cost_cl,VLOOKUP(land_required,NEPA_cost_cl,2)),0)</f>
        <v>0</v>
      </c>
      <c r="D87" s="725" t="s">
        <v>4409</v>
      </c>
    </row>
    <row r="88" spans="1:5" x14ac:dyDescent="0.2">
      <c r="A88" s="128" t="s">
        <v>3397</v>
      </c>
      <c r="B88" s="3" t="s">
        <v>3398</v>
      </c>
      <c r="C88" s="14">
        <f>SUM(C82:C87)</f>
        <v>835.47499999999991</v>
      </c>
    </row>
    <row r="90" spans="1:5" x14ac:dyDescent="0.2">
      <c r="A90" s="2" t="s">
        <v>1747</v>
      </c>
    </row>
    <row r="91" spans="1:5" x14ac:dyDescent="0.2">
      <c r="A91" s="128" t="s">
        <v>1740</v>
      </c>
      <c r="C91" s="325">
        <f>br_ins_pct*direct_cost</f>
        <v>1263.8288527889131</v>
      </c>
    </row>
    <row r="92" spans="1:5" x14ac:dyDescent="0.2">
      <c r="A92" s="128" t="s">
        <v>1748</v>
      </c>
      <c r="C92" s="325">
        <f>include_bond*(VLOOKUP(direct_cost,performance_bond_table_cl,3)+VLOOKUP(direct_cost,performance_bond_table_cl,4)*(direct_cost-VLOOKUP(direct_cost,performance_bond_table_cl,5)))</f>
        <v>6575.7155270099101</v>
      </c>
      <c r="E92" s="7" t="s">
        <v>1749</v>
      </c>
    </row>
    <row r="93" spans="1:5" x14ac:dyDescent="0.2">
      <c r="A93" s="128" t="s">
        <v>1750</v>
      </c>
      <c r="C93" s="444">
        <f>VLOOKUP(direct_cost,construction_mgt_table_cl,3)</f>
        <v>0.06</v>
      </c>
      <c r="E93" s="7" t="s">
        <v>1751</v>
      </c>
    </row>
    <row r="94" spans="1:5" x14ac:dyDescent="0.2">
      <c r="A94" s="128" t="s">
        <v>1752</v>
      </c>
      <c r="C94" s="325">
        <f>IF(AND(design_type=1,ss_cat2=1),include_cm_pre,include_cm)*C93*direct_cost</f>
        <v>0</v>
      </c>
    </row>
    <row r="95" spans="1:5" x14ac:dyDescent="0.2">
      <c r="A95" s="128" t="s">
        <v>1753</v>
      </c>
      <c r="B95" s="3" t="s">
        <v>1754</v>
      </c>
      <c r="C95" s="325">
        <f>SUM(C91:C92,C94)</f>
        <v>7839.5443797988228</v>
      </c>
    </row>
    <row r="97" spans="1:3" x14ac:dyDescent="0.2">
      <c r="A97" s="2" t="s">
        <v>4434</v>
      </c>
    </row>
    <row r="98" spans="1:3" x14ac:dyDescent="0.2">
      <c r="A98" s="732" t="s">
        <v>4435</v>
      </c>
      <c r="B98" s="3" t="s">
        <v>4436</v>
      </c>
      <c r="C98" s="904">
        <f>Annualized_Capital_Cost/Annualized_Cost</f>
        <v>0.64536301763651482</v>
      </c>
    </row>
    <row r="99" spans="1:3" x14ac:dyDescent="0.2">
      <c r="A99" s="732" t="s">
        <v>4437</v>
      </c>
      <c r="B99" s="3" t="s">
        <v>4438</v>
      </c>
      <c r="C99" s="904">
        <f>om_cost/Annualized_Cost</f>
        <v>0.35463698236348512</v>
      </c>
    </row>
  </sheetData>
  <phoneticPr fontId="0" type="noConversion"/>
  <pageMargins left="0.75" right="0.75" top="1" bottom="1" header="0.5" footer="0.5"/>
  <pageSetup orientation="portrait" horizontalDpi="90" verticalDpi="90"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I86"/>
  <sheetViews>
    <sheetView zoomScaleNormal="100" workbookViewId="0">
      <pane xSplit="3" ySplit="8" topLeftCell="D9" activePane="bottomRight" state="frozen"/>
      <selection pane="topRight" activeCell="D1" sqref="D1"/>
      <selection pane="bottomLeft" activeCell="A9" sqref="A9"/>
      <selection pane="bottomRight"/>
    </sheetView>
  </sheetViews>
  <sheetFormatPr defaultRowHeight="12.75" x14ac:dyDescent="0.2"/>
  <cols>
    <col min="1" max="1" width="13.5703125" customWidth="1"/>
    <col min="5" max="5" width="9.140625" customWidth="1"/>
    <col min="6" max="9" width="10.5703125" customWidth="1"/>
    <col min="10" max="10" width="12.7109375" customWidth="1"/>
    <col min="11" max="11" width="12.42578125" customWidth="1"/>
    <col min="12" max="13" width="10.5703125" customWidth="1"/>
    <col min="14" max="14" width="31.5703125" customWidth="1"/>
    <col min="15" max="15" width="12.42578125" customWidth="1"/>
    <col min="16" max="16" width="12.85546875" customWidth="1"/>
    <col min="17" max="18" width="10.5703125" customWidth="1"/>
    <col min="19" max="19" width="9" customWidth="1"/>
    <col min="26" max="26" width="10.7109375" customWidth="1"/>
    <col min="27" max="28" width="13.85546875" customWidth="1"/>
    <col min="29" max="29" width="8.85546875" customWidth="1"/>
    <col min="30" max="31" width="11.5703125" customWidth="1"/>
    <col min="40" max="42" width="16" customWidth="1"/>
    <col min="43" max="43" width="12.5703125" customWidth="1"/>
    <col min="44" max="45" width="13.140625" customWidth="1"/>
    <col min="46" max="46" width="15.7109375" customWidth="1"/>
    <col min="47" max="47" width="14.42578125" customWidth="1"/>
    <col min="48" max="48" width="12" customWidth="1"/>
    <col min="49" max="49" width="15.140625" customWidth="1"/>
    <col min="50" max="50" width="13.7109375" customWidth="1"/>
    <col min="51" max="51" width="12.42578125" customWidth="1"/>
    <col min="52" max="52" width="16.42578125" customWidth="1"/>
    <col min="53" max="54" width="12.42578125" customWidth="1"/>
    <col min="55" max="55" width="15.7109375" customWidth="1"/>
    <col min="56" max="56" width="35.42578125" customWidth="1"/>
    <col min="59" max="59" width="8.7109375" customWidth="1"/>
  </cols>
  <sheetData>
    <row r="1" spans="1:61" x14ac:dyDescent="0.2">
      <c r="A1" s="1" t="s">
        <v>3382</v>
      </c>
      <c r="X1" s="9"/>
      <c r="Y1" s="9"/>
      <c r="Z1" s="9"/>
      <c r="AC1" s="9"/>
      <c r="AD1" s="9"/>
      <c r="AE1" s="9"/>
      <c r="AF1" s="9"/>
      <c r="AG1" s="9"/>
      <c r="AH1" s="9"/>
      <c r="AI1" s="9"/>
      <c r="AJ1" s="9"/>
      <c r="AK1" s="9"/>
      <c r="AL1" s="9"/>
      <c r="AM1" s="9"/>
    </row>
    <row r="2" spans="1:61" x14ac:dyDescent="0.2">
      <c r="A2" s="7" t="s">
        <v>1989</v>
      </c>
      <c r="X2" s="9"/>
      <c r="Y2" s="9"/>
      <c r="Z2" s="9"/>
      <c r="AC2" s="9"/>
      <c r="AD2" s="9"/>
      <c r="AE2" s="9"/>
      <c r="AF2" s="9"/>
      <c r="AG2" s="9"/>
      <c r="AH2" s="9"/>
      <c r="AI2" s="9"/>
      <c r="AJ2" s="9"/>
      <c r="AK2" s="9"/>
      <c r="AL2" s="9"/>
      <c r="AM2" s="9"/>
    </row>
    <row r="3" spans="1:61" x14ac:dyDescent="0.2">
      <c r="A3" s="7"/>
      <c r="X3" s="9"/>
      <c r="Y3" s="9"/>
      <c r="Z3" s="9"/>
      <c r="AC3" s="9"/>
      <c r="AD3" s="9"/>
      <c r="AE3" s="9"/>
      <c r="AF3" s="9"/>
      <c r="AG3" s="9"/>
      <c r="AH3" s="9"/>
      <c r="AI3" s="9"/>
      <c r="AJ3" s="9"/>
      <c r="AK3" s="9"/>
      <c r="AL3" s="9"/>
      <c r="AM3" s="9"/>
    </row>
    <row r="4" spans="1:61" x14ac:dyDescent="0.2">
      <c r="C4" s="288"/>
      <c r="D4" s="45"/>
      <c r="G4" s="45"/>
      <c r="H4" s="45"/>
      <c r="I4" s="45"/>
      <c r="J4" s="45"/>
      <c r="K4" s="45"/>
      <c r="L4" s="45"/>
      <c r="M4" s="45"/>
      <c r="N4" s="45"/>
      <c r="O4" s="45"/>
      <c r="P4" s="45"/>
      <c r="X4" s="9"/>
      <c r="Y4" s="9"/>
      <c r="Z4" s="9"/>
      <c r="AC4" s="9"/>
      <c r="AD4" s="9"/>
      <c r="AE4" s="9"/>
      <c r="AF4" s="9"/>
      <c r="AG4" s="9"/>
      <c r="AH4" s="9"/>
      <c r="AI4" s="9"/>
      <c r="AJ4" s="9"/>
      <c r="AK4" s="9"/>
      <c r="AL4" s="9"/>
      <c r="AM4" s="9"/>
      <c r="BE4" s="45"/>
      <c r="BF4" s="45"/>
    </row>
    <row r="5" spans="1:61" s="45" customFormat="1" x14ac:dyDescent="0.2">
      <c r="C5" s="288"/>
      <c r="Q5"/>
      <c r="R5"/>
      <c r="S5"/>
      <c r="T5"/>
      <c r="U5"/>
      <c r="V5" s="9"/>
      <c r="W5" s="9"/>
      <c r="X5" s="9"/>
      <c r="Y5" s="9"/>
      <c r="Z5" s="9"/>
      <c r="AA5" s="19"/>
      <c r="AB5" s="19"/>
      <c r="AC5" s="9"/>
      <c r="AD5" s="9"/>
      <c r="AE5" s="9"/>
      <c r="AF5" s="9"/>
      <c r="AG5" s="9"/>
      <c r="AH5" s="9"/>
      <c r="AI5" s="9"/>
      <c r="AJ5" s="9"/>
      <c r="AK5" s="9"/>
      <c r="AL5" s="9"/>
      <c r="AM5" s="9"/>
      <c r="AN5" s="19"/>
      <c r="AO5" s="19"/>
      <c r="AP5" s="19"/>
      <c r="AQ5" s="19"/>
      <c r="AR5" s="19"/>
      <c r="AS5" s="19"/>
      <c r="AT5" s="19"/>
      <c r="AU5" s="19"/>
      <c r="AV5"/>
      <c r="AW5"/>
      <c r="AX5"/>
      <c r="AY5"/>
      <c r="AZ5"/>
      <c r="BA5"/>
      <c r="BB5"/>
      <c r="BC5"/>
    </row>
    <row r="6" spans="1:61" x14ac:dyDescent="0.2">
      <c r="A6" s="1038" t="s">
        <v>3830</v>
      </c>
      <c r="B6" s="1039"/>
      <c r="C6" s="1040"/>
      <c r="D6" s="1038" t="s">
        <v>3383</v>
      </c>
      <c r="E6" s="1039"/>
      <c r="F6" s="1039"/>
      <c r="G6" s="1040"/>
      <c r="H6" s="1038" t="s">
        <v>2119</v>
      </c>
      <c r="I6" s="1039"/>
      <c r="J6" s="1039"/>
      <c r="K6" s="1039"/>
      <c r="L6" s="1039"/>
      <c r="M6" s="1040"/>
      <c r="N6" s="1044" t="s">
        <v>2120</v>
      </c>
      <c r="O6" s="1044"/>
      <c r="P6" s="1044"/>
      <c r="Q6" s="711" t="s">
        <v>3653</v>
      </c>
      <c r="R6" s="1038" t="s">
        <v>3104</v>
      </c>
      <c r="S6" s="1039"/>
      <c r="T6" s="1039"/>
      <c r="U6" s="1039"/>
      <c r="V6" s="1040"/>
      <c r="W6" s="1038" t="s">
        <v>2122</v>
      </c>
      <c r="X6" s="1039"/>
      <c r="Y6" s="1039"/>
      <c r="Z6" s="1040"/>
      <c r="AA6" s="1038" t="s">
        <v>3103</v>
      </c>
      <c r="AB6" s="1039"/>
      <c r="AC6" s="1039"/>
      <c r="AD6" s="1040"/>
      <c r="AE6" s="1038" t="s">
        <v>3831</v>
      </c>
      <c r="AF6" s="1039"/>
      <c r="AG6" s="1039"/>
      <c r="AH6" s="1040"/>
      <c r="AI6" s="1038" t="s">
        <v>3832</v>
      </c>
      <c r="AJ6" s="1039"/>
      <c r="AK6" s="1039"/>
      <c r="AL6" s="1039"/>
      <c r="AM6" s="1040"/>
      <c r="AN6" s="1043" t="s">
        <v>1769</v>
      </c>
      <c r="AO6" s="1044"/>
      <c r="AP6" s="1044"/>
      <c r="AQ6" s="1044"/>
      <c r="AR6" s="1044"/>
      <c r="AS6" s="1044"/>
      <c r="AT6" s="1045"/>
      <c r="AU6" s="1041" t="s">
        <v>34</v>
      </c>
      <c r="AV6" s="1041"/>
      <c r="AW6" s="1041"/>
      <c r="AX6" s="1041"/>
      <c r="AY6" s="1041"/>
      <c r="AZ6" s="1041"/>
      <c r="BA6" s="1041"/>
      <c r="BB6" s="1041"/>
      <c r="BC6" s="1042"/>
    </row>
    <row r="7" spans="1:61" ht="51" customHeight="1" x14ac:dyDescent="0.2">
      <c r="A7" s="705" t="s">
        <v>3814</v>
      </c>
      <c r="B7" s="45" t="s">
        <v>3691</v>
      </c>
      <c r="C7" s="706" t="s">
        <v>2459</v>
      </c>
      <c r="D7" s="74" t="s">
        <v>3384</v>
      </c>
      <c r="E7" s="74" t="s">
        <v>3385</v>
      </c>
      <c r="F7" s="74" t="s">
        <v>601</v>
      </c>
      <c r="G7" s="289" t="s">
        <v>2184</v>
      </c>
      <c r="H7" s="707" t="s">
        <v>3200</v>
      </c>
      <c r="I7" s="45" t="s">
        <v>2115</v>
      </c>
      <c r="J7" s="45" t="s">
        <v>2416</v>
      </c>
      <c r="K7" s="45" t="s">
        <v>2116</v>
      </c>
      <c r="L7" s="45" t="s">
        <v>2117</v>
      </c>
      <c r="M7" s="45" t="s">
        <v>2118</v>
      </c>
      <c r="N7" s="708" t="s">
        <v>2121</v>
      </c>
      <c r="O7" s="710" t="s">
        <v>3124</v>
      </c>
      <c r="P7" s="710" t="s">
        <v>3125</v>
      </c>
      <c r="Q7" s="712" t="s">
        <v>3653</v>
      </c>
      <c r="R7" s="45" t="s">
        <v>4388</v>
      </c>
      <c r="S7" s="74" t="s">
        <v>2185</v>
      </c>
      <c r="T7" s="74" t="s">
        <v>2186</v>
      </c>
      <c r="U7" s="74" t="s">
        <v>33</v>
      </c>
      <c r="V7" s="289" t="s">
        <v>2460</v>
      </c>
      <c r="W7" s="708" t="s">
        <v>4390</v>
      </c>
      <c r="X7" s="74" t="s">
        <v>2618</v>
      </c>
      <c r="Y7" s="74" t="s">
        <v>2620</v>
      </c>
      <c r="Z7" s="289" t="s">
        <v>2185</v>
      </c>
      <c r="AA7" s="713" t="s">
        <v>3102</v>
      </c>
      <c r="AB7" s="582" t="s">
        <v>1965</v>
      </c>
      <c r="AC7" s="74" t="s">
        <v>2968</v>
      </c>
      <c r="AD7" s="714" t="s">
        <v>354</v>
      </c>
      <c r="AE7" s="708" t="s">
        <v>4392</v>
      </c>
      <c r="AF7" s="74" t="s">
        <v>2618</v>
      </c>
      <c r="AG7" s="74" t="s">
        <v>2620</v>
      </c>
      <c r="AH7" s="289" t="s">
        <v>603</v>
      </c>
      <c r="AI7" s="708" t="s">
        <v>4393</v>
      </c>
      <c r="AJ7" s="74" t="s">
        <v>3105</v>
      </c>
      <c r="AK7" s="74" t="s">
        <v>543</v>
      </c>
      <c r="AL7" s="74" t="s">
        <v>3106</v>
      </c>
      <c r="AM7" s="74" t="s">
        <v>2460</v>
      </c>
      <c r="AN7" s="719" t="s">
        <v>1915</v>
      </c>
      <c r="AO7" s="716" t="s">
        <v>1916</v>
      </c>
      <c r="AP7" s="299" t="s">
        <v>3433</v>
      </c>
      <c r="AQ7" s="299" t="s">
        <v>1909</v>
      </c>
      <c r="AR7" s="299" t="s">
        <v>1910</v>
      </c>
      <c r="AS7" s="716" t="s">
        <v>758</v>
      </c>
      <c r="AT7" s="300" t="s">
        <v>2190</v>
      </c>
      <c r="AU7" s="698" t="s">
        <v>3833</v>
      </c>
      <c r="AV7" s="698" t="s">
        <v>3834</v>
      </c>
      <c r="AW7" s="74" t="s">
        <v>3401</v>
      </c>
      <c r="AX7" s="74" t="s">
        <v>3402</v>
      </c>
      <c r="AY7" s="74" t="s">
        <v>2182</v>
      </c>
      <c r="AZ7" s="299" t="s">
        <v>2451</v>
      </c>
      <c r="BA7" s="74" t="s">
        <v>4163</v>
      </c>
      <c r="BB7" s="74" t="s">
        <v>4166</v>
      </c>
      <c r="BC7" s="289" t="s">
        <v>4169</v>
      </c>
      <c r="BD7" s="720" t="s">
        <v>3835</v>
      </c>
      <c r="BE7" s="1037" t="s">
        <v>3965</v>
      </c>
      <c r="BF7" s="1037"/>
      <c r="BG7" s="1037"/>
      <c r="BH7" s="1037"/>
      <c r="BI7" s="720"/>
    </row>
    <row r="8" spans="1:61" x14ac:dyDescent="0.2">
      <c r="A8" s="702"/>
      <c r="B8" s="703"/>
      <c r="C8" s="704"/>
      <c r="D8" s="291" t="s">
        <v>598</v>
      </c>
      <c r="E8" s="291" t="s">
        <v>3386</v>
      </c>
      <c r="F8" s="291" t="s">
        <v>602</v>
      </c>
      <c r="G8" s="291" t="s">
        <v>600</v>
      </c>
      <c r="H8" s="290" t="s">
        <v>1797</v>
      </c>
      <c r="I8" s="291" t="s">
        <v>3201</v>
      </c>
      <c r="J8" s="291" t="s">
        <v>2417</v>
      </c>
      <c r="K8" s="291" t="s">
        <v>3207</v>
      </c>
      <c r="L8" s="291" t="s">
        <v>2123</v>
      </c>
      <c r="M8" s="291" t="s">
        <v>3206</v>
      </c>
      <c r="N8" s="290" t="s">
        <v>3208</v>
      </c>
      <c r="O8" s="291" t="s">
        <v>2363</v>
      </c>
      <c r="P8" s="291" t="s">
        <v>2364</v>
      </c>
      <c r="Q8" s="665" t="s">
        <v>1418</v>
      </c>
      <c r="R8" s="112" t="s">
        <v>4389</v>
      </c>
      <c r="S8" s="291" t="s">
        <v>607</v>
      </c>
      <c r="T8" s="291" t="s">
        <v>2162</v>
      </c>
      <c r="U8" s="291" t="s">
        <v>3360</v>
      </c>
      <c r="V8" s="292" t="s">
        <v>3361</v>
      </c>
      <c r="W8" s="715" t="s">
        <v>4391</v>
      </c>
      <c r="X8" s="3" t="s">
        <v>2619</v>
      </c>
      <c r="Y8" s="3" t="s">
        <v>2621</v>
      </c>
      <c r="Z8" s="709" t="s">
        <v>2622</v>
      </c>
      <c r="AA8" s="715" t="s">
        <v>1964</v>
      </c>
      <c r="AB8" s="112" t="s">
        <v>1917</v>
      </c>
      <c r="AC8" s="3" t="s">
        <v>2969</v>
      </c>
      <c r="AD8" s="709" t="s">
        <v>353</v>
      </c>
      <c r="AE8" s="715" t="s">
        <v>4394</v>
      </c>
      <c r="AF8" s="3" t="s">
        <v>2978</v>
      </c>
      <c r="AG8" s="3" t="s">
        <v>2977</v>
      </c>
      <c r="AH8" s="709" t="s">
        <v>2979</v>
      </c>
      <c r="AI8" s="715" t="s">
        <v>4395</v>
      </c>
      <c r="AJ8" s="3" t="s">
        <v>2980</v>
      </c>
      <c r="AK8" s="3" t="s">
        <v>2981</v>
      </c>
      <c r="AL8" s="3" t="s">
        <v>2982</v>
      </c>
      <c r="AM8" s="3" t="s">
        <v>2983</v>
      </c>
      <c r="AN8" s="717" t="s">
        <v>1908</v>
      </c>
      <c r="AO8" s="113" t="s">
        <v>1918</v>
      </c>
      <c r="AP8" s="113" t="s">
        <v>3434</v>
      </c>
      <c r="AQ8" s="113" t="s">
        <v>420</v>
      </c>
      <c r="AR8" s="113" t="s">
        <v>421</v>
      </c>
      <c r="AS8" s="113" t="s">
        <v>657</v>
      </c>
      <c r="AT8" s="718" t="s">
        <v>2124</v>
      </c>
      <c r="AU8" s="291" t="s">
        <v>2125</v>
      </c>
      <c r="AV8" s="291" t="s">
        <v>392</v>
      </c>
      <c r="AW8" s="291" t="s">
        <v>1486</v>
      </c>
      <c r="AX8" s="291" t="s">
        <v>3407</v>
      </c>
      <c r="AY8" s="291" t="s">
        <v>3609</v>
      </c>
      <c r="AZ8" s="291" t="s">
        <v>3341</v>
      </c>
      <c r="BA8" s="291" t="s">
        <v>4164</v>
      </c>
      <c r="BB8" s="291" t="s">
        <v>4167</v>
      </c>
      <c r="BC8" s="292" t="s">
        <v>4170</v>
      </c>
      <c r="BE8" s="899" t="s">
        <v>4400</v>
      </c>
      <c r="BF8" s="899" t="s">
        <v>4401</v>
      </c>
      <c r="BG8" s="899" t="s">
        <v>4402</v>
      </c>
      <c r="BH8" s="899" t="s">
        <v>4403</v>
      </c>
    </row>
    <row r="9" spans="1:61" x14ac:dyDescent="0.2">
      <c r="A9" s="16">
        <v>1</v>
      </c>
      <c r="B9" s="16">
        <v>1</v>
      </c>
      <c r="C9" s="295">
        <v>1</v>
      </c>
      <c r="D9" s="294">
        <v>0.03</v>
      </c>
      <c r="E9" t="s">
        <v>597</v>
      </c>
      <c r="F9" s="16">
        <v>7.0000000000000001E-3</v>
      </c>
      <c r="G9" t="s">
        <v>597</v>
      </c>
      <c r="H9" s="123" t="s">
        <v>3203</v>
      </c>
      <c r="I9">
        <v>10</v>
      </c>
      <c r="J9">
        <v>8</v>
      </c>
      <c r="N9" s="326" t="s">
        <v>2404</v>
      </c>
      <c r="O9" s="268"/>
      <c r="P9" s="268">
        <v>1</v>
      </c>
      <c r="Q9" s="518">
        <v>12</v>
      </c>
      <c r="R9" t="s">
        <v>1340</v>
      </c>
      <c r="S9" s="17"/>
      <c r="T9" s="268"/>
      <c r="V9" s="327"/>
      <c r="W9" s="326"/>
      <c r="X9" s="405"/>
      <c r="Y9" s="405"/>
      <c r="Z9" s="406"/>
      <c r="AA9" s="326" t="s">
        <v>2967</v>
      </c>
      <c r="AB9" s="268" t="s">
        <v>1340</v>
      </c>
      <c r="AC9" s="268" t="s">
        <v>4188</v>
      </c>
      <c r="AD9" s="668" t="s">
        <v>1340</v>
      </c>
      <c r="AE9" s="894"/>
      <c r="AF9" s="405"/>
      <c r="AG9" s="405"/>
      <c r="AH9" s="406"/>
      <c r="AI9" s="404" t="s">
        <v>1340</v>
      </c>
      <c r="AJ9" s="268">
        <v>3</v>
      </c>
      <c r="AK9" s="268" t="s">
        <v>2163</v>
      </c>
      <c r="AL9" s="405">
        <v>5.5</v>
      </c>
      <c r="AM9" s="405">
        <v>2</v>
      </c>
      <c r="AN9" s="326">
        <v>24</v>
      </c>
      <c r="AO9" s="268">
        <v>36</v>
      </c>
      <c r="AP9" s="268" t="s">
        <v>1340</v>
      </c>
      <c r="AQ9" s="268" t="s">
        <v>1283</v>
      </c>
      <c r="AR9" s="268" t="s">
        <v>418</v>
      </c>
      <c r="AS9" s="268" t="s">
        <v>658</v>
      </c>
      <c r="AT9" s="327" t="s">
        <v>419</v>
      </c>
      <c r="AZ9" s="694" t="s">
        <v>2419</v>
      </c>
      <c r="BC9" s="327"/>
      <c r="BD9" s="694" t="s">
        <v>3836</v>
      </c>
      <c r="BE9" t="b">
        <f t="array" ref="BE9">IF(OR(R9="yes",W9="yes"),BG9,BH9)</f>
        <v>0</v>
      </c>
      <c r="BF9" t="b">
        <f t="array" ref="BF9">AND(D9:G9=inp_used_minimal,A9=inp_usersel)</f>
        <v>0</v>
      </c>
      <c r="BG9" t="b">
        <f t="array" ref="BG9">AND(A9=inp_usersel,D9:Q9=inp_used_nonvessel1,AA9:AD9=inp_used_nonvessel2,AN9:BC9=inp_used_nonvessel3,IF(B9=2,inp_used_gravity=inp_autosize_gravity,inp_used_pressure=inp_autosize_pressure),IF(AC9="pressure vessels",inp_used_filt_pressure=inp_autosize_filt_pressure,IF(AC9="gravity basins",inp_used_filt_gravity=inp_autosize_filt_gravity,TRUE)))</f>
        <v>0</v>
      </c>
      <c r="BH9" t="b">
        <f t="array" ref="BH9">AND(A9=inp_usersel,D9:BC9=inp_used)</f>
        <v>0</v>
      </c>
    </row>
    <row r="10" spans="1:61" x14ac:dyDescent="0.2">
      <c r="A10" s="16">
        <v>1</v>
      </c>
      <c r="B10" s="16">
        <v>1</v>
      </c>
      <c r="C10" s="295">
        <v>2</v>
      </c>
      <c r="D10" s="294">
        <v>0.124</v>
      </c>
      <c r="E10" t="s">
        <v>597</v>
      </c>
      <c r="F10" s="16">
        <v>3.5000000000000003E-2</v>
      </c>
      <c r="G10" t="s">
        <v>597</v>
      </c>
      <c r="H10" s="123" t="s">
        <v>3203</v>
      </c>
      <c r="I10">
        <v>10</v>
      </c>
      <c r="J10">
        <v>8</v>
      </c>
      <c r="K10" s="694"/>
      <c r="N10" s="123" t="s">
        <v>2404</v>
      </c>
      <c r="P10">
        <v>1</v>
      </c>
      <c r="Q10" s="296">
        <v>12</v>
      </c>
      <c r="R10" t="s">
        <v>1340</v>
      </c>
      <c r="S10" s="17"/>
      <c r="V10" s="146"/>
      <c r="W10" s="890"/>
      <c r="X10" s="401"/>
      <c r="Y10" s="401"/>
      <c r="Z10" s="407"/>
      <c r="AA10" s="123" t="s">
        <v>2967</v>
      </c>
      <c r="AB10" t="s">
        <v>1340</v>
      </c>
      <c r="AC10" t="s">
        <v>4188</v>
      </c>
      <c r="AD10" s="669" t="s">
        <v>1340</v>
      </c>
      <c r="AE10" s="895"/>
      <c r="AF10" s="401"/>
      <c r="AG10" s="401"/>
      <c r="AH10" s="407"/>
      <c r="AI10" s="891" t="s">
        <v>1340</v>
      </c>
      <c r="AJ10">
        <v>4.5999999999999996</v>
      </c>
      <c r="AK10" t="s">
        <v>2163</v>
      </c>
      <c r="AL10" s="401">
        <v>8</v>
      </c>
      <c r="AM10" s="401">
        <v>4</v>
      </c>
      <c r="AN10" s="123">
        <v>24</v>
      </c>
      <c r="AO10">
        <v>36</v>
      </c>
      <c r="AP10" t="s">
        <v>1340</v>
      </c>
      <c r="AQ10" t="s">
        <v>1283</v>
      </c>
      <c r="AR10" t="s">
        <v>418</v>
      </c>
      <c r="AS10" t="s">
        <v>658</v>
      </c>
      <c r="AT10" s="146" t="s">
        <v>419</v>
      </c>
      <c r="AZ10" t="s">
        <v>2419</v>
      </c>
      <c r="BC10" s="146"/>
      <c r="BE10" t="b">
        <f t="array" ref="BE10">IF(OR(R10="yes",W10="yes"),BG10,BH10)</f>
        <v>1</v>
      </c>
      <c r="BF10" t="b">
        <f t="array" ref="BF10">AND(D10:G10=inp_used_minimal,A10=inp_usersel)</f>
        <v>1</v>
      </c>
      <c r="BG10" t="b">
        <f t="array" ref="BG10">AND(A10=inp_usersel,D10:Q10=inp_used_nonvessel1,AA10:AD10=inp_used_nonvessel2,AN10:BC10=inp_used_nonvessel3,IF(B10=2,inp_used_gravity=inp_autosize_gravity,inp_used_pressure=inp_autosize_pressure),IF(AC10="pressure vessels",inp_used_filt_pressure=inp_autosize_filt_pressure,IF(AC10="gravity basins",inp_used_filt_gravity=inp_autosize_filt_gravity,TRUE)))</f>
        <v>1</v>
      </c>
      <c r="BH10" t="b">
        <f t="array" ref="BH10">AND(A10=inp_usersel,D10:BC10=inp_used)</f>
        <v>0</v>
      </c>
    </row>
    <row r="11" spans="1:61" x14ac:dyDescent="0.2">
      <c r="A11" s="16">
        <v>1</v>
      </c>
      <c r="B11" s="16">
        <v>1</v>
      </c>
      <c r="C11" s="295">
        <v>3</v>
      </c>
      <c r="D11" s="294">
        <v>0.30499999999999999</v>
      </c>
      <c r="E11" t="s">
        <v>597</v>
      </c>
      <c r="F11" s="16">
        <v>9.4E-2</v>
      </c>
      <c r="G11" t="s">
        <v>597</v>
      </c>
      <c r="H11" s="123" t="s">
        <v>3203</v>
      </c>
      <c r="I11">
        <v>10</v>
      </c>
      <c r="J11">
        <v>8</v>
      </c>
      <c r="N11" s="123" t="s">
        <v>2404</v>
      </c>
      <c r="P11">
        <v>1</v>
      </c>
      <c r="Q11" s="296">
        <v>12</v>
      </c>
      <c r="R11" t="s">
        <v>1340</v>
      </c>
      <c r="S11" s="17"/>
      <c r="V11" s="146"/>
      <c r="W11" s="890"/>
      <c r="X11" s="401"/>
      <c r="Y11" s="401"/>
      <c r="Z11" s="407"/>
      <c r="AA11" s="123" t="s">
        <v>2967</v>
      </c>
      <c r="AB11" t="s">
        <v>1340</v>
      </c>
      <c r="AC11" t="s">
        <v>4188</v>
      </c>
      <c r="AD11" s="669" t="s">
        <v>1340</v>
      </c>
      <c r="AE11" s="895"/>
      <c r="AF11" s="401"/>
      <c r="AG11" s="401"/>
      <c r="AH11" s="407"/>
      <c r="AI11" s="891" t="s">
        <v>1340</v>
      </c>
      <c r="AJ11">
        <v>4.9000000000000004</v>
      </c>
      <c r="AK11" t="s">
        <v>2163</v>
      </c>
      <c r="AL11" s="401">
        <v>8.5</v>
      </c>
      <c r="AM11" s="401">
        <v>5</v>
      </c>
      <c r="AN11" s="123">
        <v>24</v>
      </c>
      <c r="AO11">
        <v>36</v>
      </c>
      <c r="AP11" t="s">
        <v>1340</v>
      </c>
      <c r="AQ11" t="s">
        <v>1283</v>
      </c>
      <c r="AR11" t="s">
        <v>418</v>
      </c>
      <c r="AS11" t="s">
        <v>658</v>
      </c>
      <c r="AT11" s="146" t="s">
        <v>419</v>
      </c>
      <c r="AZ11" t="s">
        <v>2419</v>
      </c>
      <c r="BC11" s="146"/>
      <c r="BE11" t="b">
        <f t="array" ref="BE11">IF(OR(R11="yes",W11="yes"),BG11,BH11)</f>
        <v>0</v>
      </c>
      <c r="BF11" t="b">
        <f t="array" ref="BF11">AND(D11:G11=inp_used_minimal,A11=inp_usersel)</f>
        <v>0</v>
      </c>
      <c r="BG11" t="b">
        <f t="array" ref="BG11">AND(A11=inp_usersel,D11:Q11=inp_used_nonvessel1,AA11:AD11=inp_used_nonvessel2,AN11:BC11=inp_used_nonvessel3,IF(B11=2,inp_used_gravity=inp_autosize_gravity,inp_used_pressure=inp_autosize_pressure),IF(AC11="pressure vessels",inp_used_filt_pressure=inp_autosize_filt_pressure,IF(AC11="gravity basins",inp_used_filt_gravity=inp_autosize_filt_gravity,TRUE)))</f>
        <v>0</v>
      </c>
      <c r="BH11" t="b">
        <f t="array" ref="BH11">AND(A11=inp_usersel,D11:BC11=inp_used)</f>
        <v>0</v>
      </c>
    </row>
    <row r="12" spans="1:61" x14ac:dyDescent="0.2">
      <c r="A12" s="16">
        <v>1</v>
      </c>
      <c r="B12" s="16">
        <v>1</v>
      </c>
      <c r="C12" s="295">
        <v>4</v>
      </c>
      <c r="D12" s="294">
        <v>0.74</v>
      </c>
      <c r="E12" t="s">
        <v>597</v>
      </c>
      <c r="F12" s="16">
        <v>0.251</v>
      </c>
      <c r="G12" t="s">
        <v>597</v>
      </c>
      <c r="H12" s="123" t="s">
        <v>3203</v>
      </c>
      <c r="I12">
        <v>10</v>
      </c>
      <c r="J12">
        <v>8</v>
      </c>
      <c r="N12" s="123" t="s">
        <v>2404</v>
      </c>
      <c r="P12">
        <v>1</v>
      </c>
      <c r="Q12" s="296">
        <v>12</v>
      </c>
      <c r="R12" t="s">
        <v>1340</v>
      </c>
      <c r="S12" s="17"/>
      <c r="V12" s="146"/>
      <c r="W12" s="890"/>
      <c r="X12" s="401"/>
      <c r="Y12" s="401"/>
      <c r="Z12" s="407"/>
      <c r="AA12" s="123" t="s">
        <v>2967</v>
      </c>
      <c r="AB12" t="s">
        <v>1340</v>
      </c>
      <c r="AC12" t="s">
        <v>4188</v>
      </c>
      <c r="AD12" s="669" t="s">
        <v>1340</v>
      </c>
      <c r="AE12" s="895"/>
      <c r="AF12" s="401"/>
      <c r="AG12" s="401"/>
      <c r="AH12" s="407"/>
      <c r="AI12" s="891" t="s">
        <v>1340</v>
      </c>
      <c r="AJ12">
        <v>4.5999999999999996</v>
      </c>
      <c r="AK12" t="s">
        <v>2163</v>
      </c>
      <c r="AL12" s="401">
        <v>8</v>
      </c>
      <c r="AM12" s="401">
        <v>8</v>
      </c>
      <c r="AN12" s="123">
        <v>24</v>
      </c>
      <c r="AO12">
        <v>36</v>
      </c>
      <c r="AP12" t="s">
        <v>1340</v>
      </c>
      <c r="AQ12" t="s">
        <v>1283</v>
      </c>
      <c r="AR12" t="s">
        <v>418</v>
      </c>
      <c r="AS12" t="s">
        <v>658</v>
      </c>
      <c r="AT12" s="146" t="s">
        <v>419</v>
      </c>
      <c r="AZ12" t="s">
        <v>2419</v>
      </c>
      <c r="BC12" s="146"/>
      <c r="BE12" t="b">
        <f t="array" ref="BE12">IF(OR(R12="yes",W12="yes"),BG12,BH12)</f>
        <v>0</v>
      </c>
      <c r="BF12" t="b">
        <f t="array" ref="BF12">AND(D12:G12=inp_used_minimal,A12=inp_usersel)</f>
        <v>0</v>
      </c>
      <c r="BG12" t="b">
        <f t="array" ref="BG12">AND(A12=inp_usersel,D12:Q12=inp_used_nonvessel1,AA12:AD12=inp_used_nonvessel2,AN12:BC12=inp_used_nonvessel3,IF(B12=2,inp_used_gravity=inp_autosize_gravity,inp_used_pressure=inp_autosize_pressure),IF(AC12="pressure vessels",inp_used_filt_pressure=inp_autosize_filt_pressure,IF(AC12="gravity basins",inp_used_filt_gravity=inp_autosize_filt_gravity,TRUE)))</f>
        <v>0</v>
      </c>
      <c r="BH12" t="b">
        <f t="array" ref="BH12">AND(A12=inp_usersel,D12:BC12=inp_used)</f>
        <v>0</v>
      </c>
    </row>
    <row r="13" spans="1:61" x14ac:dyDescent="0.2">
      <c r="A13" s="16">
        <v>1</v>
      </c>
      <c r="B13" s="16">
        <v>1</v>
      </c>
      <c r="C13" s="296">
        <v>5</v>
      </c>
      <c r="D13" s="123">
        <v>2.1520000000000001</v>
      </c>
      <c r="E13" t="s">
        <v>597</v>
      </c>
      <c r="F13">
        <v>0.81899999999999995</v>
      </c>
      <c r="G13" t="s">
        <v>597</v>
      </c>
      <c r="H13" s="123" t="s">
        <v>3203</v>
      </c>
      <c r="I13">
        <v>10</v>
      </c>
      <c r="J13">
        <v>8</v>
      </c>
      <c r="N13" s="123" t="s">
        <v>2404</v>
      </c>
      <c r="P13">
        <v>1</v>
      </c>
      <c r="Q13" s="296">
        <v>12</v>
      </c>
      <c r="R13" t="s">
        <v>1340</v>
      </c>
      <c r="S13" s="17"/>
      <c r="V13" s="146"/>
      <c r="W13" s="890"/>
      <c r="X13" s="401"/>
      <c r="Y13" s="401"/>
      <c r="Z13" s="407"/>
      <c r="AA13" s="123" t="s">
        <v>2967</v>
      </c>
      <c r="AB13" t="s">
        <v>1340</v>
      </c>
      <c r="AC13" t="s">
        <v>2970</v>
      </c>
      <c r="AD13" s="669" t="s">
        <v>1340</v>
      </c>
      <c r="AE13" s="898" t="s">
        <v>1340</v>
      </c>
      <c r="AF13" s="401">
        <v>8.5</v>
      </c>
      <c r="AG13" s="401">
        <v>8.5</v>
      </c>
      <c r="AH13" s="407">
        <v>7</v>
      </c>
      <c r="AI13" s="891"/>
      <c r="AL13" s="401"/>
      <c r="AM13" s="401"/>
      <c r="AN13" s="123">
        <v>24</v>
      </c>
      <c r="AO13">
        <v>36</v>
      </c>
      <c r="AP13" t="s">
        <v>1340</v>
      </c>
      <c r="AQ13" t="s">
        <v>1283</v>
      </c>
      <c r="AR13" t="s">
        <v>418</v>
      </c>
      <c r="AS13" t="s">
        <v>658</v>
      </c>
      <c r="AT13" s="146" t="s">
        <v>419</v>
      </c>
      <c r="AZ13" t="s">
        <v>2419</v>
      </c>
      <c r="BC13" s="146"/>
      <c r="BE13" t="b">
        <f t="array" ref="BE13">IF(OR(R13="yes",W13="yes"),BG13,BH13)</f>
        <v>0</v>
      </c>
      <c r="BF13" t="b">
        <f t="array" ref="BF13">AND(D13:G13=inp_used_minimal,A13=inp_usersel)</f>
        <v>0</v>
      </c>
      <c r="BG13" t="b">
        <f t="array" ref="BG13">AND(A13=inp_usersel,D13:Q13=inp_used_nonvessel1,AA13:AD13=inp_used_nonvessel2,AN13:BC13=inp_used_nonvessel3,IF(B13=2,inp_used_gravity=inp_autosize_gravity,inp_used_pressure=inp_autosize_pressure),IF(AC13="pressure vessels",inp_used_filt_pressure=inp_autosize_filt_pressure,IF(AC13="gravity basins",inp_used_filt_gravity=inp_autosize_filt_gravity,TRUE)))</f>
        <v>0</v>
      </c>
      <c r="BH13" t="b">
        <f t="array" ref="BH13">AND(A13=inp_usersel,D13:BC13=inp_used)</f>
        <v>0</v>
      </c>
    </row>
    <row r="14" spans="1:61" x14ac:dyDescent="0.2">
      <c r="A14" s="16">
        <v>1</v>
      </c>
      <c r="B14" s="16">
        <v>1</v>
      </c>
      <c r="C14" s="296">
        <v>6</v>
      </c>
      <c r="D14" s="123">
        <v>7.3650000000000002</v>
      </c>
      <c r="E14" t="s">
        <v>597</v>
      </c>
      <c r="F14">
        <v>3.2</v>
      </c>
      <c r="G14" t="s">
        <v>597</v>
      </c>
      <c r="H14" s="123" t="s">
        <v>3203</v>
      </c>
      <c r="I14">
        <v>10</v>
      </c>
      <c r="J14">
        <v>8</v>
      </c>
      <c r="N14" s="123" t="s">
        <v>2404</v>
      </c>
      <c r="P14">
        <v>1</v>
      </c>
      <c r="Q14" s="296">
        <v>12</v>
      </c>
      <c r="R14" t="s">
        <v>1340</v>
      </c>
      <c r="S14" s="17"/>
      <c r="V14" s="146"/>
      <c r="W14" s="890"/>
      <c r="X14" s="401"/>
      <c r="Y14" s="401"/>
      <c r="Z14" s="407"/>
      <c r="AA14" s="123" t="s">
        <v>2967</v>
      </c>
      <c r="AB14" t="s">
        <v>1340</v>
      </c>
      <c r="AC14" t="s">
        <v>2970</v>
      </c>
      <c r="AD14" s="669" t="s">
        <v>1340</v>
      </c>
      <c r="AE14" s="895" t="s">
        <v>1340</v>
      </c>
      <c r="AF14" s="401">
        <v>12</v>
      </c>
      <c r="AG14" s="401">
        <v>12</v>
      </c>
      <c r="AH14" s="407">
        <v>6.8</v>
      </c>
      <c r="AI14" s="891"/>
      <c r="AL14" s="401"/>
      <c r="AM14" s="401"/>
      <c r="AN14" s="123">
        <v>24</v>
      </c>
      <c r="AO14">
        <v>36</v>
      </c>
      <c r="AP14" t="s">
        <v>1340</v>
      </c>
      <c r="AQ14" t="s">
        <v>1283</v>
      </c>
      <c r="AR14" t="s">
        <v>418</v>
      </c>
      <c r="AS14" t="s">
        <v>658</v>
      </c>
      <c r="AT14" s="146" t="s">
        <v>419</v>
      </c>
      <c r="AZ14" t="s">
        <v>2419</v>
      </c>
      <c r="BC14" s="146"/>
      <c r="BE14" t="b">
        <f t="array" ref="BE14">IF(OR(R14="yes",W14="yes"),BG14,BH14)</f>
        <v>0</v>
      </c>
      <c r="BF14" t="b">
        <f t="array" ref="BF14">AND(D14:G14=inp_used_minimal,A14=inp_usersel)</f>
        <v>0</v>
      </c>
      <c r="BG14" t="b">
        <f t="array" ref="BG14">AND(A14=inp_usersel,D14:Q14=inp_used_nonvessel1,AA14:AD14=inp_used_nonvessel2,AN14:BC14=inp_used_nonvessel3,IF(B14=2,inp_used_gravity=inp_autosize_gravity,inp_used_pressure=inp_autosize_pressure),IF(AC14="pressure vessels",inp_used_filt_pressure=inp_autosize_filt_pressure,IF(AC14="gravity basins",inp_used_filt_gravity=inp_autosize_filt_gravity,TRUE)))</f>
        <v>0</v>
      </c>
      <c r="BH14" t="b">
        <f t="array" ref="BH14">AND(A14=inp_usersel,D14:BC14=inp_used)</f>
        <v>0</v>
      </c>
    </row>
    <row r="15" spans="1:61" x14ac:dyDescent="0.2">
      <c r="A15" s="16">
        <v>1</v>
      </c>
      <c r="B15" s="16">
        <v>1</v>
      </c>
      <c r="C15" s="296">
        <v>7</v>
      </c>
      <c r="D15" s="123">
        <v>22.614000000000001</v>
      </c>
      <c r="E15" t="s">
        <v>597</v>
      </c>
      <c r="F15">
        <v>11.066000000000001</v>
      </c>
      <c r="G15" t="s">
        <v>597</v>
      </c>
      <c r="H15" s="123" t="s">
        <v>3203</v>
      </c>
      <c r="I15">
        <v>10</v>
      </c>
      <c r="J15">
        <v>8</v>
      </c>
      <c r="N15" s="123" t="s">
        <v>2404</v>
      </c>
      <c r="P15">
        <v>1</v>
      </c>
      <c r="Q15" s="296">
        <v>12</v>
      </c>
      <c r="R15" t="s">
        <v>1340</v>
      </c>
      <c r="S15" s="17"/>
      <c r="V15" s="146"/>
      <c r="W15" s="890"/>
      <c r="X15" s="401"/>
      <c r="Y15" s="401"/>
      <c r="Z15" s="407"/>
      <c r="AA15" s="123" t="s">
        <v>2967</v>
      </c>
      <c r="AB15" t="s">
        <v>1340</v>
      </c>
      <c r="AC15" t="s">
        <v>2970</v>
      </c>
      <c r="AD15" s="669" t="s">
        <v>1340</v>
      </c>
      <c r="AE15" s="895" t="s">
        <v>1340</v>
      </c>
      <c r="AF15" s="401">
        <v>12.5</v>
      </c>
      <c r="AG15" s="401">
        <v>12.5</v>
      </c>
      <c r="AH15" s="407">
        <v>9</v>
      </c>
      <c r="AI15" s="891"/>
      <c r="AL15" s="401"/>
      <c r="AM15" s="401"/>
      <c r="AN15" s="123">
        <v>24</v>
      </c>
      <c r="AO15">
        <v>36</v>
      </c>
      <c r="AP15" t="s">
        <v>1340</v>
      </c>
      <c r="AQ15" t="s">
        <v>1283</v>
      </c>
      <c r="AR15" t="s">
        <v>418</v>
      </c>
      <c r="AS15" t="s">
        <v>658</v>
      </c>
      <c r="AT15" s="146" t="s">
        <v>419</v>
      </c>
      <c r="AZ15" t="s">
        <v>2419</v>
      </c>
      <c r="BC15" s="146"/>
      <c r="BE15" t="b">
        <f t="array" ref="BE15">IF(OR(R15="yes",W15="yes"),BG15,BH15)</f>
        <v>0</v>
      </c>
      <c r="BF15" t="b">
        <f t="array" ref="BF15">AND(D15:G15=inp_used_minimal,A15=inp_usersel)</f>
        <v>0</v>
      </c>
      <c r="BG15" t="b">
        <f t="array" ref="BG15">AND(A15=inp_usersel,D15:Q15=inp_used_nonvessel1,AA15:AD15=inp_used_nonvessel2,AN15:BC15=inp_used_nonvessel3,IF(B15=2,inp_used_gravity=inp_autosize_gravity,inp_used_pressure=inp_autosize_pressure),IF(AC15="pressure vessels",inp_used_filt_pressure=inp_autosize_filt_pressure,IF(AC15="gravity basins",inp_used_filt_gravity=inp_autosize_filt_gravity,TRUE)))</f>
        <v>0</v>
      </c>
      <c r="BH15" t="b">
        <f t="array" ref="BH15">AND(A15=inp_usersel,D15:BC15=inp_used)</f>
        <v>0</v>
      </c>
    </row>
    <row r="16" spans="1:61" x14ac:dyDescent="0.2">
      <c r="A16" s="391">
        <v>1</v>
      </c>
      <c r="B16" s="391">
        <v>1</v>
      </c>
      <c r="C16" s="297">
        <v>8</v>
      </c>
      <c r="D16" s="274">
        <v>75.072000000000003</v>
      </c>
      <c r="E16" s="116" t="s">
        <v>597</v>
      </c>
      <c r="F16" s="116">
        <v>37.536000000000001</v>
      </c>
      <c r="G16" s="116" t="s">
        <v>597</v>
      </c>
      <c r="H16" s="274" t="s">
        <v>3203</v>
      </c>
      <c r="I16" s="116">
        <v>10</v>
      </c>
      <c r="J16" s="116">
        <v>8</v>
      </c>
      <c r="K16" s="116"/>
      <c r="L16" s="116"/>
      <c r="M16" s="116"/>
      <c r="N16" s="274" t="s">
        <v>2404</v>
      </c>
      <c r="O16" s="116"/>
      <c r="P16" s="116">
        <v>1</v>
      </c>
      <c r="Q16" s="296">
        <v>12</v>
      </c>
      <c r="R16" t="s">
        <v>1340</v>
      </c>
      <c r="S16" s="17"/>
      <c r="V16" s="146"/>
      <c r="W16" s="893"/>
      <c r="X16" s="402"/>
      <c r="Y16" s="402"/>
      <c r="Z16" s="403"/>
      <c r="AA16" s="123" t="s">
        <v>2967</v>
      </c>
      <c r="AB16" t="s">
        <v>1340</v>
      </c>
      <c r="AC16" t="s">
        <v>2970</v>
      </c>
      <c r="AD16" s="669" t="s">
        <v>1340</v>
      </c>
      <c r="AE16" s="895" t="s">
        <v>1340</v>
      </c>
      <c r="AF16" s="402">
        <v>21</v>
      </c>
      <c r="AG16" s="402">
        <v>21</v>
      </c>
      <c r="AH16" s="403">
        <v>8.8000000000000007</v>
      </c>
      <c r="AI16" s="892"/>
      <c r="AJ16" s="116"/>
      <c r="AK16" s="116"/>
      <c r="AL16" s="402"/>
      <c r="AM16" s="402"/>
      <c r="AN16" s="274">
        <v>24</v>
      </c>
      <c r="AO16" s="116">
        <v>36</v>
      </c>
      <c r="AP16" s="116" t="s">
        <v>1340</v>
      </c>
      <c r="AQ16" s="116" t="s">
        <v>1283</v>
      </c>
      <c r="AR16" s="116" t="s">
        <v>418</v>
      </c>
      <c r="AS16" s="116" t="s">
        <v>658</v>
      </c>
      <c r="AT16" s="275" t="s">
        <v>419</v>
      </c>
      <c r="AU16" s="116"/>
      <c r="AV16" s="116"/>
      <c r="AW16" s="116"/>
      <c r="AX16" s="116"/>
      <c r="AY16" s="116"/>
      <c r="AZ16" s="116" t="s">
        <v>2419</v>
      </c>
      <c r="BA16" s="116"/>
      <c r="BB16" s="116"/>
      <c r="BC16" s="275"/>
      <c r="BE16" t="b">
        <f t="array" ref="BE16">IF(OR(R16="yes",W16="yes"),BG16,BH16)</f>
        <v>0</v>
      </c>
      <c r="BF16" t="b">
        <f t="array" ref="BF16">AND(D16:G16=inp_used_minimal,A16=inp_usersel)</f>
        <v>0</v>
      </c>
      <c r="BG16" t="b">
        <f t="array" ref="BG16">AND(A16=inp_usersel,D16:Q16=inp_used_nonvessel1,AA16:AD16=inp_used_nonvessel2,AN16:BC16=inp_used_nonvessel3,IF(B16=2,inp_used_gravity=inp_autosize_gravity,inp_used_pressure=inp_autosize_pressure),IF(AC16="pressure vessels",inp_used_filt_pressure=inp_autosize_filt_pressure,IF(AC16="gravity basins",inp_used_filt_gravity=inp_autosize_filt_gravity,TRUE)))</f>
        <v>0</v>
      </c>
      <c r="BH16" t="b">
        <f t="array" ref="BH16">AND(A16=inp_usersel,D16:BC16=inp_used)</f>
        <v>0</v>
      </c>
    </row>
    <row r="17" spans="1:60" x14ac:dyDescent="0.2">
      <c r="A17" s="392">
        <v>1</v>
      </c>
      <c r="B17" s="392">
        <v>2</v>
      </c>
      <c r="C17" s="293">
        <v>1</v>
      </c>
      <c r="D17" s="294">
        <v>0.03</v>
      </c>
      <c r="E17" t="s">
        <v>597</v>
      </c>
      <c r="F17" s="16">
        <v>7.0000000000000001E-3</v>
      </c>
      <c r="G17" s="146" t="s">
        <v>597</v>
      </c>
      <c r="H17" s="326" t="s">
        <v>3203</v>
      </c>
      <c r="I17" s="268">
        <v>10</v>
      </c>
      <c r="J17" s="268">
        <v>8</v>
      </c>
      <c r="K17" s="268"/>
      <c r="L17" s="268"/>
      <c r="M17" s="268"/>
      <c r="N17" s="326" t="s">
        <v>2404</v>
      </c>
      <c r="O17" s="268"/>
      <c r="P17" s="268">
        <v>1</v>
      </c>
      <c r="Q17" s="518">
        <v>12</v>
      </c>
      <c r="R17" s="268"/>
      <c r="S17" s="405"/>
      <c r="T17" s="405"/>
      <c r="U17" s="405"/>
      <c r="V17" s="406"/>
      <c r="W17" s="897" t="s">
        <v>1340</v>
      </c>
      <c r="Z17" s="327"/>
      <c r="AA17" s="326" t="s">
        <v>2967</v>
      </c>
      <c r="AB17" s="268" t="s">
        <v>1340</v>
      </c>
      <c r="AC17" s="268" t="s">
        <v>2970</v>
      </c>
      <c r="AD17" s="668" t="s">
        <v>1340</v>
      </c>
      <c r="AE17" s="894" t="s">
        <v>1340</v>
      </c>
      <c r="AF17" s="405">
        <v>3</v>
      </c>
      <c r="AG17" s="405">
        <v>3</v>
      </c>
      <c r="AH17" s="406">
        <v>3.1</v>
      </c>
      <c r="AI17" s="404"/>
      <c r="AJ17" s="268"/>
      <c r="AK17" s="268"/>
      <c r="AL17" s="405"/>
      <c r="AM17" s="405"/>
      <c r="AN17" s="326">
        <v>24</v>
      </c>
      <c r="AO17" s="268">
        <v>36</v>
      </c>
      <c r="AP17" s="268" t="s">
        <v>1340</v>
      </c>
      <c r="AQ17" s="268" t="s">
        <v>1283</v>
      </c>
      <c r="AR17" s="268" t="s">
        <v>418</v>
      </c>
      <c r="AS17" s="268" t="s">
        <v>658</v>
      </c>
      <c r="AT17" s="327" t="s">
        <v>419</v>
      </c>
      <c r="AZ17" t="s">
        <v>2419</v>
      </c>
      <c r="BC17" s="146"/>
      <c r="BD17" s="694" t="s">
        <v>3837</v>
      </c>
      <c r="BE17" t="b">
        <f t="array" ref="BE17">IF(OR(R17="yes",W17="yes"),BG17,BH17)</f>
        <v>0</v>
      </c>
      <c r="BF17" t="b">
        <f t="array" ref="BF17">AND(D17:G17=inp_used_minimal,A17=inp_usersel)</f>
        <v>0</v>
      </c>
      <c r="BG17" t="b">
        <f t="array" ref="BG17">AND(A17=inp_usersel,D17:Q17=inp_used_nonvessel1,AA17:AD17=inp_used_nonvessel2,AN17:BC17=inp_used_nonvessel3,IF(B17=2,inp_used_gravity=inp_autosize_gravity,inp_used_pressure=inp_autosize_pressure),IF(AC17="pressure vessels",inp_used_filt_pressure=inp_autosize_filt_pressure,IF(AC17="gravity basins",inp_used_filt_gravity=inp_autosize_filt_gravity,TRUE)))</f>
        <v>0</v>
      </c>
      <c r="BH17" t="b">
        <f t="array" ref="BH17">AND(A17=inp_usersel,D17:BC17=inp_used)</f>
        <v>0</v>
      </c>
    </row>
    <row r="18" spans="1:60" x14ac:dyDescent="0.2">
      <c r="A18" s="16">
        <v>1</v>
      </c>
      <c r="B18" s="16">
        <v>2</v>
      </c>
      <c r="C18" s="295">
        <v>2</v>
      </c>
      <c r="D18" s="294">
        <v>0.124</v>
      </c>
      <c r="E18" t="s">
        <v>597</v>
      </c>
      <c r="F18" s="16">
        <v>3.5000000000000003E-2</v>
      </c>
      <c r="G18" s="146" t="s">
        <v>597</v>
      </c>
      <c r="H18" s="123" t="s">
        <v>3203</v>
      </c>
      <c r="I18">
        <v>10</v>
      </c>
      <c r="J18">
        <v>8</v>
      </c>
      <c r="N18" s="123" t="s">
        <v>2404</v>
      </c>
      <c r="P18">
        <v>1</v>
      </c>
      <c r="Q18" s="296">
        <v>12</v>
      </c>
      <c r="S18" s="401"/>
      <c r="T18" s="401"/>
      <c r="U18" s="401"/>
      <c r="V18" s="407"/>
      <c r="W18" s="891" t="s">
        <v>1340</v>
      </c>
      <c r="Z18" s="146"/>
      <c r="AA18" s="123" t="s">
        <v>2967</v>
      </c>
      <c r="AB18" t="s">
        <v>1340</v>
      </c>
      <c r="AC18" t="s">
        <v>2970</v>
      </c>
      <c r="AD18" s="669" t="s">
        <v>1340</v>
      </c>
      <c r="AE18" s="895" t="s">
        <v>1340</v>
      </c>
      <c r="AF18" s="401">
        <v>3.5</v>
      </c>
      <c r="AG18" s="872">
        <v>3.5</v>
      </c>
      <c r="AH18" s="407">
        <v>4.7</v>
      </c>
      <c r="AI18" s="891"/>
      <c r="AL18" s="401"/>
      <c r="AM18" s="401"/>
      <c r="AN18" s="123">
        <v>24</v>
      </c>
      <c r="AO18">
        <v>36</v>
      </c>
      <c r="AP18" t="s">
        <v>1340</v>
      </c>
      <c r="AQ18" t="s">
        <v>1283</v>
      </c>
      <c r="AR18" t="s">
        <v>418</v>
      </c>
      <c r="AS18" t="s">
        <v>658</v>
      </c>
      <c r="AT18" s="146" t="s">
        <v>419</v>
      </c>
      <c r="AZ18" t="s">
        <v>2419</v>
      </c>
      <c r="BC18" s="146"/>
      <c r="BE18" t="b">
        <f t="array" ref="BE18">IF(OR(R18="yes",W18="yes"),BG18,BH18)</f>
        <v>0</v>
      </c>
      <c r="BF18" t="b">
        <f t="array" ref="BF18">AND(D18:G18=inp_used_minimal,A18=inp_usersel)</f>
        <v>1</v>
      </c>
      <c r="BG18" t="b">
        <f t="array" ref="BG18">AND(A18=inp_usersel,D18:Q18=inp_used_nonvessel1,AA18:AD18=inp_used_nonvessel2,AN18:BC18=inp_used_nonvessel3,IF(B18=2,inp_used_gravity=inp_autosize_gravity,inp_used_pressure=inp_autosize_pressure),IF(AC18="pressure vessels",inp_used_filt_pressure=inp_autosize_filt_pressure,IF(AC18="gravity basins",inp_used_filt_gravity=inp_autosize_filt_gravity,TRUE)))</f>
        <v>0</v>
      </c>
      <c r="BH18" t="b">
        <f t="array" ref="BH18">AND(A18=inp_usersel,D18:BC18=inp_used)</f>
        <v>0</v>
      </c>
    </row>
    <row r="19" spans="1:60" x14ac:dyDescent="0.2">
      <c r="A19" s="16">
        <v>1</v>
      </c>
      <c r="B19" s="16">
        <v>2</v>
      </c>
      <c r="C19" s="295">
        <v>3</v>
      </c>
      <c r="D19" s="294">
        <v>0.30499999999999999</v>
      </c>
      <c r="E19" t="s">
        <v>597</v>
      </c>
      <c r="F19" s="16">
        <v>9.4E-2</v>
      </c>
      <c r="G19" s="146" t="s">
        <v>597</v>
      </c>
      <c r="H19" s="123" t="s">
        <v>3203</v>
      </c>
      <c r="I19">
        <v>10</v>
      </c>
      <c r="J19">
        <v>8</v>
      </c>
      <c r="N19" s="123" t="s">
        <v>2404</v>
      </c>
      <c r="P19">
        <v>1</v>
      </c>
      <c r="Q19" s="296">
        <v>12</v>
      </c>
      <c r="S19" s="401"/>
      <c r="T19" s="401"/>
      <c r="U19" s="401"/>
      <c r="V19" s="407"/>
      <c r="W19" s="891" t="s">
        <v>1340</v>
      </c>
      <c r="Z19" s="146"/>
      <c r="AA19" s="123" t="s">
        <v>2967</v>
      </c>
      <c r="AB19" t="s">
        <v>1340</v>
      </c>
      <c r="AC19" t="s">
        <v>2970</v>
      </c>
      <c r="AD19" s="669" t="s">
        <v>1340</v>
      </c>
      <c r="AE19" s="895" t="s">
        <v>1340</v>
      </c>
      <c r="AF19" s="401">
        <v>5.5</v>
      </c>
      <c r="AG19" s="401">
        <v>5.5</v>
      </c>
      <c r="AH19" s="407">
        <v>4.7</v>
      </c>
      <c r="AI19" s="891"/>
      <c r="AL19" s="401"/>
      <c r="AM19" s="401"/>
      <c r="AN19" s="123">
        <v>24</v>
      </c>
      <c r="AO19">
        <v>36</v>
      </c>
      <c r="AP19" t="s">
        <v>1340</v>
      </c>
      <c r="AQ19" t="s">
        <v>1283</v>
      </c>
      <c r="AR19" t="s">
        <v>418</v>
      </c>
      <c r="AS19" t="s">
        <v>658</v>
      </c>
      <c r="AT19" s="146" t="s">
        <v>419</v>
      </c>
      <c r="AZ19" t="s">
        <v>2419</v>
      </c>
      <c r="BC19" s="146"/>
      <c r="BE19" t="b">
        <f t="array" ref="BE19">IF(OR(R19="yes",W19="yes"),BG19,BH19)</f>
        <v>0</v>
      </c>
      <c r="BF19" t="b">
        <f t="array" ref="BF19">AND(D19:G19=inp_used_minimal,A19=inp_usersel)</f>
        <v>0</v>
      </c>
      <c r="BG19" t="b">
        <f t="array" ref="BG19">AND(A19=inp_usersel,D19:Q19=inp_used_nonvessel1,AA19:AD19=inp_used_nonvessel2,AN19:BC19=inp_used_nonvessel3,IF(B19=2,inp_used_gravity=inp_autosize_gravity,inp_used_pressure=inp_autosize_pressure),IF(AC19="pressure vessels",inp_used_filt_pressure=inp_autosize_filt_pressure,IF(AC19="gravity basins",inp_used_filt_gravity=inp_autosize_filt_gravity,TRUE)))</f>
        <v>0</v>
      </c>
      <c r="BH19" t="b">
        <f t="array" ref="BH19">AND(A19=inp_usersel,D19:BC19=inp_used)</f>
        <v>0</v>
      </c>
    </row>
    <row r="20" spans="1:60" x14ac:dyDescent="0.2">
      <c r="A20" s="16">
        <v>1</v>
      </c>
      <c r="B20" s="16">
        <v>2</v>
      </c>
      <c r="C20" s="295">
        <v>4</v>
      </c>
      <c r="D20" s="294">
        <v>0.74</v>
      </c>
      <c r="E20" t="s">
        <v>597</v>
      </c>
      <c r="F20" s="16">
        <v>0.251</v>
      </c>
      <c r="G20" s="146" t="s">
        <v>597</v>
      </c>
      <c r="H20" s="123" t="s">
        <v>3203</v>
      </c>
      <c r="I20">
        <v>10</v>
      </c>
      <c r="J20">
        <v>8</v>
      </c>
      <c r="N20" s="123" t="s">
        <v>2404</v>
      </c>
      <c r="P20">
        <v>1</v>
      </c>
      <c r="Q20" s="296">
        <v>12</v>
      </c>
      <c r="S20" s="401"/>
      <c r="T20" s="401"/>
      <c r="U20" s="401"/>
      <c r="V20" s="407"/>
      <c r="W20" s="891" t="s">
        <v>1340</v>
      </c>
      <c r="Z20" s="146"/>
      <c r="AA20" s="123" t="s">
        <v>2967</v>
      </c>
      <c r="AB20" t="s">
        <v>1340</v>
      </c>
      <c r="AC20" t="s">
        <v>2970</v>
      </c>
      <c r="AD20" s="669" t="s">
        <v>1340</v>
      </c>
      <c r="AE20" s="895" t="s">
        <v>1340</v>
      </c>
      <c r="AF20" s="401">
        <v>8.5</v>
      </c>
      <c r="AG20" s="401">
        <v>8.5</v>
      </c>
      <c r="AH20" s="407">
        <v>4.8</v>
      </c>
      <c r="AI20" s="891"/>
      <c r="AL20" s="401"/>
      <c r="AM20" s="401"/>
      <c r="AN20" s="123">
        <v>24</v>
      </c>
      <c r="AO20">
        <v>36</v>
      </c>
      <c r="AP20" t="s">
        <v>1340</v>
      </c>
      <c r="AQ20" t="s">
        <v>1283</v>
      </c>
      <c r="AR20" t="s">
        <v>418</v>
      </c>
      <c r="AS20" t="s">
        <v>658</v>
      </c>
      <c r="AT20" s="146" t="s">
        <v>419</v>
      </c>
      <c r="AZ20" t="s">
        <v>2419</v>
      </c>
      <c r="BC20" s="146"/>
      <c r="BE20" t="b">
        <f t="array" ref="BE20">IF(OR(R20="yes",W20="yes"),BG20,BH20)</f>
        <v>0</v>
      </c>
      <c r="BF20" t="b">
        <f t="array" ref="BF20">AND(D20:G20=inp_used_minimal,A20=inp_usersel)</f>
        <v>0</v>
      </c>
      <c r="BG20" t="b">
        <f t="array" ref="BG20">AND(A20=inp_usersel,D20:Q20=inp_used_nonvessel1,AA20:AD20=inp_used_nonvessel2,AN20:BC20=inp_used_nonvessel3,IF(B20=2,inp_used_gravity=inp_autosize_gravity,inp_used_pressure=inp_autosize_pressure),IF(AC20="pressure vessels",inp_used_filt_pressure=inp_autosize_filt_pressure,IF(AC20="gravity basins",inp_used_filt_gravity=inp_autosize_filt_gravity,TRUE)))</f>
        <v>0</v>
      </c>
      <c r="BH20" t="b">
        <f t="array" ref="BH20">AND(A20=inp_usersel,D20:BC20=inp_used)</f>
        <v>0</v>
      </c>
    </row>
    <row r="21" spans="1:60" x14ac:dyDescent="0.2">
      <c r="A21" s="16">
        <v>1</v>
      </c>
      <c r="B21" s="16">
        <v>2</v>
      </c>
      <c r="C21" s="296">
        <v>5</v>
      </c>
      <c r="D21" s="123">
        <v>2.1520000000000001</v>
      </c>
      <c r="E21" t="s">
        <v>597</v>
      </c>
      <c r="F21">
        <v>0.81899999999999995</v>
      </c>
      <c r="G21" s="146" t="s">
        <v>597</v>
      </c>
      <c r="H21" s="123" t="s">
        <v>3203</v>
      </c>
      <c r="I21">
        <v>10</v>
      </c>
      <c r="J21">
        <v>8</v>
      </c>
      <c r="N21" s="123" t="s">
        <v>2404</v>
      </c>
      <c r="P21">
        <v>1</v>
      </c>
      <c r="Q21" s="296">
        <v>12</v>
      </c>
      <c r="S21" s="401"/>
      <c r="T21" s="401"/>
      <c r="U21" s="401"/>
      <c r="V21" s="407"/>
      <c r="W21" s="891" t="s">
        <v>1340</v>
      </c>
      <c r="Z21" s="146"/>
      <c r="AA21" s="123" t="s">
        <v>2967</v>
      </c>
      <c r="AB21" t="s">
        <v>1340</v>
      </c>
      <c r="AC21" t="s">
        <v>2970</v>
      </c>
      <c r="AD21" s="669" t="s">
        <v>1340</v>
      </c>
      <c r="AE21" s="895" t="s">
        <v>1340</v>
      </c>
      <c r="AF21" s="401">
        <v>8.5</v>
      </c>
      <c r="AG21" s="401">
        <v>8.5</v>
      </c>
      <c r="AH21" s="407">
        <v>7</v>
      </c>
      <c r="AI21" s="891"/>
      <c r="AL21" s="401"/>
      <c r="AM21" s="401"/>
      <c r="AN21" s="123">
        <v>24</v>
      </c>
      <c r="AO21">
        <v>36</v>
      </c>
      <c r="AP21" t="s">
        <v>1340</v>
      </c>
      <c r="AQ21" t="s">
        <v>1283</v>
      </c>
      <c r="AR21" t="s">
        <v>418</v>
      </c>
      <c r="AS21" t="s">
        <v>658</v>
      </c>
      <c r="AT21" s="146" t="s">
        <v>419</v>
      </c>
      <c r="AZ21" t="s">
        <v>2419</v>
      </c>
      <c r="BC21" s="146"/>
      <c r="BE21" t="b">
        <f t="array" ref="BE21">IF(OR(R21="yes",W21="yes"),BG21,BH21)</f>
        <v>0</v>
      </c>
      <c r="BF21" t="b">
        <f t="array" ref="BF21">AND(D21:G21=inp_used_minimal,A21=inp_usersel)</f>
        <v>0</v>
      </c>
      <c r="BG21" t="b">
        <f t="array" ref="BG21">AND(A21=inp_usersel,D21:Q21=inp_used_nonvessel1,AA21:AD21=inp_used_nonvessel2,AN21:BC21=inp_used_nonvessel3,IF(B21=2,inp_used_gravity=inp_autosize_gravity,inp_used_pressure=inp_autosize_pressure),IF(AC21="pressure vessels",inp_used_filt_pressure=inp_autosize_filt_pressure,IF(AC21="gravity basins",inp_used_filt_gravity=inp_autosize_filt_gravity,TRUE)))</f>
        <v>0</v>
      </c>
      <c r="BH21" t="b">
        <f t="array" ref="BH21">AND(A21=inp_usersel,D21:BC21=inp_used)</f>
        <v>0</v>
      </c>
    </row>
    <row r="22" spans="1:60" x14ac:dyDescent="0.2">
      <c r="A22" s="16">
        <v>1</v>
      </c>
      <c r="B22" s="16">
        <v>2</v>
      </c>
      <c r="C22" s="296">
        <v>6</v>
      </c>
      <c r="D22" s="123">
        <v>7.3650000000000002</v>
      </c>
      <c r="E22" t="s">
        <v>597</v>
      </c>
      <c r="F22">
        <v>3.2</v>
      </c>
      <c r="G22" s="146" t="s">
        <v>597</v>
      </c>
      <c r="H22" s="123" t="s">
        <v>3203</v>
      </c>
      <c r="I22">
        <v>10</v>
      </c>
      <c r="J22">
        <v>8</v>
      </c>
      <c r="N22" s="123" t="s">
        <v>2404</v>
      </c>
      <c r="P22">
        <v>1</v>
      </c>
      <c r="Q22" s="296">
        <v>12</v>
      </c>
      <c r="S22" s="401"/>
      <c r="T22" s="401"/>
      <c r="U22" s="401"/>
      <c r="V22" s="407"/>
      <c r="W22" s="891" t="s">
        <v>1340</v>
      </c>
      <c r="Z22" s="146"/>
      <c r="AA22" s="123" t="s">
        <v>2967</v>
      </c>
      <c r="AB22" t="s">
        <v>1340</v>
      </c>
      <c r="AC22" t="s">
        <v>2970</v>
      </c>
      <c r="AD22" s="669" t="s">
        <v>1340</v>
      </c>
      <c r="AE22" s="895" t="s">
        <v>1340</v>
      </c>
      <c r="AF22" s="401">
        <v>14</v>
      </c>
      <c r="AG22" s="401">
        <v>14</v>
      </c>
      <c r="AH22" s="407">
        <v>7</v>
      </c>
      <c r="AI22" s="891"/>
      <c r="AL22" s="401"/>
      <c r="AM22" s="401"/>
      <c r="AN22" s="123">
        <v>24</v>
      </c>
      <c r="AO22">
        <v>36</v>
      </c>
      <c r="AP22" t="s">
        <v>1340</v>
      </c>
      <c r="AQ22" t="s">
        <v>1283</v>
      </c>
      <c r="AR22" t="s">
        <v>418</v>
      </c>
      <c r="AS22" t="s">
        <v>658</v>
      </c>
      <c r="AT22" s="146" t="s">
        <v>419</v>
      </c>
      <c r="AZ22" t="s">
        <v>2419</v>
      </c>
      <c r="BC22" s="146"/>
      <c r="BE22" t="b">
        <f t="array" ref="BE22">IF(OR(R22="yes",W22="yes"),BG22,BH22)</f>
        <v>0</v>
      </c>
      <c r="BF22" t="b">
        <f t="array" ref="BF22">AND(D22:G22=inp_used_minimal,A22=inp_usersel)</f>
        <v>0</v>
      </c>
      <c r="BG22" t="b">
        <f t="array" ref="BG22">AND(A22=inp_usersel,D22:Q22=inp_used_nonvessel1,AA22:AD22=inp_used_nonvessel2,AN22:BC22=inp_used_nonvessel3,IF(B22=2,inp_used_gravity=inp_autosize_gravity,inp_used_pressure=inp_autosize_pressure),IF(AC22="pressure vessels",inp_used_filt_pressure=inp_autosize_filt_pressure,IF(AC22="gravity basins",inp_used_filt_gravity=inp_autosize_filt_gravity,TRUE)))</f>
        <v>0</v>
      </c>
      <c r="BH22" t="b">
        <f t="array" ref="BH22">AND(A22=inp_usersel,D22:BC22=inp_used)</f>
        <v>0</v>
      </c>
    </row>
    <row r="23" spans="1:60" x14ac:dyDescent="0.2">
      <c r="A23" s="16">
        <v>1</v>
      </c>
      <c r="B23" s="16">
        <v>2</v>
      </c>
      <c r="C23" s="296">
        <v>7</v>
      </c>
      <c r="D23" s="123">
        <v>22.614000000000001</v>
      </c>
      <c r="E23" t="s">
        <v>597</v>
      </c>
      <c r="F23">
        <v>11.066000000000001</v>
      </c>
      <c r="G23" s="146" t="s">
        <v>597</v>
      </c>
      <c r="H23" s="123" t="s">
        <v>3203</v>
      </c>
      <c r="I23">
        <v>10</v>
      </c>
      <c r="J23">
        <v>8</v>
      </c>
      <c r="N23" s="123" t="s">
        <v>2404</v>
      </c>
      <c r="P23">
        <v>1</v>
      </c>
      <c r="Q23" s="296">
        <v>12</v>
      </c>
      <c r="S23" s="401"/>
      <c r="T23" s="401"/>
      <c r="U23" s="401"/>
      <c r="V23" s="407"/>
      <c r="W23" s="891" t="s">
        <v>1340</v>
      </c>
      <c r="Z23" s="146"/>
      <c r="AA23" s="123" t="s">
        <v>2967</v>
      </c>
      <c r="AB23" t="s">
        <v>1340</v>
      </c>
      <c r="AC23" t="s">
        <v>2970</v>
      </c>
      <c r="AD23" s="669" t="s">
        <v>1340</v>
      </c>
      <c r="AE23" s="895" t="s">
        <v>1340</v>
      </c>
      <c r="AF23" s="401">
        <v>18.5</v>
      </c>
      <c r="AG23" s="401">
        <v>18.5</v>
      </c>
      <c r="AH23" s="407">
        <v>8.8000000000000007</v>
      </c>
      <c r="AI23" s="891"/>
      <c r="AL23" s="401"/>
      <c r="AM23" s="401"/>
      <c r="AN23" s="123">
        <v>24</v>
      </c>
      <c r="AO23">
        <v>36</v>
      </c>
      <c r="AP23" t="s">
        <v>1340</v>
      </c>
      <c r="AQ23" t="s">
        <v>1283</v>
      </c>
      <c r="AR23" t="s">
        <v>418</v>
      </c>
      <c r="AS23" t="s">
        <v>658</v>
      </c>
      <c r="AT23" s="146" t="s">
        <v>419</v>
      </c>
      <c r="AZ23" t="s">
        <v>2419</v>
      </c>
      <c r="BC23" s="146"/>
      <c r="BE23" t="b">
        <f t="array" ref="BE23">IF(OR(R23="yes",W23="yes"),BG23,BH23)</f>
        <v>0</v>
      </c>
      <c r="BF23" t="b">
        <f t="array" ref="BF23">AND(D23:G23=inp_used_minimal,A23=inp_usersel)</f>
        <v>0</v>
      </c>
      <c r="BG23" t="b">
        <f t="array" ref="BG23">AND(A23=inp_usersel,D23:Q23=inp_used_nonvessel1,AA23:AD23=inp_used_nonvessel2,AN23:BC23=inp_used_nonvessel3,IF(B23=2,inp_used_gravity=inp_autosize_gravity,inp_used_pressure=inp_autosize_pressure),IF(AC23="pressure vessels",inp_used_filt_pressure=inp_autosize_filt_pressure,IF(AC23="gravity basins",inp_used_filt_gravity=inp_autosize_filt_gravity,TRUE)))</f>
        <v>0</v>
      </c>
      <c r="BH23" t="b">
        <f t="array" ref="BH23">AND(A23=inp_usersel,D23:BC23=inp_used)</f>
        <v>0</v>
      </c>
    </row>
    <row r="24" spans="1:60" x14ac:dyDescent="0.2">
      <c r="A24" s="391">
        <v>1</v>
      </c>
      <c r="B24" s="391">
        <v>2</v>
      </c>
      <c r="C24" s="297">
        <v>8</v>
      </c>
      <c r="D24" s="274">
        <v>75.072000000000003</v>
      </c>
      <c r="E24" s="116" t="s">
        <v>597</v>
      </c>
      <c r="F24" s="116">
        <v>37.536000000000001</v>
      </c>
      <c r="G24" s="275" t="s">
        <v>597</v>
      </c>
      <c r="H24" s="274" t="s">
        <v>3203</v>
      </c>
      <c r="I24" s="116">
        <v>10</v>
      </c>
      <c r="J24" s="116">
        <v>8</v>
      </c>
      <c r="K24" s="116"/>
      <c r="L24" s="116"/>
      <c r="M24" s="116"/>
      <c r="N24" s="274" t="s">
        <v>2404</v>
      </c>
      <c r="O24" s="116"/>
      <c r="P24" s="116">
        <v>1</v>
      </c>
      <c r="Q24" s="296">
        <v>12</v>
      </c>
      <c r="R24" s="893"/>
      <c r="S24" s="402"/>
      <c r="T24" s="402"/>
      <c r="U24" s="402"/>
      <c r="V24" s="403"/>
      <c r="W24" s="892" t="s">
        <v>1340</v>
      </c>
      <c r="X24" s="116"/>
      <c r="Y24" s="116"/>
      <c r="Z24" s="275"/>
      <c r="AA24" s="123" t="s">
        <v>2967</v>
      </c>
      <c r="AB24" t="s">
        <v>1340</v>
      </c>
      <c r="AC24" t="s">
        <v>2970</v>
      </c>
      <c r="AD24" s="669" t="s">
        <v>1340</v>
      </c>
      <c r="AE24" s="895" t="s">
        <v>1340</v>
      </c>
      <c r="AF24" s="402">
        <v>24.5</v>
      </c>
      <c r="AG24" s="402">
        <v>24.5</v>
      </c>
      <c r="AH24" s="403">
        <v>9</v>
      </c>
      <c r="AI24" s="892"/>
      <c r="AJ24" s="116"/>
      <c r="AK24" s="116"/>
      <c r="AL24" s="402"/>
      <c r="AM24" s="402"/>
      <c r="AN24" s="274">
        <v>24</v>
      </c>
      <c r="AO24" s="116">
        <v>36</v>
      </c>
      <c r="AP24" s="116" t="s">
        <v>1340</v>
      </c>
      <c r="AQ24" s="116" t="s">
        <v>1283</v>
      </c>
      <c r="AR24" s="116" t="s">
        <v>418</v>
      </c>
      <c r="AS24" s="116" t="s">
        <v>658</v>
      </c>
      <c r="AT24" s="275" t="s">
        <v>419</v>
      </c>
      <c r="AU24" s="116"/>
      <c r="AV24" s="116"/>
      <c r="AW24" s="116"/>
      <c r="AX24" s="116"/>
      <c r="AY24" s="116"/>
      <c r="AZ24" s="116" t="s">
        <v>2419</v>
      </c>
      <c r="BA24" s="116"/>
      <c r="BB24" s="116"/>
      <c r="BC24" s="275"/>
      <c r="BE24" t="b">
        <f t="array" ref="BE24">IF(OR(R24="yes",W24="yes"),BG24,BH24)</f>
        <v>0</v>
      </c>
      <c r="BF24" t="b">
        <f t="array" ref="BF24">AND(D24:G24=inp_used_minimal,A24=inp_usersel)</f>
        <v>0</v>
      </c>
      <c r="BG24" t="b">
        <f t="array" ref="BG24">AND(A24=inp_usersel,D24:Q24=inp_used_nonvessel1,AA24:AD24=inp_used_nonvessel2,AN24:BC24=inp_used_nonvessel3,IF(B24=2,inp_used_gravity=inp_autosize_gravity,inp_used_pressure=inp_autosize_pressure),IF(AC24="pressure vessels",inp_used_filt_pressure=inp_autosize_filt_pressure,IF(AC24="gravity basins",inp_used_filt_gravity=inp_autosize_filt_gravity,TRUE)))</f>
        <v>0</v>
      </c>
      <c r="BH24" t="b">
        <f t="array" ref="BH24">AND(A24=inp_usersel,D24:BC24=inp_used)</f>
        <v>0</v>
      </c>
    </row>
    <row r="25" spans="1:60" x14ac:dyDescent="0.2">
      <c r="A25" s="392">
        <v>1</v>
      </c>
      <c r="B25" s="392">
        <v>3</v>
      </c>
      <c r="C25" s="293">
        <v>1</v>
      </c>
      <c r="D25" s="294">
        <v>0.03</v>
      </c>
      <c r="E25" t="s">
        <v>597</v>
      </c>
      <c r="F25" s="16">
        <v>7.0000000000000001E-3</v>
      </c>
      <c r="G25" s="146" t="s">
        <v>597</v>
      </c>
      <c r="H25" s="326" t="s">
        <v>3203</v>
      </c>
      <c r="I25" s="268">
        <v>10</v>
      </c>
      <c r="J25" s="268">
        <v>8</v>
      </c>
      <c r="K25" s="268"/>
      <c r="L25" s="268"/>
      <c r="M25" s="268"/>
      <c r="N25" s="326" t="s">
        <v>2404</v>
      </c>
      <c r="O25" s="268"/>
      <c r="P25" s="268">
        <v>1</v>
      </c>
      <c r="Q25" s="518">
        <v>12</v>
      </c>
      <c r="R25" t="s">
        <v>1340</v>
      </c>
      <c r="S25" s="666"/>
      <c r="T25" s="268"/>
      <c r="U25" s="268"/>
      <c r="V25" s="327"/>
      <c r="W25" s="890"/>
      <c r="Z25" s="327"/>
      <c r="AA25" s="326" t="s">
        <v>2967</v>
      </c>
      <c r="AB25" s="268" t="s">
        <v>1340</v>
      </c>
      <c r="AC25" s="268" t="s">
        <v>4188</v>
      </c>
      <c r="AD25" s="668" t="s">
        <v>1340</v>
      </c>
      <c r="AE25" s="894"/>
      <c r="AF25" s="405"/>
      <c r="AG25" s="405"/>
      <c r="AH25" s="406"/>
      <c r="AI25" s="404" t="s">
        <v>1340</v>
      </c>
      <c r="AJ25" s="268">
        <v>3</v>
      </c>
      <c r="AK25" s="268" t="s">
        <v>2163</v>
      </c>
      <c r="AL25" s="405">
        <v>5.5</v>
      </c>
      <c r="AM25" s="405">
        <v>2</v>
      </c>
      <c r="AN25" s="326"/>
      <c r="AO25" s="268">
        <v>36</v>
      </c>
      <c r="AP25" s="268" t="s">
        <v>1340</v>
      </c>
      <c r="AQ25" s="268" t="s">
        <v>1283</v>
      </c>
      <c r="AR25" s="268" t="s">
        <v>418</v>
      </c>
      <c r="AS25" s="268" t="s">
        <v>658</v>
      </c>
      <c r="AT25" s="327" t="s">
        <v>419</v>
      </c>
      <c r="AZ25" t="s">
        <v>2419</v>
      </c>
      <c r="BC25" s="146"/>
      <c r="BD25" s="694" t="s">
        <v>3838</v>
      </c>
      <c r="BE25" t="b">
        <f t="array" ref="BE25">IF(OR(R25="yes",W25="yes"),BG25,BH25)</f>
        <v>0</v>
      </c>
      <c r="BF25" t="b">
        <f t="array" ref="BF25">AND(D25:G25=inp_used_minimal,A25=inp_usersel)</f>
        <v>0</v>
      </c>
      <c r="BG25" t="b">
        <f t="array" ref="BG25">AND(A25=inp_usersel,D25:Q25=inp_used_nonvessel1,AA25:AD25=inp_used_nonvessel2,AN25:BC25=inp_used_nonvessel3,IF(B25=2,inp_used_gravity=inp_autosize_gravity,inp_used_pressure=inp_autosize_pressure),IF(AC25="pressure vessels",inp_used_filt_pressure=inp_autosize_filt_pressure,IF(AC25="gravity basins",inp_used_filt_gravity=inp_autosize_filt_gravity,TRUE)))</f>
        <v>0</v>
      </c>
      <c r="BH25" t="b">
        <f t="array" ref="BH25">AND(A25=inp_usersel,D25:BC25=inp_used)</f>
        <v>0</v>
      </c>
    </row>
    <row r="26" spans="1:60" x14ac:dyDescent="0.2">
      <c r="A26" s="16">
        <v>1</v>
      </c>
      <c r="B26" s="16">
        <v>3</v>
      </c>
      <c r="C26" s="295">
        <v>2</v>
      </c>
      <c r="D26" s="294">
        <v>0.124</v>
      </c>
      <c r="E26" t="s">
        <v>597</v>
      </c>
      <c r="F26" s="16">
        <v>3.5000000000000003E-2</v>
      </c>
      <c r="G26" s="146" t="s">
        <v>597</v>
      </c>
      <c r="H26" s="123" t="s">
        <v>3203</v>
      </c>
      <c r="I26">
        <v>10</v>
      </c>
      <c r="J26">
        <v>8</v>
      </c>
      <c r="N26" s="123" t="s">
        <v>2404</v>
      </c>
      <c r="P26">
        <v>1</v>
      </c>
      <c r="Q26" s="296">
        <v>12</v>
      </c>
      <c r="R26" t="s">
        <v>1340</v>
      </c>
      <c r="S26" s="17"/>
      <c r="V26" s="146"/>
      <c r="W26" s="890"/>
      <c r="Z26" s="146"/>
      <c r="AA26" s="123" t="s">
        <v>2967</v>
      </c>
      <c r="AB26" t="s">
        <v>1340</v>
      </c>
      <c r="AC26" t="s">
        <v>4188</v>
      </c>
      <c r="AD26" s="669" t="s">
        <v>1340</v>
      </c>
      <c r="AE26" s="895"/>
      <c r="AF26" s="401"/>
      <c r="AG26" s="401"/>
      <c r="AH26" s="407"/>
      <c r="AI26" s="891" t="s">
        <v>1340</v>
      </c>
      <c r="AJ26">
        <v>4.5999999999999996</v>
      </c>
      <c r="AK26" t="s">
        <v>2163</v>
      </c>
      <c r="AL26" s="401">
        <v>8</v>
      </c>
      <c r="AM26" s="401">
        <v>4</v>
      </c>
      <c r="AN26" s="123"/>
      <c r="AO26">
        <v>36</v>
      </c>
      <c r="AP26" t="s">
        <v>1340</v>
      </c>
      <c r="AQ26" t="s">
        <v>1283</v>
      </c>
      <c r="AR26" t="s">
        <v>418</v>
      </c>
      <c r="AS26" t="s">
        <v>658</v>
      </c>
      <c r="AT26" s="146" t="s">
        <v>419</v>
      </c>
      <c r="AZ26" t="s">
        <v>2419</v>
      </c>
      <c r="BC26" s="146"/>
      <c r="BE26" t="b">
        <f t="array" ref="BE26">IF(OR(R26="yes",W26="yes"),BG26,BH26)</f>
        <v>0</v>
      </c>
      <c r="BF26" t="b">
        <f t="array" ref="BF26">AND(D26:G26=inp_used_minimal,A26=inp_usersel)</f>
        <v>1</v>
      </c>
      <c r="BG26" t="b">
        <f t="array" ref="BG26">AND(A26=inp_usersel,D26:Q26=inp_used_nonvessel1,AA26:AD26=inp_used_nonvessel2,AN26:BC26=inp_used_nonvessel3,IF(B26=2,inp_used_gravity=inp_autosize_gravity,inp_used_pressure=inp_autosize_pressure),IF(AC26="pressure vessels",inp_used_filt_pressure=inp_autosize_filt_pressure,IF(AC26="gravity basins",inp_used_filt_gravity=inp_autosize_filt_gravity,TRUE)))</f>
        <v>0</v>
      </c>
      <c r="BH26" t="b">
        <f t="array" ref="BH26">AND(A26=inp_usersel,D26:BC26=inp_used)</f>
        <v>0</v>
      </c>
    </row>
    <row r="27" spans="1:60" x14ac:dyDescent="0.2">
      <c r="A27" s="16">
        <v>1</v>
      </c>
      <c r="B27" s="16">
        <v>3</v>
      </c>
      <c r="C27" s="295">
        <v>3</v>
      </c>
      <c r="D27" s="294">
        <v>0.30499999999999999</v>
      </c>
      <c r="E27" t="s">
        <v>597</v>
      </c>
      <c r="F27" s="16">
        <v>9.4E-2</v>
      </c>
      <c r="G27" s="146" t="s">
        <v>597</v>
      </c>
      <c r="H27" s="123" t="s">
        <v>3203</v>
      </c>
      <c r="I27">
        <v>10</v>
      </c>
      <c r="J27">
        <v>8</v>
      </c>
      <c r="N27" s="123" t="s">
        <v>2404</v>
      </c>
      <c r="P27">
        <v>1</v>
      </c>
      <c r="Q27" s="296">
        <v>12</v>
      </c>
      <c r="R27" t="s">
        <v>1340</v>
      </c>
      <c r="S27" s="17"/>
      <c r="V27" s="146"/>
      <c r="W27" s="890"/>
      <c r="Z27" s="146"/>
      <c r="AA27" s="123" t="s">
        <v>2967</v>
      </c>
      <c r="AB27" t="s">
        <v>1340</v>
      </c>
      <c r="AC27" t="s">
        <v>4188</v>
      </c>
      <c r="AD27" s="669" t="s">
        <v>1340</v>
      </c>
      <c r="AE27" s="895"/>
      <c r="AF27" s="401"/>
      <c r="AG27" s="401"/>
      <c r="AH27" s="407"/>
      <c r="AI27" s="891" t="s">
        <v>1340</v>
      </c>
      <c r="AJ27">
        <v>4.3</v>
      </c>
      <c r="AK27" t="s">
        <v>2163</v>
      </c>
      <c r="AL27" s="401">
        <v>7.5</v>
      </c>
      <c r="AM27" s="401">
        <v>6.5</v>
      </c>
      <c r="AN27" s="123"/>
      <c r="AO27">
        <v>36</v>
      </c>
      <c r="AP27" t="s">
        <v>1340</v>
      </c>
      <c r="AQ27" t="s">
        <v>1283</v>
      </c>
      <c r="AR27" t="s">
        <v>418</v>
      </c>
      <c r="AS27" t="s">
        <v>658</v>
      </c>
      <c r="AT27" s="146" t="s">
        <v>419</v>
      </c>
      <c r="AZ27" t="s">
        <v>2419</v>
      </c>
      <c r="BC27" s="146"/>
      <c r="BE27" t="b">
        <f t="array" ref="BE27">IF(OR(R27="yes",W27="yes"),BG27,BH27)</f>
        <v>0</v>
      </c>
      <c r="BF27" t="b">
        <f t="array" ref="BF27">AND(D27:G27=inp_used_minimal,A27=inp_usersel)</f>
        <v>0</v>
      </c>
      <c r="BG27" t="b">
        <f t="array" ref="BG27">AND(A27=inp_usersel,D27:Q27=inp_used_nonvessel1,AA27:AD27=inp_used_nonvessel2,AN27:BC27=inp_used_nonvessel3,IF(B27=2,inp_used_gravity=inp_autosize_gravity,inp_used_pressure=inp_autosize_pressure),IF(AC27="pressure vessels",inp_used_filt_pressure=inp_autosize_filt_pressure,IF(AC27="gravity basins",inp_used_filt_gravity=inp_autosize_filt_gravity,TRUE)))</f>
        <v>0</v>
      </c>
      <c r="BH27" t="b">
        <f t="array" ref="BH27">AND(A27=inp_usersel,D27:BC27=inp_used)</f>
        <v>0</v>
      </c>
    </row>
    <row r="28" spans="1:60" x14ac:dyDescent="0.2">
      <c r="A28" s="16">
        <v>1</v>
      </c>
      <c r="B28" s="16">
        <v>3</v>
      </c>
      <c r="C28" s="295">
        <v>4</v>
      </c>
      <c r="D28" s="294">
        <v>0.74</v>
      </c>
      <c r="E28" t="s">
        <v>597</v>
      </c>
      <c r="F28" s="16">
        <v>0.251</v>
      </c>
      <c r="G28" s="146" t="s">
        <v>597</v>
      </c>
      <c r="H28" s="123" t="s">
        <v>3203</v>
      </c>
      <c r="I28">
        <v>10</v>
      </c>
      <c r="J28">
        <v>8</v>
      </c>
      <c r="N28" s="123" t="s">
        <v>2404</v>
      </c>
      <c r="P28">
        <v>1</v>
      </c>
      <c r="Q28" s="296">
        <v>12</v>
      </c>
      <c r="R28" t="s">
        <v>1340</v>
      </c>
      <c r="S28" s="17"/>
      <c r="V28" s="146"/>
      <c r="W28" s="890"/>
      <c r="Z28" s="146"/>
      <c r="AA28" s="123" t="s">
        <v>2967</v>
      </c>
      <c r="AB28" t="s">
        <v>1340</v>
      </c>
      <c r="AC28" t="s">
        <v>4188</v>
      </c>
      <c r="AD28" s="669" t="s">
        <v>1340</v>
      </c>
      <c r="AE28" s="895"/>
      <c r="AF28" s="401"/>
      <c r="AG28" s="401"/>
      <c r="AH28" s="407"/>
      <c r="AI28" s="891" t="s">
        <v>1340</v>
      </c>
      <c r="AJ28">
        <v>4.9000000000000004</v>
      </c>
      <c r="AK28" t="s">
        <v>2163</v>
      </c>
      <c r="AL28" s="401">
        <v>8.5</v>
      </c>
      <c r="AM28" s="401">
        <v>9.5</v>
      </c>
      <c r="AN28" s="123"/>
      <c r="AO28">
        <v>36</v>
      </c>
      <c r="AP28" t="s">
        <v>1340</v>
      </c>
      <c r="AQ28" t="s">
        <v>1283</v>
      </c>
      <c r="AR28" t="s">
        <v>418</v>
      </c>
      <c r="AS28" t="s">
        <v>658</v>
      </c>
      <c r="AT28" s="146" t="s">
        <v>419</v>
      </c>
      <c r="AZ28" t="s">
        <v>2419</v>
      </c>
      <c r="BC28" s="146"/>
      <c r="BE28" t="b">
        <f t="array" ref="BE28">IF(OR(R28="yes",W28="yes"),BG28,BH28)</f>
        <v>0</v>
      </c>
      <c r="BF28" t="b">
        <f t="array" ref="BF28">AND(D28:G28=inp_used_minimal,A28=inp_usersel)</f>
        <v>0</v>
      </c>
      <c r="BG28" t="b">
        <f t="array" ref="BG28">AND(A28=inp_usersel,D28:Q28=inp_used_nonvessel1,AA28:AD28=inp_used_nonvessel2,AN28:BC28=inp_used_nonvessel3,IF(B28=2,inp_used_gravity=inp_autosize_gravity,inp_used_pressure=inp_autosize_pressure),IF(AC28="pressure vessels",inp_used_filt_pressure=inp_autosize_filt_pressure,IF(AC28="gravity basins",inp_used_filt_gravity=inp_autosize_filt_gravity,TRUE)))</f>
        <v>0</v>
      </c>
      <c r="BH28" t="b">
        <f t="array" ref="BH28">AND(A28=inp_usersel,D28:BC28=inp_used)</f>
        <v>0</v>
      </c>
    </row>
    <row r="29" spans="1:60" x14ac:dyDescent="0.2">
      <c r="A29" s="16">
        <v>1</v>
      </c>
      <c r="B29" s="16">
        <v>3</v>
      </c>
      <c r="C29" s="296">
        <v>5</v>
      </c>
      <c r="D29" s="123">
        <v>2.1520000000000001</v>
      </c>
      <c r="E29" t="s">
        <v>597</v>
      </c>
      <c r="F29">
        <v>0.81899999999999995</v>
      </c>
      <c r="G29" s="146" t="s">
        <v>597</v>
      </c>
      <c r="H29" s="123" t="s">
        <v>3203</v>
      </c>
      <c r="I29">
        <v>10</v>
      </c>
      <c r="J29">
        <v>8</v>
      </c>
      <c r="N29" s="123" t="s">
        <v>2404</v>
      </c>
      <c r="P29">
        <v>1</v>
      </c>
      <c r="Q29" s="296">
        <v>12</v>
      </c>
      <c r="R29" t="s">
        <v>1340</v>
      </c>
      <c r="S29" s="17"/>
      <c r="V29" s="146"/>
      <c r="W29" s="890"/>
      <c r="Z29" s="146"/>
      <c r="AA29" s="123" t="s">
        <v>2967</v>
      </c>
      <c r="AB29" t="s">
        <v>1340</v>
      </c>
      <c r="AC29" t="s">
        <v>2970</v>
      </c>
      <c r="AD29" s="669" t="s">
        <v>1340</v>
      </c>
      <c r="AE29" s="895" t="s">
        <v>1340</v>
      </c>
      <c r="AF29" s="401">
        <v>8.5</v>
      </c>
      <c r="AG29" s="401">
        <v>8.5</v>
      </c>
      <c r="AH29" s="407">
        <v>7</v>
      </c>
      <c r="AI29" s="891"/>
      <c r="AL29" s="401"/>
      <c r="AM29" s="401"/>
      <c r="AN29" s="123"/>
      <c r="AO29">
        <v>36</v>
      </c>
      <c r="AP29" t="s">
        <v>1340</v>
      </c>
      <c r="AQ29" t="s">
        <v>1283</v>
      </c>
      <c r="AR29" t="s">
        <v>418</v>
      </c>
      <c r="AS29" t="s">
        <v>658</v>
      </c>
      <c r="AT29" s="146" t="s">
        <v>419</v>
      </c>
      <c r="AZ29" t="s">
        <v>2419</v>
      </c>
      <c r="BC29" s="146"/>
      <c r="BE29" t="b">
        <f t="array" ref="BE29">IF(OR(R29="yes",W29="yes"),BG29,BH29)</f>
        <v>0</v>
      </c>
      <c r="BF29" t="b">
        <f t="array" ref="BF29">AND(D29:G29=inp_used_minimal,A29=inp_usersel)</f>
        <v>0</v>
      </c>
      <c r="BG29" t="b">
        <f t="array" ref="BG29">AND(A29=inp_usersel,D29:Q29=inp_used_nonvessel1,AA29:AD29=inp_used_nonvessel2,AN29:BC29=inp_used_nonvessel3,IF(B29=2,inp_used_gravity=inp_autosize_gravity,inp_used_pressure=inp_autosize_pressure),IF(AC29="pressure vessels",inp_used_filt_pressure=inp_autosize_filt_pressure,IF(AC29="gravity basins",inp_used_filt_gravity=inp_autosize_filt_gravity,TRUE)))</f>
        <v>0</v>
      </c>
      <c r="BH29" t="b">
        <f t="array" ref="BH29">AND(A29=inp_usersel,D29:BC29=inp_used)</f>
        <v>0</v>
      </c>
    </row>
    <row r="30" spans="1:60" x14ac:dyDescent="0.2">
      <c r="A30" s="16">
        <v>1</v>
      </c>
      <c r="B30" s="16">
        <v>3</v>
      </c>
      <c r="C30" s="296">
        <v>6</v>
      </c>
      <c r="D30" s="123">
        <v>7.3650000000000002</v>
      </c>
      <c r="E30" t="s">
        <v>597</v>
      </c>
      <c r="F30">
        <v>3.2</v>
      </c>
      <c r="G30" s="146" t="s">
        <v>597</v>
      </c>
      <c r="H30" s="123" t="s">
        <v>3203</v>
      </c>
      <c r="I30">
        <v>10</v>
      </c>
      <c r="J30">
        <v>8</v>
      </c>
      <c r="N30" s="123" t="s">
        <v>2404</v>
      </c>
      <c r="P30">
        <v>1</v>
      </c>
      <c r="Q30" s="296">
        <v>12</v>
      </c>
      <c r="R30" t="s">
        <v>1340</v>
      </c>
      <c r="S30" s="17"/>
      <c r="V30" s="146"/>
      <c r="W30" s="890"/>
      <c r="Z30" s="146"/>
      <c r="AA30" s="123" t="s">
        <v>2967</v>
      </c>
      <c r="AB30" t="s">
        <v>1340</v>
      </c>
      <c r="AC30" t="s">
        <v>2970</v>
      </c>
      <c r="AD30" s="669" t="s">
        <v>1340</v>
      </c>
      <c r="AE30" s="895" t="s">
        <v>1340</v>
      </c>
      <c r="AF30" s="401">
        <v>13</v>
      </c>
      <c r="AG30" s="401">
        <v>13</v>
      </c>
      <c r="AH30" s="407">
        <v>6.8</v>
      </c>
      <c r="AI30" s="891"/>
      <c r="AL30" s="401"/>
      <c r="AM30" s="401"/>
      <c r="AN30" s="123"/>
      <c r="AO30">
        <v>36</v>
      </c>
      <c r="AP30" t="s">
        <v>1340</v>
      </c>
      <c r="AQ30" t="s">
        <v>1283</v>
      </c>
      <c r="AR30" t="s">
        <v>418</v>
      </c>
      <c r="AS30" t="s">
        <v>658</v>
      </c>
      <c r="AT30" s="146" t="s">
        <v>419</v>
      </c>
      <c r="AZ30" t="s">
        <v>2419</v>
      </c>
      <c r="BC30" s="146"/>
      <c r="BE30" t="b">
        <f t="array" ref="BE30">IF(OR(R30="yes",W30="yes"),BG30,BH30)</f>
        <v>0</v>
      </c>
      <c r="BF30" t="b">
        <f t="array" ref="BF30">AND(D30:G30=inp_used_minimal,A30=inp_usersel)</f>
        <v>0</v>
      </c>
      <c r="BG30" t="b">
        <f t="array" ref="BG30">AND(A30=inp_usersel,D30:Q30=inp_used_nonvessel1,AA30:AD30=inp_used_nonvessel2,AN30:BC30=inp_used_nonvessel3,IF(B30=2,inp_used_gravity=inp_autosize_gravity,inp_used_pressure=inp_autosize_pressure),IF(AC30="pressure vessels",inp_used_filt_pressure=inp_autosize_filt_pressure,IF(AC30="gravity basins",inp_used_filt_gravity=inp_autosize_filt_gravity,TRUE)))</f>
        <v>0</v>
      </c>
      <c r="BH30" t="b">
        <f t="array" ref="BH30">AND(A30=inp_usersel,D30:BC30=inp_used)</f>
        <v>0</v>
      </c>
    </row>
    <row r="31" spans="1:60" x14ac:dyDescent="0.2">
      <c r="A31" s="16">
        <v>1</v>
      </c>
      <c r="B31" s="16">
        <v>3</v>
      </c>
      <c r="C31" s="296">
        <v>7</v>
      </c>
      <c r="D31" s="123">
        <v>22.614000000000001</v>
      </c>
      <c r="E31" t="s">
        <v>597</v>
      </c>
      <c r="F31">
        <v>11.066000000000001</v>
      </c>
      <c r="G31" s="146" t="s">
        <v>597</v>
      </c>
      <c r="H31" s="123" t="s">
        <v>3203</v>
      </c>
      <c r="I31">
        <v>10</v>
      </c>
      <c r="J31">
        <v>8</v>
      </c>
      <c r="N31" s="123" t="s">
        <v>2404</v>
      </c>
      <c r="P31">
        <v>1</v>
      </c>
      <c r="Q31" s="296">
        <v>12</v>
      </c>
      <c r="R31" t="s">
        <v>1340</v>
      </c>
      <c r="S31" s="17"/>
      <c r="V31" s="146"/>
      <c r="W31" s="890"/>
      <c r="Z31" s="146"/>
      <c r="AA31" s="123" t="s">
        <v>2967</v>
      </c>
      <c r="AB31" t="s">
        <v>1340</v>
      </c>
      <c r="AC31" t="s">
        <v>2970</v>
      </c>
      <c r="AD31" s="669" t="s">
        <v>1340</v>
      </c>
      <c r="AE31" s="895" t="s">
        <v>1340</v>
      </c>
      <c r="AF31" s="401">
        <v>13</v>
      </c>
      <c r="AG31" s="401">
        <v>13</v>
      </c>
      <c r="AH31" s="407">
        <v>8.9</v>
      </c>
      <c r="AI31" s="891"/>
      <c r="AL31" s="401"/>
      <c r="AM31" s="401"/>
      <c r="AN31" s="123"/>
      <c r="AO31">
        <v>36</v>
      </c>
      <c r="AP31" t="s">
        <v>1340</v>
      </c>
      <c r="AQ31" t="s">
        <v>1283</v>
      </c>
      <c r="AR31" t="s">
        <v>418</v>
      </c>
      <c r="AS31" t="s">
        <v>658</v>
      </c>
      <c r="AT31" s="146" t="s">
        <v>419</v>
      </c>
      <c r="AZ31" t="s">
        <v>2419</v>
      </c>
      <c r="BC31" s="146"/>
      <c r="BE31" t="b">
        <f t="array" ref="BE31">IF(OR(R31="yes",W31="yes"),BG31,BH31)</f>
        <v>0</v>
      </c>
      <c r="BF31" t="b">
        <f t="array" ref="BF31">AND(D31:G31=inp_used_minimal,A31=inp_usersel)</f>
        <v>0</v>
      </c>
      <c r="BG31" t="b">
        <f t="array" ref="BG31">AND(A31=inp_usersel,D31:Q31=inp_used_nonvessel1,AA31:AD31=inp_used_nonvessel2,AN31:BC31=inp_used_nonvessel3,IF(B31=2,inp_used_gravity=inp_autosize_gravity,inp_used_pressure=inp_autosize_pressure),IF(AC31="pressure vessels",inp_used_filt_pressure=inp_autosize_filt_pressure,IF(AC31="gravity basins",inp_used_filt_gravity=inp_autosize_filt_gravity,TRUE)))</f>
        <v>0</v>
      </c>
      <c r="BH31" t="b">
        <f t="array" ref="BH31">AND(A31=inp_usersel,D31:BC31=inp_used)</f>
        <v>0</v>
      </c>
    </row>
    <row r="32" spans="1:60" x14ac:dyDescent="0.2">
      <c r="A32" s="391">
        <v>1</v>
      </c>
      <c r="B32" s="391">
        <v>3</v>
      </c>
      <c r="C32" s="297">
        <v>8</v>
      </c>
      <c r="D32" s="274">
        <v>75.072000000000003</v>
      </c>
      <c r="E32" s="116" t="s">
        <v>597</v>
      </c>
      <c r="F32" s="116">
        <v>37.536000000000001</v>
      </c>
      <c r="G32" s="275" t="s">
        <v>597</v>
      </c>
      <c r="H32" s="274" t="s">
        <v>3203</v>
      </c>
      <c r="I32" s="116">
        <v>10</v>
      </c>
      <c r="J32" s="116">
        <v>8</v>
      </c>
      <c r="K32" s="116"/>
      <c r="L32" s="116"/>
      <c r="M32" s="116"/>
      <c r="N32" s="274" t="s">
        <v>2404</v>
      </c>
      <c r="O32" s="116"/>
      <c r="P32" s="116">
        <v>1</v>
      </c>
      <c r="Q32" s="297">
        <v>12</v>
      </c>
      <c r="R32" s="893" t="s">
        <v>1340</v>
      </c>
      <c r="S32" s="667"/>
      <c r="T32" s="116"/>
      <c r="U32" s="116"/>
      <c r="V32" s="275"/>
      <c r="W32" s="893"/>
      <c r="X32" s="116"/>
      <c r="Y32" s="116"/>
      <c r="Z32" s="275"/>
      <c r="AA32" s="274" t="s">
        <v>2967</v>
      </c>
      <c r="AB32" s="116" t="s">
        <v>1340</v>
      </c>
      <c r="AC32" t="s">
        <v>2970</v>
      </c>
      <c r="AD32" s="670" t="s">
        <v>1340</v>
      </c>
      <c r="AE32" s="896" t="s">
        <v>1340</v>
      </c>
      <c r="AF32" s="402">
        <v>24.5</v>
      </c>
      <c r="AG32" s="402">
        <v>24.5</v>
      </c>
      <c r="AH32" s="403">
        <v>9</v>
      </c>
      <c r="AI32" s="892"/>
      <c r="AJ32" s="116"/>
      <c r="AK32" s="116"/>
      <c r="AL32" s="402"/>
      <c r="AM32" s="402"/>
      <c r="AN32" s="274"/>
      <c r="AO32" s="116">
        <v>36</v>
      </c>
      <c r="AP32" s="116" t="s">
        <v>1340</v>
      </c>
      <c r="AQ32" s="116" t="s">
        <v>1283</v>
      </c>
      <c r="AR32" s="116" t="s">
        <v>418</v>
      </c>
      <c r="AS32" s="116" t="s">
        <v>658</v>
      </c>
      <c r="AT32" s="275" t="s">
        <v>419</v>
      </c>
      <c r="AU32" s="116"/>
      <c r="AV32" s="116"/>
      <c r="AW32" s="116"/>
      <c r="AX32" s="116"/>
      <c r="AY32" s="116"/>
      <c r="AZ32" s="116" t="s">
        <v>2419</v>
      </c>
      <c r="BA32" s="116"/>
      <c r="BB32" s="116"/>
      <c r="BC32" s="275"/>
      <c r="BE32" t="b">
        <f t="array" ref="BE32">IF(OR(R32="yes",W32="yes"),BG32,BH32)</f>
        <v>0</v>
      </c>
      <c r="BF32" t="b">
        <f t="array" ref="BF32">AND(D32:G32=inp_used_minimal,A32=inp_usersel)</f>
        <v>0</v>
      </c>
      <c r="BG32" t="b">
        <f t="array" ref="BG32">AND(A32=inp_usersel,D32:Q32=inp_used_nonvessel1,AA32:AD32=inp_used_nonvessel2,AN32:BC32=inp_used_nonvessel3,IF(B32=2,inp_used_gravity=inp_autosize_gravity,inp_used_pressure=inp_autosize_pressure),IF(AC32="pressure vessels",inp_used_filt_pressure=inp_autosize_filt_pressure,IF(AC32="gravity basins",inp_used_filt_gravity=inp_autosize_filt_gravity,TRUE)))</f>
        <v>0</v>
      </c>
      <c r="BH32" t="b">
        <f t="array" ref="BH32">AND(A32=inp_usersel,D32:BC32=inp_used)</f>
        <v>0</v>
      </c>
    </row>
    <row r="33" spans="1:60" x14ac:dyDescent="0.2">
      <c r="A33" s="16">
        <v>2</v>
      </c>
      <c r="B33" s="16">
        <v>1</v>
      </c>
      <c r="C33" s="293">
        <v>1</v>
      </c>
      <c r="D33" s="294">
        <v>0.03</v>
      </c>
      <c r="E33" t="s">
        <v>597</v>
      </c>
      <c r="F33" s="16">
        <v>7.0000000000000001E-3</v>
      </c>
      <c r="G33" t="s">
        <v>597</v>
      </c>
      <c r="H33" s="326" t="s">
        <v>3203</v>
      </c>
      <c r="I33" s="268">
        <v>37.4</v>
      </c>
      <c r="J33" s="268">
        <v>15.3</v>
      </c>
      <c r="K33" s="268">
        <v>0</v>
      </c>
      <c r="L33" s="268">
        <v>12</v>
      </c>
      <c r="M33" s="268">
        <v>20.3</v>
      </c>
      <c r="N33" s="326" t="s">
        <v>2404</v>
      </c>
      <c r="O33" s="268"/>
      <c r="P33" s="268">
        <v>2</v>
      </c>
      <c r="Q33" s="518">
        <v>10</v>
      </c>
      <c r="R33" t="s">
        <v>1340</v>
      </c>
      <c r="S33" s="17"/>
      <c r="T33" s="268"/>
      <c r="V33" s="327"/>
      <c r="W33" s="326"/>
      <c r="X33" s="405"/>
      <c r="Y33" s="405"/>
      <c r="Z33" s="406"/>
      <c r="AA33" s="326" t="s">
        <v>2967</v>
      </c>
      <c r="AB33" s="268" t="s">
        <v>1340</v>
      </c>
      <c r="AC33" s="268" t="s">
        <v>4188</v>
      </c>
      <c r="AD33" s="668" t="s">
        <v>1340</v>
      </c>
      <c r="AE33" s="894"/>
      <c r="AF33" s="405"/>
      <c r="AG33" s="405"/>
      <c r="AH33" s="406"/>
      <c r="AI33" s="404" t="s">
        <v>1340</v>
      </c>
      <c r="AJ33" s="268">
        <v>3</v>
      </c>
      <c r="AK33" s="268" t="s">
        <v>2163</v>
      </c>
      <c r="AL33" s="405">
        <v>5.5</v>
      </c>
      <c r="AM33" s="405">
        <v>2</v>
      </c>
      <c r="AN33" s="326">
        <v>24</v>
      </c>
      <c r="AO33" s="268">
        <v>36</v>
      </c>
      <c r="AP33" s="268" t="s">
        <v>1340</v>
      </c>
      <c r="AQ33" s="268" t="s">
        <v>1283</v>
      </c>
      <c r="AR33" s="268" t="s">
        <v>418</v>
      </c>
      <c r="AS33" s="268" t="s">
        <v>658</v>
      </c>
      <c r="AT33" s="327" t="s">
        <v>419</v>
      </c>
      <c r="AZ33" t="s">
        <v>2419</v>
      </c>
      <c r="BC33" s="146"/>
      <c r="BD33" s="694" t="s">
        <v>3839</v>
      </c>
      <c r="BE33" t="b">
        <f t="array" ref="BE33">IF(OR(R33="yes",W33="yes"),BG33,BH33)</f>
        <v>0</v>
      </c>
      <c r="BF33" t="b">
        <f t="array" ref="BF33">AND(D33:G33=inp_used_minimal,A33=inp_usersel)</f>
        <v>0</v>
      </c>
      <c r="BG33" t="b">
        <f t="array" ref="BG33">AND(A33=inp_usersel,D33:Q33=inp_used_nonvessel1,AA33:AD33=inp_used_nonvessel2,AN33:BC33=inp_used_nonvessel3,IF(B33=2,inp_used_gravity=inp_autosize_gravity,inp_used_pressure=inp_autosize_pressure),IF(AC33="pressure vessels",inp_used_filt_pressure=inp_autosize_filt_pressure,IF(AC33="gravity basins",inp_used_filt_gravity=inp_autosize_filt_gravity,TRUE)))</f>
        <v>0</v>
      </c>
      <c r="BH33" t="b">
        <f t="array" ref="BH33">AND(A33=inp_usersel,D33:BC33=inp_used)</f>
        <v>0</v>
      </c>
    </row>
    <row r="34" spans="1:60" x14ac:dyDescent="0.2">
      <c r="A34" s="16">
        <v>2</v>
      </c>
      <c r="B34" s="16">
        <v>1</v>
      </c>
      <c r="C34" s="295">
        <v>2</v>
      </c>
      <c r="D34" s="294">
        <v>0.124</v>
      </c>
      <c r="E34" t="s">
        <v>597</v>
      </c>
      <c r="F34" s="16">
        <v>3.5000000000000003E-2</v>
      </c>
      <c r="G34" t="s">
        <v>597</v>
      </c>
      <c r="H34" s="123" t="s">
        <v>3203</v>
      </c>
      <c r="I34">
        <v>37.4</v>
      </c>
      <c r="J34">
        <v>15.3</v>
      </c>
      <c r="K34">
        <v>0</v>
      </c>
      <c r="L34">
        <v>12</v>
      </c>
      <c r="M34">
        <v>20.3</v>
      </c>
      <c r="N34" s="123" t="s">
        <v>2404</v>
      </c>
      <c r="P34">
        <v>2</v>
      </c>
      <c r="Q34" s="296">
        <v>10</v>
      </c>
      <c r="R34" t="s">
        <v>1340</v>
      </c>
      <c r="S34" s="17"/>
      <c r="V34" s="146"/>
      <c r="W34" s="890"/>
      <c r="X34" s="401"/>
      <c r="Y34" s="401"/>
      <c r="Z34" s="407"/>
      <c r="AA34" s="123" t="s">
        <v>2967</v>
      </c>
      <c r="AB34" t="s">
        <v>1340</v>
      </c>
      <c r="AC34" t="s">
        <v>4188</v>
      </c>
      <c r="AD34" s="669" t="s">
        <v>1340</v>
      </c>
      <c r="AE34" s="895"/>
      <c r="AF34" s="401"/>
      <c r="AG34" s="401"/>
      <c r="AH34" s="407"/>
      <c r="AI34" s="891" t="s">
        <v>1340</v>
      </c>
      <c r="AJ34">
        <v>4.5999999999999996</v>
      </c>
      <c r="AK34" t="s">
        <v>2163</v>
      </c>
      <c r="AL34" s="401">
        <v>8</v>
      </c>
      <c r="AM34" s="401">
        <v>4</v>
      </c>
      <c r="AN34" s="123">
        <v>24</v>
      </c>
      <c r="AO34">
        <v>36</v>
      </c>
      <c r="AP34" t="s">
        <v>1340</v>
      </c>
      <c r="AQ34" t="s">
        <v>1283</v>
      </c>
      <c r="AR34" t="s">
        <v>418</v>
      </c>
      <c r="AS34" t="s">
        <v>658</v>
      </c>
      <c r="AT34" s="146" t="s">
        <v>419</v>
      </c>
      <c r="AZ34" t="s">
        <v>2419</v>
      </c>
      <c r="BC34" s="146"/>
      <c r="BE34" t="b">
        <f t="array" ref="BE34">IF(OR(R34="yes",W34="yes"),BG34,BH34)</f>
        <v>0</v>
      </c>
      <c r="BF34" t="b">
        <f t="array" ref="BF34">AND(D34:G34=inp_used_minimal,A34=inp_usersel)</f>
        <v>0</v>
      </c>
      <c r="BG34" t="b">
        <f t="array" ref="BG34">AND(A34=inp_usersel,D34:Q34=inp_used_nonvessel1,AA34:AD34=inp_used_nonvessel2,AN34:BC34=inp_used_nonvessel3,IF(B34=2,inp_used_gravity=inp_autosize_gravity,inp_used_pressure=inp_autosize_pressure),IF(AC34="pressure vessels",inp_used_filt_pressure=inp_autosize_filt_pressure,IF(AC34="gravity basins",inp_used_filt_gravity=inp_autosize_filt_gravity,TRUE)))</f>
        <v>0</v>
      </c>
      <c r="BH34" t="b">
        <f t="array" ref="BH34">AND(A34=inp_usersel,D34:BC34=inp_used)</f>
        <v>0</v>
      </c>
    </row>
    <row r="35" spans="1:60" x14ac:dyDescent="0.2">
      <c r="A35" s="16">
        <v>2</v>
      </c>
      <c r="B35" s="16">
        <v>1</v>
      </c>
      <c r="C35" s="295">
        <v>3</v>
      </c>
      <c r="D35" s="294">
        <v>0.30499999999999999</v>
      </c>
      <c r="E35" t="s">
        <v>597</v>
      </c>
      <c r="F35" s="16">
        <v>9.4E-2</v>
      </c>
      <c r="G35" t="s">
        <v>597</v>
      </c>
      <c r="H35" s="123" t="s">
        <v>3203</v>
      </c>
      <c r="I35">
        <v>37.4</v>
      </c>
      <c r="J35">
        <v>15.3</v>
      </c>
      <c r="K35">
        <v>0</v>
      </c>
      <c r="L35">
        <v>12</v>
      </c>
      <c r="M35">
        <v>20.3</v>
      </c>
      <c r="N35" s="123" t="s">
        <v>2404</v>
      </c>
      <c r="P35">
        <v>2</v>
      </c>
      <c r="Q35" s="296">
        <v>10</v>
      </c>
      <c r="R35" t="s">
        <v>1340</v>
      </c>
      <c r="S35" s="17"/>
      <c r="V35" s="146"/>
      <c r="W35" s="890"/>
      <c r="X35" s="401"/>
      <c r="Y35" s="401"/>
      <c r="Z35" s="407"/>
      <c r="AA35" s="123" t="s">
        <v>2967</v>
      </c>
      <c r="AB35" t="s">
        <v>1340</v>
      </c>
      <c r="AC35" t="s">
        <v>4188</v>
      </c>
      <c r="AD35" s="669" t="s">
        <v>1340</v>
      </c>
      <c r="AE35" s="895"/>
      <c r="AF35" s="401"/>
      <c r="AG35" s="401"/>
      <c r="AH35" s="407"/>
      <c r="AI35" s="891" t="s">
        <v>1340</v>
      </c>
      <c r="AJ35">
        <v>4.9000000000000004</v>
      </c>
      <c r="AK35" t="s">
        <v>2163</v>
      </c>
      <c r="AL35" s="401">
        <v>8.5</v>
      </c>
      <c r="AM35" s="401">
        <v>5</v>
      </c>
      <c r="AN35" s="123">
        <v>24</v>
      </c>
      <c r="AO35">
        <v>36</v>
      </c>
      <c r="AP35" t="s">
        <v>1340</v>
      </c>
      <c r="AQ35" t="s">
        <v>1283</v>
      </c>
      <c r="AR35" t="s">
        <v>418</v>
      </c>
      <c r="AS35" t="s">
        <v>658</v>
      </c>
      <c r="AT35" s="146" t="s">
        <v>419</v>
      </c>
      <c r="AZ35" t="s">
        <v>2419</v>
      </c>
      <c r="BC35" s="146"/>
      <c r="BE35" t="b">
        <f t="array" ref="BE35">IF(OR(R35="yes",W35="yes"),BG35,BH35)</f>
        <v>0</v>
      </c>
      <c r="BF35" t="b">
        <f t="array" ref="BF35">AND(D35:G35=inp_used_minimal,A35=inp_usersel)</f>
        <v>0</v>
      </c>
      <c r="BG35" t="b">
        <f t="array" ref="BG35">AND(A35=inp_usersel,D35:Q35=inp_used_nonvessel1,AA35:AD35=inp_used_nonvessel2,AN35:BC35=inp_used_nonvessel3,IF(B35=2,inp_used_gravity=inp_autosize_gravity,inp_used_pressure=inp_autosize_pressure),IF(AC35="pressure vessels",inp_used_filt_pressure=inp_autosize_filt_pressure,IF(AC35="gravity basins",inp_used_filt_gravity=inp_autosize_filt_gravity,TRUE)))</f>
        <v>0</v>
      </c>
      <c r="BH35" t="b">
        <f t="array" ref="BH35">AND(A35=inp_usersel,D35:BC35=inp_used)</f>
        <v>0</v>
      </c>
    </row>
    <row r="36" spans="1:60" x14ac:dyDescent="0.2">
      <c r="A36" s="16">
        <v>2</v>
      </c>
      <c r="B36" s="16">
        <v>1</v>
      </c>
      <c r="C36" s="295">
        <v>4</v>
      </c>
      <c r="D36" s="294">
        <v>0.74</v>
      </c>
      <c r="E36" t="s">
        <v>597</v>
      </c>
      <c r="F36" s="16">
        <v>0.251</v>
      </c>
      <c r="G36" t="s">
        <v>597</v>
      </c>
      <c r="H36" s="123" t="s">
        <v>3203</v>
      </c>
      <c r="I36">
        <v>37.4</v>
      </c>
      <c r="J36">
        <v>15.3</v>
      </c>
      <c r="K36">
        <v>0</v>
      </c>
      <c r="L36">
        <v>12</v>
      </c>
      <c r="M36">
        <v>20.3</v>
      </c>
      <c r="N36" s="123" t="s">
        <v>2404</v>
      </c>
      <c r="P36">
        <v>2</v>
      </c>
      <c r="Q36" s="296">
        <v>10</v>
      </c>
      <c r="R36" t="s">
        <v>1340</v>
      </c>
      <c r="S36" s="17"/>
      <c r="V36" s="146"/>
      <c r="W36" s="890"/>
      <c r="X36" s="401"/>
      <c r="Y36" s="401"/>
      <c r="Z36" s="407"/>
      <c r="AA36" s="123" t="s">
        <v>2967</v>
      </c>
      <c r="AB36" t="s">
        <v>1340</v>
      </c>
      <c r="AC36" t="s">
        <v>4188</v>
      </c>
      <c r="AD36" s="669" t="s">
        <v>1340</v>
      </c>
      <c r="AE36" s="895"/>
      <c r="AF36" s="401"/>
      <c r="AG36" s="401"/>
      <c r="AH36" s="407"/>
      <c r="AI36" s="891" t="s">
        <v>1340</v>
      </c>
      <c r="AJ36">
        <v>4.5999999999999996</v>
      </c>
      <c r="AK36" t="s">
        <v>2163</v>
      </c>
      <c r="AL36" s="401">
        <v>8</v>
      </c>
      <c r="AM36" s="401">
        <v>8</v>
      </c>
      <c r="AN36" s="123">
        <v>24</v>
      </c>
      <c r="AO36">
        <v>36</v>
      </c>
      <c r="AP36" t="s">
        <v>1340</v>
      </c>
      <c r="AQ36" t="s">
        <v>1283</v>
      </c>
      <c r="AR36" t="s">
        <v>418</v>
      </c>
      <c r="AS36" t="s">
        <v>658</v>
      </c>
      <c r="AT36" s="146" t="s">
        <v>419</v>
      </c>
      <c r="AZ36" t="s">
        <v>2419</v>
      </c>
      <c r="BC36" s="146"/>
      <c r="BE36" t="b">
        <f t="array" ref="BE36">IF(OR(R36="yes",W36="yes"),BG36,BH36)</f>
        <v>0</v>
      </c>
      <c r="BF36" t="b">
        <f t="array" ref="BF36">AND(D36:G36=inp_used_minimal,A36=inp_usersel)</f>
        <v>0</v>
      </c>
      <c r="BG36" t="b">
        <f t="array" ref="BG36">AND(A36=inp_usersel,D36:Q36=inp_used_nonvessel1,AA36:AD36=inp_used_nonvessel2,AN36:BC36=inp_used_nonvessel3,IF(B36=2,inp_used_gravity=inp_autosize_gravity,inp_used_pressure=inp_autosize_pressure),IF(AC36="pressure vessels",inp_used_filt_pressure=inp_autosize_filt_pressure,IF(AC36="gravity basins",inp_used_filt_gravity=inp_autosize_filt_gravity,TRUE)))</f>
        <v>0</v>
      </c>
      <c r="BH36" t="b">
        <f t="array" ref="BH36">AND(A36=inp_usersel,D36:BC36=inp_used)</f>
        <v>0</v>
      </c>
    </row>
    <row r="37" spans="1:60" x14ac:dyDescent="0.2">
      <c r="A37" s="16">
        <v>2</v>
      </c>
      <c r="B37" s="16">
        <v>1</v>
      </c>
      <c r="C37" s="296">
        <v>5</v>
      </c>
      <c r="D37" s="123">
        <v>2.1520000000000001</v>
      </c>
      <c r="E37" t="s">
        <v>597</v>
      </c>
      <c r="F37">
        <v>0.81899999999999995</v>
      </c>
      <c r="G37" t="s">
        <v>597</v>
      </c>
      <c r="H37" s="123" t="s">
        <v>3203</v>
      </c>
      <c r="I37">
        <v>37.4</v>
      </c>
      <c r="J37">
        <v>15.3</v>
      </c>
      <c r="K37">
        <v>0</v>
      </c>
      <c r="L37">
        <v>12</v>
      </c>
      <c r="M37">
        <v>20.3</v>
      </c>
      <c r="N37" s="123" t="s">
        <v>2404</v>
      </c>
      <c r="P37">
        <v>2</v>
      </c>
      <c r="Q37" s="296">
        <v>10</v>
      </c>
      <c r="R37" t="s">
        <v>1340</v>
      </c>
      <c r="S37" s="17"/>
      <c r="V37" s="146"/>
      <c r="W37" s="890"/>
      <c r="X37" s="401"/>
      <c r="Y37" s="401"/>
      <c r="Z37" s="407"/>
      <c r="AA37" s="123" t="s">
        <v>2967</v>
      </c>
      <c r="AB37" t="s">
        <v>1340</v>
      </c>
      <c r="AC37" t="s">
        <v>2970</v>
      </c>
      <c r="AD37" s="669" t="s">
        <v>1340</v>
      </c>
      <c r="AE37" s="895" t="s">
        <v>1340</v>
      </c>
      <c r="AF37" s="401">
        <v>8.5</v>
      </c>
      <c r="AG37" s="401">
        <v>8.5</v>
      </c>
      <c r="AH37" s="407">
        <v>7</v>
      </c>
      <c r="AI37" s="891"/>
      <c r="AL37" s="401"/>
      <c r="AM37" s="401"/>
      <c r="AN37" s="123">
        <v>24</v>
      </c>
      <c r="AO37">
        <v>36</v>
      </c>
      <c r="AP37" t="s">
        <v>1340</v>
      </c>
      <c r="AQ37" t="s">
        <v>1283</v>
      </c>
      <c r="AR37" t="s">
        <v>418</v>
      </c>
      <c r="AS37" t="s">
        <v>658</v>
      </c>
      <c r="AT37" s="146" t="s">
        <v>419</v>
      </c>
      <c r="AZ37" t="s">
        <v>2419</v>
      </c>
      <c r="BC37" s="146"/>
      <c r="BE37" t="b">
        <f t="array" ref="BE37">IF(OR(R37="yes",W37="yes"),BG37,BH37)</f>
        <v>0</v>
      </c>
      <c r="BF37" t="b">
        <f t="array" ref="BF37">AND(D37:G37=inp_used_minimal,A37=inp_usersel)</f>
        <v>0</v>
      </c>
      <c r="BG37" t="b">
        <f t="array" ref="BG37">AND(A37=inp_usersel,D37:Q37=inp_used_nonvessel1,AA37:AD37=inp_used_nonvessel2,AN37:BC37=inp_used_nonvessel3,IF(B37=2,inp_used_gravity=inp_autosize_gravity,inp_used_pressure=inp_autosize_pressure),IF(AC37="pressure vessels",inp_used_filt_pressure=inp_autosize_filt_pressure,IF(AC37="gravity basins",inp_used_filt_gravity=inp_autosize_filt_gravity,TRUE)))</f>
        <v>0</v>
      </c>
      <c r="BH37" t="b">
        <f t="array" ref="BH37">AND(A37=inp_usersel,D37:BC37=inp_used)</f>
        <v>0</v>
      </c>
    </row>
    <row r="38" spans="1:60" x14ac:dyDescent="0.2">
      <c r="A38" s="16">
        <v>2</v>
      </c>
      <c r="B38" s="16">
        <v>1</v>
      </c>
      <c r="C38" s="296">
        <v>6</v>
      </c>
      <c r="D38" s="123">
        <v>7.3650000000000002</v>
      </c>
      <c r="E38" t="s">
        <v>597</v>
      </c>
      <c r="F38">
        <v>3.2</v>
      </c>
      <c r="G38" t="s">
        <v>597</v>
      </c>
      <c r="H38" s="123" t="s">
        <v>3203</v>
      </c>
      <c r="I38">
        <v>37.4</v>
      </c>
      <c r="J38">
        <v>15.3</v>
      </c>
      <c r="K38">
        <v>0</v>
      </c>
      <c r="L38">
        <v>12</v>
      </c>
      <c r="M38">
        <v>20.3</v>
      </c>
      <c r="N38" s="123" t="s">
        <v>2404</v>
      </c>
      <c r="P38">
        <v>2</v>
      </c>
      <c r="Q38" s="296">
        <v>10</v>
      </c>
      <c r="R38" t="s">
        <v>1340</v>
      </c>
      <c r="S38" s="17"/>
      <c r="V38" s="146"/>
      <c r="W38" s="890"/>
      <c r="X38" s="401"/>
      <c r="Y38" s="401"/>
      <c r="Z38" s="407"/>
      <c r="AA38" s="123" t="s">
        <v>2967</v>
      </c>
      <c r="AB38" t="s">
        <v>1340</v>
      </c>
      <c r="AC38" t="s">
        <v>2970</v>
      </c>
      <c r="AD38" s="669" t="s">
        <v>1340</v>
      </c>
      <c r="AE38" s="895" t="s">
        <v>1340</v>
      </c>
      <c r="AF38" s="401">
        <v>12</v>
      </c>
      <c r="AG38" s="401">
        <v>12</v>
      </c>
      <c r="AH38" s="407">
        <v>6.8</v>
      </c>
      <c r="AI38" s="891"/>
      <c r="AL38" s="401"/>
      <c r="AM38" s="401"/>
      <c r="AN38" s="123">
        <v>24</v>
      </c>
      <c r="AO38">
        <v>36</v>
      </c>
      <c r="AP38" t="s">
        <v>1340</v>
      </c>
      <c r="AQ38" t="s">
        <v>1283</v>
      </c>
      <c r="AR38" t="s">
        <v>418</v>
      </c>
      <c r="AS38" t="s">
        <v>658</v>
      </c>
      <c r="AT38" s="146" t="s">
        <v>419</v>
      </c>
      <c r="AZ38" t="s">
        <v>2419</v>
      </c>
      <c r="BC38" s="146"/>
      <c r="BE38" t="b">
        <f t="array" ref="BE38">IF(OR(R38="yes",W38="yes"),BG38,BH38)</f>
        <v>0</v>
      </c>
      <c r="BF38" t="b">
        <f t="array" ref="BF38">AND(D38:G38=inp_used_minimal,A38=inp_usersel)</f>
        <v>0</v>
      </c>
      <c r="BG38" t="b">
        <f t="array" ref="BG38">AND(A38=inp_usersel,D38:Q38=inp_used_nonvessel1,AA38:AD38=inp_used_nonvessel2,AN38:BC38=inp_used_nonvessel3,IF(B38=2,inp_used_gravity=inp_autosize_gravity,inp_used_pressure=inp_autosize_pressure),IF(AC38="pressure vessels",inp_used_filt_pressure=inp_autosize_filt_pressure,IF(AC38="gravity basins",inp_used_filt_gravity=inp_autosize_filt_gravity,TRUE)))</f>
        <v>0</v>
      </c>
      <c r="BH38" t="b">
        <f t="array" ref="BH38">AND(A38=inp_usersel,D38:BC38=inp_used)</f>
        <v>0</v>
      </c>
    </row>
    <row r="39" spans="1:60" x14ac:dyDescent="0.2">
      <c r="A39" s="16">
        <v>2</v>
      </c>
      <c r="B39" s="16">
        <v>1</v>
      </c>
      <c r="C39" s="296">
        <v>7</v>
      </c>
      <c r="D39" s="123">
        <v>22.614000000000001</v>
      </c>
      <c r="E39" t="s">
        <v>597</v>
      </c>
      <c r="F39">
        <v>11.066000000000001</v>
      </c>
      <c r="G39" t="s">
        <v>597</v>
      </c>
      <c r="H39" s="123" t="s">
        <v>3203</v>
      </c>
      <c r="I39">
        <v>37.4</v>
      </c>
      <c r="J39">
        <v>15.3</v>
      </c>
      <c r="K39">
        <v>0</v>
      </c>
      <c r="L39">
        <v>12</v>
      </c>
      <c r="M39">
        <v>20.3</v>
      </c>
      <c r="N39" s="123" t="s">
        <v>2404</v>
      </c>
      <c r="P39">
        <v>2</v>
      </c>
      <c r="Q39" s="296">
        <v>10</v>
      </c>
      <c r="R39" t="s">
        <v>1340</v>
      </c>
      <c r="S39" s="17"/>
      <c r="V39" s="146"/>
      <c r="W39" s="890"/>
      <c r="X39" s="401"/>
      <c r="Y39" s="401"/>
      <c r="Z39" s="407"/>
      <c r="AA39" s="123" t="s">
        <v>2967</v>
      </c>
      <c r="AB39" t="s">
        <v>1340</v>
      </c>
      <c r="AC39" t="s">
        <v>2970</v>
      </c>
      <c r="AD39" s="669" t="s">
        <v>1340</v>
      </c>
      <c r="AE39" s="895" t="s">
        <v>1340</v>
      </c>
      <c r="AF39" s="401">
        <v>13</v>
      </c>
      <c r="AG39" s="401">
        <v>13</v>
      </c>
      <c r="AH39" s="407">
        <v>8.9</v>
      </c>
      <c r="AI39" s="891"/>
      <c r="AL39" s="401"/>
      <c r="AM39" s="401"/>
      <c r="AN39" s="123">
        <v>24</v>
      </c>
      <c r="AO39">
        <v>36</v>
      </c>
      <c r="AP39" t="s">
        <v>1340</v>
      </c>
      <c r="AQ39" t="s">
        <v>1283</v>
      </c>
      <c r="AR39" t="s">
        <v>418</v>
      </c>
      <c r="AS39" t="s">
        <v>658</v>
      </c>
      <c r="AT39" s="146" t="s">
        <v>419</v>
      </c>
      <c r="AZ39" t="s">
        <v>2419</v>
      </c>
      <c r="BC39" s="146"/>
      <c r="BE39" t="b">
        <f t="array" ref="BE39">IF(OR(R39="yes",W39="yes"),BG39,BH39)</f>
        <v>0</v>
      </c>
      <c r="BF39" t="b">
        <f t="array" ref="BF39">AND(D39:G39=inp_used_minimal,A39=inp_usersel)</f>
        <v>0</v>
      </c>
      <c r="BG39" t="b">
        <f t="array" ref="BG39">AND(A39=inp_usersel,D39:Q39=inp_used_nonvessel1,AA39:AD39=inp_used_nonvessel2,AN39:BC39=inp_used_nonvessel3,IF(B39=2,inp_used_gravity=inp_autosize_gravity,inp_used_pressure=inp_autosize_pressure),IF(AC39="pressure vessels",inp_used_filt_pressure=inp_autosize_filt_pressure,IF(AC39="gravity basins",inp_used_filt_gravity=inp_autosize_filt_gravity,TRUE)))</f>
        <v>0</v>
      </c>
      <c r="BH39" t="b">
        <f t="array" ref="BH39">AND(A39=inp_usersel,D39:BC39=inp_used)</f>
        <v>0</v>
      </c>
    </row>
    <row r="40" spans="1:60" x14ac:dyDescent="0.2">
      <c r="A40" s="391">
        <v>2</v>
      </c>
      <c r="B40" s="391">
        <v>1</v>
      </c>
      <c r="C40" s="297">
        <v>8</v>
      </c>
      <c r="D40" s="274">
        <v>75.072000000000003</v>
      </c>
      <c r="E40" s="116" t="s">
        <v>597</v>
      </c>
      <c r="F40" s="116">
        <v>37.536000000000001</v>
      </c>
      <c r="G40" s="116" t="s">
        <v>597</v>
      </c>
      <c r="H40" s="274" t="s">
        <v>3203</v>
      </c>
      <c r="I40" s="116">
        <v>37.4</v>
      </c>
      <c r="J40" s="116">
        <v>15.3</v>
      </c>
      <c r="K40" s="116">
        <v>0</v>
      </c>
      <c r="L40" s="116">
        <v>12</v>
      </c>
      <c r="M40" s="116">
        <v>20.3</v>
      </c>
      <c r="N40" s="274" t="s">
        <v>2404</v>
      </c>
      <c r="O40" s="116"/>
      <c r="P40" s="116">
        <v>2</v>
      </c>
      <c r="Q40" s="296">
        <v>10</v>
      </c>
      <c r="R40" t="s">
        <v>1340</v>
      </c>
      <c r="S40" s="17"/>
      <c r="V40" s="146"/>
      <c r="W40" s="893"/>
      <c r="X40" s="402"/>
      <c r="Y40" s="402"/>
      <c r="Z40" s="403"/>
      <c r="AA40" s="123" t="s">
        <v>2967</v>
      </c>
      <c r="AB40" t="s">
        <v>1340</v>
      </c>
      <c r="AC40" t="s">
        <v>2970</v>
      </c>
      <c r="AD40" s="669" t="s">
        <v>1340</v>
      </c>
      <c r="AE40" s="895" t="s">
        <v>1340</v>
      </c>
      <c r="AF40" s="402">
        <v>21.5</v>
      </c>
      <c r="AG40" s="402">
        <v>21.5</v>
      </c>
      <c r="AH40" s="403">
        <v>8.9</v>
      </c>
      <c r="AI40" s="892"/>
      <c r="AJ40" s="116"/>
      <c r="AK40" s="116"/>
      <c r="AL40" s="402"/>
      <c r="AM40" s="402"/>
      <c r="AN40" s="274">
        <v>24</v>
      </c>
      <c r="AO40" s="116">
        <v>36</v>
      </c>
      <c r="AP40" s="116" t="s">
        <v>1340</v>
      </c>
      <c r="AQ40" s="116" t="s">
        <v>1283</v>
      </c>
      <c r="AR40" s="116" t="s">
        <v>418</v>
      </c>
      <c r="AS40" s="116" t="s">
        <v>658</v>
      </c>
      <c r="AT40" s="275" t="s">
        <v>419</v>
      </c>
      <c r="AU40" s="116"/>
      <c r="AV40" s="116"/>
      <c r="AW40" s="116"/>
      <c r="AX40" s="116"/>
      <c r="AY40" s="116"/>
      <c r="AZ40" s="116" t="s">
        <v>2419</v>
      </c>
      <c r="BA40" s="116"/>
      <c r="BB40" s="116"/>
      <c r="BC40" s="275"/>
      <c r="BE40" t="b">
        <f t="array" ref="BE40">IF(OR(R40="yes",W40="yes"),BG40,BH40)</f>
        <v>0</v>
      </c>
      <c r="BF40" t="b">
        <f t="array" ref="BF40">AND(D40:G40=inp_used_minimal,A40=inp_usersel)</f>
        <v>0</v>
      </c>
      <c r="BG40" t="b">
        <f t="array" ref="BG40">AND(A40=inp_usersel,D40:Q40=inp_used_nonvessel1,AA40:AD40=inp_used_nonvessel2,AN40:BC40=inp_used_nonvessel3,IF(B40=2,inp_used_gravity=inp_autosize_gravity,inp_used_pressure=inp_autosize_pressure),IF(AC40="pressure vessels",inp_used_filt_pressure=inp_autosize_filt_pressure,IF(AC40="gravity basins",inp_used_filt_gravity=inp_autosize_filt_gravity,TRUE)))</f>
        <v>0</v>
      </c>
      <c r="BH40" t="b">
        <f t="array" ref="BH40">AND(A40=inp_usersel,D40:BC40=inp_used)</f>
        <v>0</v>
      </c>
    </row>
    <row r="41" spans="1:60" x14ac:dyDescent="0.2">
      <c r="A41" s="392">
        <v>2</v>
      </c>
      <c r="B41" s="392">
        <v>2</v>
      </c>
      <c r="C41" s="293">
        <v>1</v>
      </c>
      <c r="D41" s="294">
        <v>0.03</v>
      </c>
      <c r="E41" t="s">
        <v>597</v>
      </c>
      <c r="F41" s="16">
        <v>7.0000000000000001E-3</v>
      </c>
      <c r="G41" s="146" t="s">
        <v>597</v>
      </c>
      <c r="H41" s="326" t="s">
        <v>3203</v>
      </c>
      <c r="I41" s="268">
        <v>37.4</v>
      </c>
      <c r="J41" s="268">
        <v>15.3</v>
      </c>
      <c r="K41" s="268">
        <v>0</v>
      </c>
      <c r="L41" s="268">
        <v>12</v>
      </c>
      <c r="M41" s="268">
        <v>20.3</v>
      </c>
      <c r="N41" s="326" t="s">
        <v>2404</v>
      </c>
      <c r="O41" s="268"/>
      <c r="P41" s="268">
        <v>2</v>
      </c>
      <c r="Q41" s="518">
        <v>10</v>
      </c>
      <c r="R41" s="268"/>
      <c r="S41" s="405"/>
      <c r="T41" s="405"/>
      <c r="U41" s="405"/>
      <c r="V41" s="406"/>
      <c r="W41" s="897" t="s">
        <v>1340</v>
      </c>
      <c r="Z41" s="327"/>
      <c r="AA41" s="326" t="s">
        <v>2967</v>
      </c>
      <c r="AB41" s="268" t="s">
        <v>1340</v>
      </c>
      <c r="AC41" s="268" t="s">
        <v>2970</v>
      </c>
      <c r="AD41" s="668" t="s">
        <v>1340</v>
      </c>
      <c r="AE41" s="894" t="s">
        <v>1340</v>
      </c>
      <c r="AF41" s="405">
        <v>3</v>
      </c>
      <c r="AG41" s="405">
        <v>3</v>
      </c>
      <c r="AH41" s="406">
        <v>3.1</v>
      </c>
      <c r="AI41" s="404"/>
      <c r="AJ41" s="268"/>
      <c r="AK41" s="268"/>
      <c r="AL41" s="405"/>
      <c r="AM41" s="405"/>
      <c r="AN41" s="326">
        <v>24</v>
      </c>
      <c r="AO41" s="268">
        <v>36</v>
      </c>
      <c r="AP41" s="268" t="s">
        <v>1340</v>
      </c>
      <c r="AQ41" s="268" t="s">
        <v>1283</v>
      </c>
      <c r="AR41" s="268" t="s">
        <v>418</v>
      </c>
      <c r="AS41" s="268" t="s">
        <v>658</v>
      </c>
      <c r="AT41" s="327" t="s">
        <v>419</v>
      </c>
      <c r="AZ41" t="s">
        <v>2419</v>
      </c>
      <c r="BC41" s="146"/>
      <c r="BD41" s="694" t="s">
        <v>3840</v>
      </c>
      <c r="BE41" t="b">
        <f t="array" ref="BE41">IF(OR(R41="yes",W41="yes"),BG41,BH41)</f>
        <v>0</v>
      </c>
      <c r="BF41" t="b">
        <f t="array" ref="BF41">AND(D41:G41=inp_used_minimal,A41=inp_usersel)</f>
        <v>0</v>
      </c>
      <c r="BG41" t="b">
        <f t="array" ref="BG41">AND(A41=inp_usersel,D41:Q41=inp_used_nonvessel1,AA41:AD41=inp_used_nonvessel2,AN41:BC41=inp_used_nonvessel3,IF(B41=2,inp_used_gravity=inp_autosize_gravity,inp_used_pressure=inp_autosize_pressure),IF(AC41="pressure vessels",inp_used_filt_pressure=inp_autosize_filt_pressure,IF(AC41="gravity basins",inp_used_filt_gravity=inp_autosize_filt_gravity,TRUE)))</f>
        <v>0</v>
      </c>
      <c r="BH41" t="b">
        <f t="array" ref="BH41">AND(A41=inp_usersel,D41:BC41=inp_used)</f>
        <v>0</v>
      </c>
    </row>
    <row r="42" spans="1:60" x14ac:dyDescent="0.2">
      <c r="A42" s="16">
        <v>2</v>
      </c>
      <c r="B42" s="16">
        <v>2</v>
      </c>
      <c r="C42" s="295">
        <v>2</v>
      </c>
      <c r="D42" s="294">
        <v>0.124</v>
      </c>
      <c r="E42" t="s">
        <v>597</v>
      </c>
      <c r="F42" s="16">
        <v>3.5000000000000003E-2</v>
      </c>
      <c r="G42" s="146" t="s">
        <v>597</v>
      </c>
      <c r="H42" s="123" t="s">
        <v>3203</v>
      </c>
      <c r="I42">
        <v>37.4</v>
      </c>
      <c r="J42">
        <v>15.3</v>
      </c>
      <c r="K42">
        <v>0</v>
      </c>
      <c r="L42">
        <v>12</v>
      </c>
      <c r="M42">
        <v>20.3</v>
      </c>
      <c r="N42" s="123" t="s">
        <v>2404</v>
      </c>
      <c r="P42">
        <v>2</v>
      </c>
      <c r="Q42" s="296">
        <v>10</v>
      </c>
      <c r="S42" s="401"/>
      <c r="T42" s="401"/>
      <c r="U42" s="401"/>
      <c r="V42" s="407"/>
      <c r="W42" s="891" t="s">
        <v>1340</v>
      </c>
      <c r="Z42" s="146"/>
      <c r="AA42" s="123" t="s">
        <v>2967</v>
      </c>
      <c r="AB42" t="s">
        <v>1340</v>
      </c>
      <c r="AC42" t="s">
        <v>2970</v>
      </c>
      <c r="AD42" s="669" t="s">
        <v>1340</v>
      </c>
      <c r="AE42" s="895" t="s">
        <v>1340</v>
      </c>
      <c r="AF42" s="401">
        <v>3.5</v>
      </c>
      <c r="AG42" s="872">
        <v>3.5</v>
      </c>
      <c r="AH42" s="407">
        <v>4.7</v>
      </c>
      <c r="AI42" s="891"/>
      <c r="AL42" s="401"/>
      <c r="AM42" s="401"/>
      <c r="AN42" s="123">
        <v>24</v>
      </c>
      <c r="AO42">
        <v>36</v>
      </c>
      <c r="AP42" t="s">
        <v>1340</v>
      </c>
      <c r="AQ42" t="s">
        <v>1283</v>
      </c>
      <c r="AR42" t="s">
        <v>418</v>
      </c>
      <c r="AS42" t="s">
        <v>658</v>
      </c>
      <c r="AT42" s="146" t="s">
        <v>419</v>
      </c>
      <c r="AZ42" t="s">
        <v>2419</v>
      </c>
      <c r="BC42" s="146"/>
      <c r="BE42" t="b">
        <f t="array" ref="BE42">IF(OR(R42="yes",W42="yes"),BG42,BH42)</f>
        <v>0</v>
      </c>
      <c r="BF42" t="b">
        <f t="array" ref="BF42">AND(D42:G42=inp_used_minimal,A42=inp_usersel)</f>
        <v>0</v>
      </c>
      <c r="BG42" t="b">
        <f t="array" ref="BG42">AND(A42=inp_usersel,D42:Q42=inp_used_nonvessel1,AA42:AD42=inp_used_nonvessel2,AN42:BC42=inp_used_nonvessel3,IF(B42=2,inp_used_gravity=inp_autosize_gravity,inp_used_pressure=inp_autosize_pressure),IF(AC42="pressure vessels",inp_used_filt_pressure=inp_autosize_filt_pressure,IF(AC42="gravity basins",inp_used_filt_gravity=inp_autosize_filt_gravity,TRUE)))</f>
        <v>0</v>
      </c>
      <c r="BH42" t="b">
        <f t="array" ref="BH42">AND(A42=inp_usersel,D42:BC42=inp_used)</f>
        <v>0</v>
      </c>
    </row>
    <row r="43" spans="1:60" x14ac:dyDescent="0.2">
      <c r="A43" s="16">
        <v>2</v>
      </c>
      <c r="B43" s="16">
        <v>2</v>
      </c>
      <c r="C43" s="295">
        <v>3</v>
      </c>
      <c r="D43" s="294">
        <v>0.30499999999999999</v>
      </c>
      <c r="E43" t="s">
        <v>597</v>
      </c>
      <c r="F43" s="16">
        <v>9.4E-2</v>
      </c>
      <c r="G43" s="146" t="s">
        <v>597</v>
      </c>
      <c r="H43" s="123" t="s">
        <v>3203</v>
      </c>
      <c r="I43">
        <v>37.4</v>
      </c>
      <c r="J43">
        <v>15.3</v>
      </c>
      <c r="K43">
        <v>0</v>
      </c>
      <c r="L43">
        <v>12</v>
      </c>
      <c r="M43">
        <v>20.3</v>
      </c>
      <c r="N43" s="123" t="s">
        <v>2404</v>
      </c>
      <c r="P43">
        <v>2</v>
      </c>
      <c r="Q43" s="296">
        <v>10</v>
      </c>
      <c r="S43" s="401"/>
      <c r="T43" s="401"/>
      <c r="U43" s="401"/>
      <c r="V43" s="407"/>
      <c r="W43" s="891" t="s">
        <v>1340</v>
      </c>
      <c r="Z43" s="146"/>
      <c r="AA43" s="123" t="s">
        <v>2967</v>
      </c>
      <c r="AB43" t="s">
        <v>1340</v>
      </c>
      <c r="AC43" t="s">
        <v>2970</v>
      </c>
      <c r="AD43" s="669" t="s">
        <v>1340</v>
      </c>
      <c r="AE43" s="895" t="s">
        <v>1340</v>
      </c>
      <c r="AF43" s="401">
        <v>5.5</v>
      </c>
      <c r="AG43" s="401">
        <v>5.5</v>
      </c>
      <c r="AH43" s="407">
        <v>4.7</v>
      </c>
      <c r="AI43" s="891"/>
      <c r="AL43" s="401"/>
      <c r="AM43" s="401"/>
      <c r="AN43" s="123">
        <v>24</v>
      </c>
      <c r="AO43">
        <v>36</v>
      </c>
      <c r="AP43" t="s">
        <v>1340</v>
      </c>
      <c r="AQ43" t="s">
        <v>1283</v>
      </c>
      <c r="AR43" t="s">
        <v>418</v>
      </c>
      <c r="AS43" t="s">
        <v>658</v>
      </c>
      <c r="AT43" s="146" t="s">
        <v>419</v>
      </c>
      <c r="AZ43" t="s">
        <v>2419</v>
      </c>
      <c r="BC43" s="146"/>
      <c r="BE43" t="b">
        <f t="array" ref="BE43">IF(OR(R43="yes",W43="yes"),BG43,BH43)</f>
        <v>0</v>
      </c>
      <c r="BF43" t="b">
        <f t="array" ref="BF43">AND(D43:G43=inp_used_minimal,A43=inp_usersel)</f>
        <v>0</v>
      </c>
      <c r="BG43" t="b">
        <f t="array" ref="BG43">AND(A43=inp_usersel,D43:Q43=inp_used_nonvessel1,AA43:AD43=inp_used_nonvessel2,AN43:BC43=inp_used_nonvessel3,IF(B43=2,inp_used_gravity=inp_autosize_gravity,inp_used_pressure=inp_autosize_pressure),IF(AC43="pressure vessels",inp_used_filt_pressure=inp_autosize_filt_pressure,IF(AC43="gravity basins",inp_used_filt_gravity=inp_autosize_filt_gravity,TRUE)))</f>
        <v>0</v>
      </c>
      <c r="BH43" t="b">
        <f t="array" ref="BH43">AND(A43=inp_usersel,D43:BC43=inp_used)</f>
        <v>0</v>
      </c>
    </row>
    <row r="44" spans="1:60" x14ac:dyDescent="0.2">
      <c r="A44" s="16">
        <v>2</v>
      </c>
      <c r="B44" s="16">
        <v>2</v>
      </c>
      <c r="C44" s="295">
        <v>4</v>
      </c>
      <c r="D44" s="294">
        <v>0.74</v>
      </c>
      <c r="E44" t="s">
        <v>597</v>
      </c>
      <c r="F44" s="16">
        <v>0.251</v>
      </c>
      <c r="G44" s="146" t="s">
        <v>597</v>
      </c>
      <c r="H44" s="123" t="s">
        <v>3203</v>
      </c>
      <c r="I44">
        <v>37.4</v>
      </c>
      <c r="J44">
        <v>15.3</v>
      </c>
      <c r="K44">
        <v>0</v>
      </c>
      <c r="L44">
        <v>12</v>
      </c>
      <c r="M44">
        <v>20.3</v>
      </c>
      <c r="N44" s="123" t="s">
        <v>2404</v>
      </c>
      <c r="P44">
        <v>2</v>
      </c>
      <c r="Q44" s="296">
        <v>10</v>
      </c>
      <c r="S44" s="401"/>
      <c r="T44" s="401"/>
      <c r="U44" s="401"/>
      <c r="V44" s="407"/>
      <c r="W44" s="891" t="s">
        <v>1340</v>
      </c>
      <c r="Z44" s="146"/>
      <c r="AA44" s="123" t="s">
        <v>2967</v>
      </c>
      <c r="AB44" t="s">
        <v>1340</v>
      </c>
      <c r="AC44" t="s">
        <v>2970</v>
      </c>
      <c r="AD44" s="669" t="s">
        <v>1340</v>
      </c>
      <c r="AE44" s="895" t="s">
        <v>1340</v>
      </c>
      <c r="AF44" s="401">
        <v>8.5</v>
      </c>
      <c r="AG44" s="401">
        <v>8.5</v>
      </c>
      <c r="AH44" s="407">
        <v>4.8</v>
      </c>
      <c r="AI44" s="891"/>
      <c r="AL44" s="401"/>
      <c r="AM44" s="401"/>
      <c r="AN44" s="123">
        <v>24</v>
      </c>
      <c r="AO44">
        <v>36</v>
      </c>
      <c r="AP44" t="s">
        <v>1340</v>
      </c>
      <c r="AQ44" t="s">
        <v>1283</v>
      </c>
      <c r="AR44" t="s">
        <v>418</v>
      </c>
      <c r="AS44" t="s">
        <v>658</v>
      </c>
      <c r="AT44" s="146" t="s">
        <v>419</v>
      </c>
      <c r="AZ44" t="s">
        <v>2419</v>
      </c>
      <c r="BC44" s="146"/>
      <c r="BE44" t="b">
        <f t="array" ref="BE44">IF(OR(R44="yes",W44="yes"),BG44,BH44)</f>
        <v>0</v>
      </c>
      <c r="BF44" t="b">
        <f t="array" ref="BF44">AND(D44:G44=inp_used_minimal,A44=inp_usersel)</f>
        <v>0</v>
      </c>
      <c r="BG44" t="b">
        <f t="array" ref="BG44">AND(A44=inp_usersel,D44:Q44=inp_used_nonvessel1,AA44:AD44=inp_used_nonvessel2,AN44:BC44=inp_used_nonvessel3,IF(B44=2,inp_used_gravity=inp_autosize_gravity,inp_used_pressure=inp_autosize_pressure),IF(AC44="pressure vessels",inp_used_filt_pressure=inp_autosize_filt_pressure,IF(AC44="gravity basins",inp_used_filt_gravity=inp_autosize_filt_gravity,TRUE)))</f>
        <v>0</v>
      </c>
      <c r="BH44" t="b">
        <f t="array" ref="BH44">AND(A44=inp_usersel,D44:BC44=inp_used)</f>
        <v>0</v>
      </c>
    </row>
    <row r="45" spans="1:60" x14ac:dyDescent="0.2">
      <c r="A45" s="16">
        <v>2</v>
      </c>
      <c r="B45" s="16">
        <v>2</v>
      </c>
      <c r="C45" s="296">
        <v>5</v>
      </c>
      <c r="D45" s="123">
        <v>2.1520000000000001</v>
      </c>
      <c r="E45" t="s">
        <v>597</v>
      </c>
      <c r="F45">
        <v>0.81899999999999995</v>
      </c>
      <c r="G45" s="146" t="s">
        <v>597</v>
      </c>
      <c r="H45" s="123" t="s">
        <v>3203</v>
      </c>
      <c r="I45">
        <v>37.4</v>
      </c>
      <c r="J45">
        <v>15.3</v>
      </c>
      <c r="K45">
        <v>0</v>
      </c>
      <c r="L45">
        <v>12</v>
      </c>
      <c r="M45">
        <v>20.3</v>
      </c>
      <c r="N45" s="123" t="s">
        <v>2404</v>
      </c>
      <c r="P45">
        <v>2</v>
      </c>
      <c r="Q45" s="296">
        <v>10</v>
      </c>
      <c r="S45" s="401"/>
      <c r="T45" s="401"/>
      <c r="U45" s="401"/>
      <c r="V45" s="407"/>
      <c r="W45" s="891" t="s">
        <v>1340</v>
      </c>
      <c r="Z45" s="146"/>
      <c r="AA45" s="123" t="s">
        <v>2967</v>
      </c>
      <c r="AB45" t="s">
        <v>1340</v>
      </c>
      <c r="AC45" t="s">
        <v>2970</v>
      </c>
      <c r="AD45" s="669" t="s">
        <v>1340</v>
      </c>
      <c r="AE45" s="895" t="s">
        <v>1340</v>
      </c>
      <c r="AF45" s="401">
        <v>8.5</v>
      </c>
      <c r="AG45" s="401">
        <v>8.5</v>
      </c>
      <c r="AH45" s="407">
        <v>7</v>
      </c>
      <c r="AI45" s="891"/>
      <c r="AL45" s="401"/>
      <c r="AM45" s="401"/>
      <c r="AN45" s="123">
        <v>24</v>
      </c>
      <c r="AO45">
        <v>36</v>
      </c>
      <c r="AP45" t="s">
        <v>1340</v>
      </c>
      <c r="AQ45" t="s">
        <v>1283</v>
      </c>
      <c r="AR45" t="s">
        <v>418</v>
      </c>
      <c r="AS45" t="s">
        <v>658</v>
      </c>
      <c r="AT45" s="146" t="s">
        <v>419</v>
      </c>
      <c r="AZ45" t="s">
        <v>2419</v>
      </c>
      <c r="BC45" s="146"/>
      <c r="BE45" t="b">
        <f t="array" ref="BE45">IF(OR(R45="yes",W45="yes"),BG45,BH45)</f>
        <v>0</v>
      </c>
      <c r="BF45" t="b">
        <f t="array" ref="BF45">AND(D45:G45=inp_used_minimal,A45=inp_usersel)</f>
        <v>0</v>
      </c>
      <c r="BG45" t="b">
        <f t="array" ref="BG45">AND(A45=inp_usersel,D45:Q45=inp_used_nonvessel1,AA45:AD45=inp_used_nonvessel2,AN45:BC45=inp_used_nonvessel3,IF(B45=2,inp_used_gravity=inp_autosize_gravity,inp_used_pressure=inp_autosize_pressure),IF(AC45="pressure vessels",inp_used_filt_pressure=inp_autosize_filt_pressure,IF(AC45="gravity basins",inp_used_filt_gravity=inp_autosize_filt_gravity,TRUE)))</f>
        <v>0</v>
      </c>
      <c r="BH45" t="b">
        <f t="array" ref="BH45">AND(A45=inp_usersel,D45:BC45=inp_used)</f>
        <v>0</v>
      </c>
    </row>
    <row r="46" spans="1:60" x14ac:dyDescent="0.2">
      <c r="A46" s="16">
        <v>2</v>
      </c>
      <c r="B46" s="16">
        <v>2</v>
      </c>
      <c r="C46" s="296">
        <v>6</v>
      </c>
      <c r="D46" s="123">
        <v>7.3650000000000002</v>
      </c>
      <c r="E46" t="s">
        <v>597</v>
      </c>
      <c r="F46">
        <v>3.2</v>
      </c>
      <c r="G46" s="146" t="s">
        <v>597</v>
      </c>
      <c r="H46" s="123" t="s">
        <v>3203</v>
      </c>
      <c r="I46">
        <v>37.4</v>
      </c>
      <c r="J46">
        <v>15.3</v>
      </c>
      <c r="K46">
        <v>0</v>
      </c>
      <c r="L46">
        <v>12</v>
      </c>
      <c r="M46">
        <v>20.3</v>
      </c>
      <c r="N46" s="123" t="s">
        <v>2404</v>
      </c>
      <c r="P46">
        <v>2</v>
      </c>
      <c r="Q46" s="296">
        <v>10</v>
      </c>
      <c r="S46" s="401"/>
      <c r="T46" s="401"/>
      <c r="U46" s="401"/>
      <c r="V46" s="407"/>
      <c r="W46" s="891" t="s">
        <v>1340</v>
      </c>
      <c r="Z46" s="146"/>
      <c r="AA46" s="123" t="s">
        <v>2967</v>
      </c>
      <c r="AB46" t="s">
        <v>1340</v>
      </c>
      <c r="AC46" t="s">
        <v>2970</v>
      </c>
      <c r="AD46" s="669" t="s">
        <v>1340</v>
      </c>
      <c r="AE46" s="895" t="s">
        <v>1340</v>
      </c>
      <c r="AF46" s="401">
        <v>10.5</v>
      </c>
      <c r="AG46" s="401">
        <v>10.5</v>
      </c>
      <c r="AH46" s="407">
        <v>6.9</v>
      </c>
      <c r="AI46" s="891"/>
      <c r="AL46" s="401"/>
      <c r="AM46" s="401"/>
      <c r="AN46" s="123">
        <v>24</v>
      </c>
      <c r="AO46">
        <v>36</v>
      </c>
      <c r="AP46" t="s">
        <v>1340</v>
      </c>
      <c r="AQ46" t="s">
        <v>1283</v>
      </c>
      <c r="AR46" t="s">
        <v>418</v>
      </c>
      <c r="AS46" t="s">
        <v>658</v>
      </c>
      <c r="AT46" s="146" t="s">
        <v>419</v>
      </c>
      <c r="AZ46" t="s">
        <v>2419</v>
      </c>
      <c r="BC46" s="146"/>
      <c r="BE46" t="b">
        <f t="array" ref="BE46">IF(OR(R46="yes",W46="yes"),BG46,BH46)</f>
        <v>0</v>
      </c>
      <c r="BF46" t="b">
        <f t="array" ref="BF46">AND(D46:G46=inp_used_minimal,A46=inp_usersel)</f>
        <v>0</v>
      </c>
      <c r="BG46" t="b">
        <f t="array" ref="BG46">AND(A46=inp_usersel,D46:Q46=inp_used_nonvessel1,AA46:AD46=inp_used_nonvessel2,AN46:BC46=inp_used_nonvessel3,IF(B46=2,inp_used_gravity=inp_autosize_gravity,inp_used_pressure=inp_autosize_pressure),IF(AC46="pressure vessels",inp_used_filt_pressure=inp_autosize_filt_pressure,IF(AC46="gravity basins",inp_used_filt_gravity=inp_autosize_filt_gravity,TRUE)))</f>
        <v>0</v>
      </c>
      <c r="BH46" t="b">
        <f t="array" ref="BH46">AND(A46=inp_usersel,D46:BC46=inp_used)</f>
        <v>0</v>
      </c>
    </row>
    <row r="47" spans="1:60" x14ac:dyDescent="0.2">
      <c r="A47" s="16">
        <v>2</v>
      </c>
      <c r="B47" s="16">
        <v>2</v>
      </c>
      <c r="C47" s="296">
        <v>7</v>
      </c>
      <c r="D47" s="123">
        <v>22.614000000000001</v>
      </c>
      <c r="E47" t="s">
        <v>597</v>
      </c>
      <c r="F47">
        <v>11.066000000000001</v>
      </c>
      <c r="G47" s="146" t="s">
        <v>597</v>
      </c>
      <c r="H47" s="123" t="s">
        <v>3203</v>
      </c>
      <c r="I47">
        <v>37.4</v>
      </c>
      <c r="J47">
        <v>15.3</v>
      </c>
      <c r="K47">
        <v>0</v>
      </c>
      <c r="L47">
        <v>12</v>
      </c>
      <c r="M47">
        <v>20.3</v>
      </c>
      <c r="N47" s="123" t="s">
        <v>2404</v>
      </c>
      <c r="P47">
        <v>2</v>
      </c>
      <c r="Q47" s="296">
        <v>10</v>
      </c>
      <c r="S47" s="401"/>
      <c r="T47" s="401"/>
      <c r="U47" s="401"/>
      <c r="V47" s="407"/>
      <c r="W47" s="891" t="s">
        <v>1340</v>
      </c>
      <c r="Z47" s="146"/>
      <c r="AA47" s="123" t="s">
        <v>2967</v>
      </c>
      <c r="AB47" t="s">
        <v>1340</v>
      </c>
      <c r="AC47" t="s">
        <v>2970</v>
      </c>
      <c r="AD47" s="669" t="s">
        <v>1340</v>
      </c>
      <c r="AE47" s="895" t="s">
        <v>1340</v>
      </c>
      <c r="AF47" s="401">
        <v>18.5</v>
      </c>
      <c r="AG47" s="401">
        <v>18.5</v>
      </c>
      <c r="AH47" s="407">
        <v>8.8000000000000007</v>
      </c>
      <c r="AI47" s="891"/>
      <c r="AL47" s="401"/>
      <c r="AM47" s="401"/>
      <c r="AN47" s="123">
        <v>24</v>
      </c>
      <c r="AO47">
        <v>36</v>
      </c>
      <c r="AP47" t="s">
        <v>1340</v>
      </c>
      <c r="AQ47" t="s">
        <v>1283</v>
      </c>
      <c r="AR47" t="s">
        <v>418</v>
      </c>
      <c r="AS47" t="s">
        <v>658</v>
      </c>
      <c r="AT47" s="146" t="s">
        <v>419</v>
      </c>
      <c r="AZ47" t="s">
        <v>2419</v>
      </c>
      <c r="BC47" s="146"/>
      <c r="BE47" t="b">
        <f t="array" ref="BE47">IF(OR(R47="yes",W47="yes"),BG47,BH47)</f>
        <v>0</v>
      </c>
      <c r="BF47" t="b">
        <f t="array" ref="BF47">AND(D47:G47=inp_used_minimal,A47=inp_usersel)</f>
        <v>0</v>
      </c>
      <c r="BG47" t="b">
        <f t="array" ref="BG47">AND(A47=inp_usersel,D47:Q47=inp_used_nonvessel1,AA47:AD47=inp_used_nonvessel2,AN47:BC47=inp_used_nonvessel3,IF(B47=2,inp_used_gravity=inp_autosize_gravity,inp_used_pressure=inp_autosize_pressure),IF(AC47="pressure vessels",inp_used_filt_pressure=inp_autosize_filt_pressure,IF(AC47="gravity basins",inp_used_filt_gravity=inp_autosize_filt_gravity,TRUE)))</f>
        <v>0</v>
      </c>
      <c r="BH47" t="b">
        <f t="array" ref="BH47">AND(A47=inp_usersel,D47:BC47=inp_used)</f>
        <v>0</v>
      </c>
    </row>
    <row r="48" spans="1:60" x14ac:dyDescent="0.2">
      <c r="A48" s="391">
        <v>2</v>
      </c>
      <c r="B48" s="391">
        <v>2</v>
      </c>
      <c r="C48" s="297">
        <v>8</v>
      </c>
      <c r="D48" s="274">
        <v>75.072000000000003</v>
      </c>
      <c r="E48" s="116" t="s">
        <v>597</v>
      </c>
      <c r="F48" s="116">
        <v>37.536000000000001</v>
      </c>
      <c r="G48" s="275" t="s">
        <v>597</v>
      </c>
      <c r="H48" s="274" t="s">
        <v>3203</v>
      </c>
      <c r="I48" s="116">
        <v>37.4</v>
      </c>
      <c r="J48" s="116">
        <v>15.3</v>
      </c>
      <c r="K48" s="116">
        <v>0</v>
      </c>
      <c r="L48" s="116">
        <v>12</v>
      </c>
      <c r="M48" s="116">
        <v>20.3</v>
      </c>
      <c r="N48" s="274" t="s">
        <v>2404</v>
      </c>
      <c r="O48" s="116"/>
      <c r="P48" s="116">
        <v>2</v>
      </c>
      <c r="Q48" s="296">
        <v>10</v>
      </c>
      <c r="R48" s="893"/>
      <c r="S48" s="402"/>
      <c r="T48" s="402"/>
      <c r="U48" s="402"/>
      <c r="V48" s="403"/>
      <c r="W48" s="892" t="s">
        <v>1340</v>
      </c>
      <c r="X48" s="116"/>
      <c r="Y48" s="116"/>
      <c r="Z48" s="275"/>
      <c r="AA48" s="123" t="s">
        <v>2967</v>
      </c>
      <c r="AB48" t="s">
        <v>1340</v>
      </c>
      <c r="AC48" t="s">
        <v>2970</v>
      </c>
      <c r="AD48" s="669" t="s">
        <v>1340</v>
      </c>
      <c r="AE48" s="895" t="s">
        <v>1340</v>
      </c>
      <c r="AF48" s="402">
        <v>30</v>
      </c>
      <c r="AG48" s="402">
        <v>30</v>
      </c>
      <c r="AH48" s="403">
        <v>9.6999999999999993</v>
      </c>
      <c r="AI48" s="892"/>
      <c r="AJ48" s="116"/>
      <c r="AK48" s="116"/>
      <c r="AL48" s="402"/>
      <c r="AM48" s="402"/>
      <c r="AN48" s="274">
        <v>24</v>
      </c>
      <c r="AO48" s="116">
        <v>36</v>
      </c>
      <c r="AP48" s="116" t="s">
        <v>1340</v>
      </c>
      <c r="AQ48" s="116" t="s">
        <v>1283</v>
      </c>
      <c r="AR48" s="116" t="s">
        <v>418</v>
      </c>
      <c r="AS48" s="116" t="s">
        <v>658</v>
      </c>
      <c r="AT48" s="275" t="s">
        <v>419</v>
      </c>
      <c r="AU48" s="116"/>
      <c r="AV48" s="116"/>
      <c r="AW48" s="116"/>
      <c r="AX48" s="116"/>
      <c r="AY48" s="116"/>
      <c r="AZ48" s="116" t="s">
        <v>2419</v>
      </c>
      <c r="BA48" s="116"/>
      <c r="BB48" s="116"/>
      <c r="BC48" s="275"/>
      <c r="BE48" t="b">
        <f t="array" ref="BE48">IF(OR(R48="yes",W48="yes"),BG48,BH48)</f>
        <v>0</v>
      </c>
      <c r="BF48" t="b">
        <f t="array" ref="BF48">AND(D48:G48=inp_used_minimal,A48=inp_usersel)</f>
        <v>0</v>
      </c>
      <c r="BG48" t="b">
        <f t="array" ref="BG48">AND(A48=inp_usersel,D48:Q48=inp_used_nonvessel1,AA48:AD48=inp_used_nonvessel2,AN48:BC48=inp_used_nonvessel3,IF(B48=2,inp_used_gravity=inp_autosize_gravity,inp_used_pressure=inp_autosize_pressure),IF(AC48="pressure vessels",inp_used_filt_pressure=inp_autosize_filt_pressure,IF(AC48="gravity basins",inp_used_filt_gravity=inp_autosize_filt_gravity,TRUE)))</f>
        <v>0</v>
      </c>
      <c r="BH48" t="b">
        <f t="array" ref="BH48">AND(A48=inp_usersel,D48:BC48=inp_used)</f>
        <v>0</v>
      </c>
    </row>
    <row r="49" spans="1:60" x14ac:dyDescent="0.2">
      <c r="A49" s="392">
        <v>2</v>
      </c>
      <c r="B49" s="392">
        <v>3</v>
      </c>
      <c r="C49" s="293">
        <v>1</v>
      </c>
      <c r="D49" s="294">
        <v>0.03</v>
      </c>
      <c r="E49" t="s">
        <v>597</v>
      </c>
      <c r="F49" s="16">
        <v>7.0000000000000001E-3</v>
      </c>
      <c r="G49" s="146" t="s">
        <v>597</v>
      </c>
      <c r="H49" s="326" t="s">
        <v>3203</v>
      </c>
      <c r="I49" s="268">
        <v>37.4</v>
      </c>
      <c r="J49" s="268">
        <v>15.3</v>
      </c>
      <c r="K49" s="268">
        <v>0</v>
      </c>
      <c r="L49" s="268">
        <v>12</v>
      </c>
      <c r="M49" s="268">
        <v>20.3</v>
      </c>
      <c r="N49" s="326" t="s">
        <v>2404</v>
      </c>
      <c r="O49" s="268"/>
      <c r="P49" s="268">
        <v>2</v>
      </c>
      <c r="Q49" s="518">
        <v>10</v>
      </c>
      <c r="R49" t="s">
        <v>1340</v>
      </c>
      <c r="S49" s="666"/>
      <c r="T49" s="268"/>
      <c r="U49" s="268"/>
      <c r="V49" s="327"/>
      <c r="W49" s="890"/>
      <c r="Z49" s="327"/>
      <c r="AA49" s="326" t="s">
        <v>2967</v>
      </c>
      <c r="AB49" s="268" t="s">
        <v>1340</v>
      </c>
      <c r="AC49" s="268" t="s">
        <v>4188</v>
      </c>
      <c r="AD49" s="668" t="s">
        <v>1340</v>
      </c>
      <c r="AE49" s="894"/>
      <c r="AF49" s="405"/>
      <c r="AG49" s="405"/>
      <c r="AH49" s="406"/>
      <c r="AI49" s="404" t="s">
        <v>1340</v>
      </c>
      <c r="AJ49" s="268">
        <v>3</v>
      </c>
      <c r="AK49" s="268" t="s">
        <v>2163</v>
      </c>
      <c r="AL49" s="405">
        <v>5.5</v>
      </c>
      <c r="AM49" s="405">
        <v>2</v>
      </c>
      <c r="AN49" s="326"/>
      <c r="AO49" s="268">
        <v>36</v>
      </c>
      <c r="AP49" s="268" t="s">
        <v>1340</v>
      </c>
      <c r="AQ49" s="268" t="s">
        <v>1283</v>
      </c>
      <c r="AR49" s="268" t="s">
        <v>418</v>
      </c>
      <c r="AS49" s="268" t="s">
        <v>658</v>
      </c>
      <c r="AT49" s="327" t="s">
        <v>419</v>
      </c>
      <c r="AZ49" t="s">
        <v>2419</v>
      </c>
      <c r="BC49" s="146"/>
      <c r="BD49" s="694" t="s">
        <v>3841</v>
      </c>
      <c r="BE49" t="b">
        <f t="array" ref="BE49">IF(OR(R49="yes",W49="yes"),BG49,BH49)</f>
        <v>0</v>
      </c>
      <c r="BF49" t="b">
        <f t="array" ref="BF49">AND(D49:G49=inp_used_minimal,A49=inp_usersel)</f>
        <v>0</v>
      </c>
      <c r="BG49" t="b">
        <f t="array" ref="BG49">AND(A49=inp_usersel,D49:Q49=inp_used_nonvessel1,AA49:AD49=inp_used_nonvessel2,AN49:BC49=inp_used_nonvessel3,IF(B49=2,inp_used_gravity=inp_autosize_gravity,inp_used_pressure=inp_autosize_pressure),IF(AC49="pressure vessels",inp_used_filt_pressure=inp_autosize_filt_pressure,IF(AC49="gravity basins",inp_used_filt_gravity=inp_autosize_filt_gravity,TRUE)))</f>
        <v>0</v>
      </c>
      <c r="BH49" t="b">
        <f t="array" ref="BH49">AND(A49=inp_usersel,D49:BC49=inp_used)</f>
        <v>0</v>
      </c>
    </row>
    <row r="50" spans="1:60" x14ac:dyDescent="0.2">
      <c r="A50" s="16">
        <v>2</v>
      </c>
      <c r="B50" s="16">
        <v>3</v>
      </c>
      <c r="C50" s="295">
        <v>2</v>
      </c>
      <c r="D50" s="294">
        <v>0.124</v>
      </c>
      <c r="E50" t="s">
        <v>597</v>
      </c>
      <c r="F50" s="16">
        <v>3.5000000000000003E-2</v>
      </c>
      <c r="G50" s="146" t="s">
        <v>597</v>
      </c>
      <c r="H50" s="123" t="s">
        <v>3203</v>
      </c>
      <c r="I50">
        <v>37.4</v>
      </c>
      <c r="J50">
        <v>15.3</v>
      </c>
      <c r="K50">
        <v>0</v>
      </c>
      <c r="L50">
        <v>12</v>
      </c>
      <c r="M50">
        <v>20.3</v>
      </c>
      <c r="N50" s="123" t="s">
        <v>2404</v>
      </c>
      <c r="P50">
        <v>2</v>
      </c>
      <c r="Q50" s="296">
        <v>10</v>
      </c>
      <c r="R50" t="s">
        <v>1340</v>
      </c>
      <c r="S50" s="17"/>
      <c r="V50" s="146"/>
      <c r="W50" s="890"/>
      <c r="Z50" s="146"/>
      <c r="AA50" s="123" t="s">
        <v>2967</v>
      </c>
      <c r="AB50" t="s">
        <v>1340</v>
      </c>
      <c r="AC50" t="s">
        <v>4188</v>
      </c>
      <c r="AD50" s="669" t="s">
        <v>1340</v>
      </c>
      <c r="AE50" s="895"/>
      <c r="AF50" s="401"/>
      <c r="AG50" s="401"/>
      <c r="AH50" s="407"/>
      <c r="AI50" s="891" t="s">
        <v>1340</v>
      </c>
      <c r="AJ50">
        <v>4.5999999999999996</v>
      </c>
      <c r="AK50" t="s">
        <v>2163</v>
      </c>
      <c r="AL50" s="401">
        <v>8</v>
      </c>
      <c r="AM50" s="401">
        <v>4</v>
      </c>
      <c r="AN50" s="123"/>
      <c r="AO50">
        <v>36</v>
      </c>
      <c r="AP50" t="s">
        <v>1340</v>
      </c>
      <c r="AQ50" t="s">
        <v>1283</v>
      </c>
      <c r="AR50" t="s">
        <v>418</v>
      </c>
      <c r="AS50" t="s">
        <v>658</v>
      </c>
      <c r="AT50" s="146" t="s">
        <v>419</v>
      </c>
      <c r="AZ50" t="s">
        <v>2419</v>
      </c>
      <c r="BC50" s="146"/>
      <c r="BE50" t="b">
        <f t="array" ref="BE50">IF(OR(R50="yes",W50="yes"),BG50,BH50)</f>
        <v>0</v>
      </c>
      <c r="BF50" t="b">
        <f t="array" ref="BF50">AND(D50:G50=inp_used_minimal,A50=inp_usersel)</f>
        <v>0</v>
      </c>
      <c r="BG50" t="b">
        <f t="array" ref="BG50">AND(A50=inp_usersel,D50:Q50=inp_used_nonvessel1,AA50:AD50=inp_used_nonvessel2,AN50:BC50=inp_used_nonvessel3,IF(B50=2,inp_used_gravity=inp_autosize_gravity,inp_used_pressure=inp_autosize_pressure),IF(AC50="pressure vessels",inp_used_filt_pressure=inp_autosize_filt_pressure,IF(AC50="gravity basins",inp_used_filt_gravity=inp_autosize_filt_gravity,TRUE)))</f>
        <v>0</v>
      </c>
      <c r="BH50" t="b">
        <f t="array" ref="BH50">AND(A50=inp_usersel,D50:BC50=inp_used)</f>
        <v>0</v>
      </c>
    </row>
    <row r="51" spans="1:60" x14ac:dyDescent="0.2">
      <c r="A51" s="16">
        <v>2</v>
      </c>
      <c r="B51" s="16">
        <v>3</v>
      </c>
      <c r="C51" s="295">
        <v>3</v>
      </c>
      <c r="D51" s="294">
        <v>0.30499999999999999</v>
      </c>
      <c r="E51" t="s">
        <v>597</v>
      </c>
      <c r="F51" s="16">
        <v>9.4E-2</v>
      </c>
      <c r="G51" s="146" t="s">
        <v>597</v>
      </c>
      <c r="H51" s="123" t="s">
        <v>3203</v>
      </c>
      <c r="I51">
        <v>37.4</v>
      </c>
      <c r="J51">
        <v>15.3</v>
      </c>
      <c r="K51">
        <v>0</v>
      </c>
      <c r="L51">
        <v>12</v>
      </c>
      <c r="M51">
        <v>20.3</v>
      </c>
      <c r="N51" s="123" t="s">
        <v>2404</v>
      </c>
      <c r="P51">
        <v>2</v>
      </c>
      <c r="Q51" s="296">
        <v>10</v>
      </c>
      <c r="R51" t="s">
        <v>1340</v>
      </c>
      <c r="S51" s="17"/>
      <c r="V51" s="146"/>
      <c r="W51" s="890"/>
      <c r="Z51" s="146"/>
      <c r="AA51" s="123" t="s">
        <v>2967</v>
      </c>
      <c r="AB51" t="s">
        <v>1340</v>
      </c>
      <c r="AC51" t="s">
        <v>4188</v>
      </c>
      <c r="AD51" s="669" t="s">
        <v>1340</v>
      </c>
      <c r="AE51" s="895"/>
      <c r="AF51" s="401"/>
      <c r="AG51" s="401"/>
      <c r="AH51" s="407"/>
      <c r="AI51" s="891" t="s">
        <v>1340</v>
      </c>
      <c r="AJ51">
        <v>4.3</v>
      </c>
      <c r="AK51" t="s">
        <v>2163</v>
      </c>
      <c r="AL51" s="401">
        <v>7.5</v>
      </c>
      <c r="AM51" s="401">
        <v>6.5</v>
      </c>
      <c r="AN51" s="123"/>
      <c r="AO51">
        <v>36</v>
      </c>
      <c r="AP51" t="s">
        <v>1340</v>
      </c>
      <c r="AQ51" t="s">
        <v>1283</v>
      </c>
      <c r="AR51" t="s">
        <v>418</v>
      </c>
      <c r="AS51" t="s">
        <v>658</v>
      </c>
      <c r="AT51" s="146" t="s">
        <v>419</v>
      </c>
      <c r="AZ51" t="s">
        <v>2419</v>
      </c>
      <c r="BC51" s="146"/>
      <c r="BE51" t="b">
        <f t="array" ref="BE51">IF(OR(R51="yes",W51="yes"),BG51,BH51)</f>
        <v>0</v>
      </c>
      <c r="BF51" t="b">
        <f t="array" ref="BF51">AND(D51:G51=inp_used_minimal,A51=inp_usersel)</f>
        <v>0</v>
      </c>
      <c r="BG51" t="b">
        <f t="array" ref="BG51">AND(A51=inp_usersel,D51:Q51=inp_used_nonvessel1,AA51:AD51=inp_used_nonvessel2,AN51:BC51=inp_used_nonvessel3,IF(B51=2,inp_used_gravity=inp_autosize_gravity,inp_used_pressure=inp_autosize_pressure),IF(AC51="pressure vessels",inp_used_filt_pressure=inp_autosize_filt_pressure,IF(AC51="gravity basins",inp_used_filt_gravity=inp_autosize_filt_gravity,TRUE)))</f>
        <v>0</v>
      </c>
      <c r="BH51" t="b">
        <f t="array" ref="BH51">AND(A51=inp_usersel,D51:BC51=inp_used)</f>
        <v>0</v>
      </c>
    </row>
    <row r="52" spans="1:60" x14ac:dyDescent="0.2">
      <c r="A52" s="16">
        <v>2</v>
      </c>
      <c r="B52" s="16">
        <v>3</v>
      </c>
      <c r="C52" s="295">
        <v>4</v>
      </c>
      <c r="D52" s="294">
        <v>0.74</v>
      </c>
      <c r="E52" t="s">
        <v>597</v>
      </c>
      <c r="F52" s="16">
        <v>0.251</v>
      </c>
      <c r="G52" s="146" t="s">
        <v>597</v>
      </c>
      <c r="H52" s="123" t="s">
        <v>3203</v>
      </c>
      <c r="I52">
        <v>37.4</v>
      </c>
      <c r="J52">
        <v>15.3</v>
      </c>
      <c r="K52">
        <v>0</v>
      </c>
      <c r="L52">
        <v>12</v>
      </c>
      <c r="M52">
        <v>20.3</v>
      </c>
      <c r="N52" s="123" t="s">
        <v>2404</v>
      </c>
      <c r="P52">
        <v>2</v>
      </c>
      <c r="Q52" s="296">
        <v>10</v>
      </c>
      <c r="R52" t="s">
        <v>1340</v>
      </c>
      <c r="S52" s="17"/>
      <c r="V52" s="146"/>
      <c r="W52" s="890"/>
      <c r="Z52" s="146"/>
      <c r="AA52" s="123" t="s">
        <v>2967</v>
      </c>
      <c r="AB52" t="s">
        <v>1340</v>
      </c>
      <c r="AC52" t="s">
        <v>4188</v>
      </c>
      <c r="AD52" s="669" t="s">
        <v>1340</v>
      </c>
      <c r="AE52" s="895"/>
      <c r="AF52" s="401"/>
      <c r="AG52" s="401"/>
      <c r="AH52" s="407"/>
      <c r="AI52" s="891" t="s">
        <v>1340</v>
      </c>
      <c r="AJ52">
        <v>4.9000000000000004</v>
      </c>
      <c r="AK52" t="s">
        <v>2163</v>
      </c>
      <c r="AL52" s="401">
        <v>8.5</v>
      </c>
      <c r="AM52" s="401">
        <v>9.5</v>
      </c>
      <c r="AN52" s="123"/>
      <c r="AO52">
        <v>36</v>
      </c>
      <c r="AP52" t="s">
        <v>1340</v>
      </c>
      <c r="AQ52" t="s">
        <v>1283</v>
      </c>
      <c r="AR52" t="s">
        <v>418</v>
      </c>
      <c r="AS52" t="s">
        <v>658</v>
      </c>
      <c r="AT52" s="146" t="s">
        <v>419</v>
      </c>
      <c r="AZ52" t="s">
        <v>2419</v>
      </c>
      <c r="BC52" s="146"/>
      <c r="BE52" t="b">
        <f t="array" ref="BE52">IF(OR(R52="yes",W52="yes"),BG52,BH52)</f>
        <v>0</v>
      </c>
      <c r="BF52" t="b">
        <f t="array" ref="BF52">AND(D52:G52=inp_used_minimal,A52=inp_usersel)</f>
        <v>0</v>
      </c>
      <c r="BG52" t="b">
        <f t="array" ref="BG52">AND(A52=inp_usersel,D52:Q52=inp_used_nonvessel1,AA52:AD52=inp_used_nonvessel2,AN52:BC52=inp_used_nonvessel3,IF(B52=2,inp_used_gravity=inp_autosize_gravity,inp_used_pressure=inp_autosize_pressure),IF(AC52="pressure vessels",inp_used_filt_pressure=inp_autosize_filt_pressure,IF(AC52="gravity basins",inp_used_filt_gravity=inp_autosize_filt_gravity,TRUE)))</f>
        <v>0</v>
      </c>
      <c r="BH52" t="b">
        <f t="array" ref="BH52">AND(A52=inp_usersel,D52:BC52=inp_used)</f>
        <v>0</v>
      </c>
    </row>
    <row r="53" spans="1:60" x14ac:dyDescent="0.2">
      <c r="A53" s="16">
        <v>2</v>
      </c>
      <c r="B53" s="16">
        <v>3</v>
      </c>
      <c r="C53" s="296">
        <v>5</v>
      </c>
      <c r="D53" s="123">
        <v>2.1520000000000001</v>
      </c>
      <c r="E53" t="s">
        <v>597</v>
      </c>
      <c r="F53">
        <v>0.81899999999999995</v>
      </c>
      <c r="G53" s="146" t="s">
        <v>597</v>
      </c>
      <c r="H53" s="123" t="s">
        <v>3203</v>
      </c>
      <c r="I53">
        <v>37.4</v>
      </c>
      <c r="J53">
        <v>15.3</v>
      </c>
      <c r="K53">
        <v>0</v>
      </c>
      <c r="L53">
        <v>12</v>
      </c>
      <c r="M53">
        <v>20.3</v>
      </c>
      <c r="N53" s="123" t="s">
        <v>2404</v>
      </c>
      <c r="P53">
        <v>2</v>
      </c>
      <c r="Q53" s="296">
        <v>10</v>
      </c>
      <c r="R53" t="s">
        <v>1340</v>
      </c>
      <c r="S53" s="17"/>
      <c r="V53" s="146"/>
      <c r="W53" s="890"/>
      <c r="Z53" s="146"/>
      <c r="AA53" s="123" t="s">
        <v>2967</v>
      </c>
      <c r="AB53" t="s">
        <v>1340</v>
      </c>
      <c r="AC53" t="s">
        <v>2970</v>
      </c>
      <c r="AD53" s="669" t="s">
        <v>1340</v>
      </c>
      <c r="AE53" s="895" t="s">
        <v>1340</v>
      </c>
      <c r="AF53" s="401">
        <v>8.5</v>
      </c>
      <c r="AG53" s="401">
        <v>8.5</v>
      </c>
      <c r="AH53" s="407">
        <v>7</v>
      </c>
      <c r="AI53" s="891"/>
      <c r="AL53" s="401"/>
      <c r="AM53" s="401"/>
      <c r="AN53" s="123"/>
      <c r="AO53">
        <v>36</v>
      </c>
      <c r="AP53" t="s">
        <v>1340</v>
      </c>
      <c r="AQ53" t="s">
        <v>1283</v>
      </c>
      <c r="AR53" t="s">
        <v>418</v>
      </c>
      <c r="AS53" t="s">
        <v>658</v>
      </c>
      <c r="AT53" s="146" t="s">
        <v>419</v>
      </c>
      <c r="AZ53" t="s">
        <v>2419</v>
      </c>
      <c r="BC53" s="146"/>
      <c r="BE53" t="b">
        <f t="array" ref="BE53">IF(OR(R53="yes",W53="yes"),BG53,BH53)</f>
        <v>0</v>
      </c>
      <c r="BF53" t="b">
        <f t="array" ref="BF53">AND(D53:G53=inp_used_minimal,A53=inp_usersel)</f>
        <v>0</v>
      </c>
      <c r="BG53" t="b">
        <f t="array" ref="BG53">AND(A53=inp_usersel,D53:Q53=inp_used_nonvessel1,AA53:AD53=inp_used_nonvessel2,AN53:BC53=inp_used_nonvessel3,IF(B53=2,inp_used_gravity=inp_autosize_gravity,inp_used_pressure=inp_autosize_pressure),IF(AC53="pressure vessels",inp_used_filt_pressure=inp_autosize_filt_pressure,IF(AC53="gravity basins",inp_used_filt_gravity=inp_autosize_filt_gravity,TRUE)))</f>
        <v>0</v>
      </c>
      <c r="BH53" t="b">
        <f t="array" ref="BH53">AND(A53=inp_usersel,D53:BC53=inp_used)</f>
        <v>0</v>
      </c>
    </row>
    <row r="54" spans="1:60" x14ac:dyDescent="0.2">
      <c r="A54" s="16">
        <v>2</v>
      </c>
      <c r="B54" s="16">
        <v>3</v>
      </c>
      <c r="C54" s="296">
        <v>6</v>
      </c>
      <c r="D54" s="123">
        <v>7.3650000000000002</v>
      </c>
      <c r="E54" t="s">
        <v>597</v>
      </c>
      <c r="F54">
        <v>3.2</v>
      </c>
      <c r="G54" s="146" t="s">
        <v>597</v>
      </c>
      <c r="H54" s="123" t="s">
        <v>3203</v>
      </c>
      <c r="I54">
        <v>37.4</v>
      </c>
      <c r="J54">
        <v>15.3</v>
      </c>
      <c r="K54">
        <v>0</v>
      </c>
      <c r="L54">
        <v>12</v>
      </c>
      <c r="M54">
        <v>20.3</v>
      </c>
      <c r="N54" s="123" t="s">
        <v>2404</v>
      </c>
      <c r="P54">
        <v>2</v>
      </c>
      <c r="Q54" s="296">
        <v>10</v>
      </c>
      <c r="R54" t="s">
        <v>1340</v>
      </c>
      <c r="S54" s="17"/>
      <c r="V54" s="146"/>
      <c r="W54" s="890"/>
      <c r="Z54" s="146"/>
      <c r="AA54" s="123" t="s">
        <v>2967</v>
      </c>
      <c r="AB54" t="s">
        <v>1340</v>
      </c>
      <c r="AC54" t="s">
        <v>2970</v>
      </c>
      <c r="AD54" s="669" t="s">
        <v>1340</v>
      </c>
      <c r="AE54" s="895" t="s">
        <v>1340</v>
      </c>
      <c r="AF54" s="401">
        <v>13</v>
      </c>
      <c r="AG54" s="401">
        <v>13</v>
      </c>
      <c r="AH54" s="407">
        <v>6.8</v>
      </c>
      <c r="AI54" s="891"/>
      <c r="AL54" s="401"/>
      <c r="AM54" s="401"/>
      <c r="AN54" s="123"/>
      <c r="AO54">
        <v>36</v>
      </c>
      <c r="AP54" t="s">
        <v>1340</v>
      </c>
      <c r="AQ54" t="s">
        <v>1283</v>
      </c>
      <c r="AR54" t="s">
        <v>418</v>
      </c>
      <c r="AS54" t="s">
        <v>658</v>
      </c>
      <c r="AT54" s="146" t="s">
        <v>419</v>
      </c>
      <c r="AZ54" t="s">
        <v>2419</v>
      </c>
      <c r="BC54" s="146"/>
      <c r="BE54" t="b">
        <f t="array" ref="BE54">IF(OR(R54="yes",W54="yes"),BG54,BH54)</f>
        <v>0</v>
      </c>
      <c r="BF54" t="b">
        <f t="array" ref="BF54">AND(D54:G54=inp_used_minimal,A54=inp_usersel)</f>
        <v>0</v>
      </c>
      <c r="BG54" t="b">
        <f t="array" ref="BG54">AND(A54=inp_usersel,D54:Q54=inp_used_nonvessel1,AA54:AD54=inp_used_nonvessel2,AN54:BC54=inp_used_nonvessel3,IF(B54=2,inp_used_gravity=inp_autosize_gravity,inp_used_pressure=inp_autosize_pressure),IF(AC54="pressure vessels",inp_used_filt_pressure=inp_autosize_filt_pressure,IF(AC54="gravity basins",inp_used_filt_gravity=inp_autosize_filt_gravity,TRUE)))</f>
        <v>0</v>
      </c>
      <c r="BH54" t="b">
        <f t="array" ref="BH54">AND(A54=inp_usersel,D54:BC54=inp_used)</f>
        <v>0</v>
      </c>
    </row>
    <row r="55" spans="1:60" x14ac:dyDescent="0.2">
      <c r="A55" s="16">
        <v>2</v>
      </c>
      <c r="B55" s="16">
        <v>3</v>
      </c>
      <c r="C55" s="296">
        <v>7</v>
      </c>
      <c r="D55" s="123">
        <v>22.614000000000001</v>
      </c>
      <c r="E55" t="s">
        <v>597</v>
      </c>
      <c r="F55">
        <v>11.066000000000001</v>
      </c>
      <c r="G55" s="146" t="s">
        <v>597</v>
      </c>
      <c r="H55" s="123" t="s">
        <v>3203</v>
      </c>
      <c r="I55">
        <v>37.4</v>
      </c>
      <c r="J55">
        <v>15.3</v>
      </c>
      <c r="K55">
        <v>0</v>
      </c>
      <c r="L55">
        <v>12</v>
      </c>
      <c r="M55">
        <v>20.3</v>
      </c>
      <c r="N55" s="123" t="s">
        <v>2404</v>
      </c>
      <c r="P55">
        <v>2</v>
      </c>
      <c r="Q55" s="296">
        <v>10</v>
      </c>
      <c r="R55" t="s">
        <v>1340</v>
      </c>
      <c r="S55" s="17"/>
      <c r="V55" s="146"/>
      <c r="W55" s="890"/>
      <c r="Z55" s="146"/>
      <c r="AA55" s="123" t="s">
        <v>2967</v>
      </c>
      <c r="AB55" t="s">
        <v>1340</v>
      </c>
      <c r="AC55" t="s">
        <v>2970</v>
      </c>
      <c r="AD55" s="669" t="s">
        <v>1340</v>
      </c>
      <c r="AE55" s="895" t="s">
        <v>1340</v>
      </c>
      <c r="AF55" s="401">
        <v>13</v>
      </c>
      <c r="AG55" s="401">
        <v>13</v>
      </c>
      <c r="AH55" s="407">
        <v>8.9</v>
      </c>
      <c r="AI55" s="891"/>
      <c r="AL55" s="401"/>
      <c r="AM55" s="401"/>
      <c r="AN55" s="123"/>
      <c r="AO55">
        <v>36</v>
      </c>
      <c r="AP55" t="s">
        <v>1340</v>
      </c>
      <c r="AQ55" t="s">
        <v>1283</v>
      </c>
      <c r="AR55" t="s">
        <v>418</v>
      </c>
      <c r="AS55" t="s">
        <v>658</v>
      </c>
      <c r="AT55" s="146" t="s">
        <v>419</v>
      </c>
      <c r="AZ55" t="s">
        <v>2419</v>
      </c>
      <c r="BC55" s="146"/>
      <c r="BE55" t="b">
        <f t="array" ref="BE55">IF(OR(R55="yes",W55="yes"),BG55,BH55)</f>
        <v>0</v>
      </c>
      <c r="BF55" t="b">
        <f t="array" ref="BF55">AND(D55:G55=inp_used_minimal,A55=inp_usersel)</f>
        <v>0</v>
      </c>
      <c r="BG55" t="b">
        <f t="array" ref="BG55">AND(A55=inp_usersel,D55:Q55=inp_used_nonvessel1,AA55:AD55=inp_used_nonvessel2,AN55:BC55=inp_used_nonvessel3,IF(B55=2,inp_used_gravity=inp_autosize_gravity,inp_used_pressure=inp_autosize_pressure),IF(AC55="pressure vessels",inp_used_filt_pressure=inp_autosize_filt_pressure,IF(AC55="gravity basins",inp_used_filt_gravity=inp_autosize_filt_gravity,TRUE)))</f>
        <v>0</v>
      </c>
      <c r="BH55" t="b">
        <f t="array" ref="BH55">AND(A55=inp_usersel,D55:BC55=inp_used)</f>
        <v>0</v>
      </c>
    </row>
    <row r="56" spans="1:60" x14ac:dyDescent="0.2">
      <c r="A56" s="391">
        <v>2</v>
      </c>
      <c r="B56" s="391">
        <v>3</v>
      </c>
      <c r="C56" s="297">
        <v>8</v>
      </c>
      <c r="D56" s="274">
        <v>75.072000000000003</v>
      </c>
      <c r="E56" s="116" t="s">
        <v>597</v>
      </c>
      <c r="F56" s="116">
        <v>37.536000000000001</v>
      </c>
      <c r="G56" s="275" t="s">
        <v>597</v>
      </c>
      <c r="H56" s="274" t="s">
        <v>3203</v>
      </c>
      <c r="I56" s="116">
        <v>37.4</v>
      </c>
      <c r="J56" s="116">
        <v>15.3</v>
      </c>
      <c r="K56" s="116">
        <v>0</v>
      </c>
      <c r="L56" s="116">
        <v>12</v>
      </c>
      <c r="M56" s="116">
        <v>20.3</v>
      </c>
      <c r="N56" s="274" t="s">
        <v>2404</v>
      </c>
      <c r="O56" s="116"/>
      <c r="P56" s="116">
        <v>2</v>
      </c>
      <c r="Q56" s="296">
        <v>10</v>
      </c>
      <c r="R56" s="893" t="s">
        <v>1340</v>
      </c>
      <c r="S56" s="667"/>
      <c r="T56" s="116"/>
      <c r="U56" s="116"/>
      <c r="V56" s="275"/>
      <c r="W56" s="893"/>
      <c r="X56" s="116"/>
      <c r="Y56" s="116"/>
      <c r="Z56" s="275"/>
      <c r="AA56" s="274" t="s">
        <v>2967</v>
      </c>
      <c r="AB56" s="116" t="s">
        <v>1340</v>
      </c>
      <c r="AC56" t="s">
        <v>2970</v>
      </c>
      <c r="AD56" s="670" t="s">
        <v>1340</v>
      </c>
      <c r="AE56" s="896" t="s">
        <v>1340</v>
      </c>
      <c r="AF56" s="402">
        <v>30</v>
      </c>
      <c r="AG56" s="402">
        <v>30</v>
      </c>
      <c r="AH56" s="403">
        <v>9.6999999999999993</v>
      </c>
      <c r="AI56" s="892"/>
      <c r="AJ56" s="116"/>
      <c r="AK56" s="116"/>
      <c r="AL56" s="402"/>
      <c r="AM56" s="402"/>
      <c r="AN56" s="274"/>
      <c r="AO56" s="116">
        <v>36</v>
      </c>
      <c r="AP56" s="116" t="s">
        <v>1340</v>
      </c>
      <c r="AQ56" s="116" t="s">
        <v>1283</v>
      </c>
      <c r="AR56" s="116" t="s">
        <v>418</v>
      </c>
      <c r="AS56" s="116" t="s">
        <v>658</v>
      </c>
      <c r="AT56" s="275" t="s">
        <v>419</v>
      </c>
      <c r="AU56" s="116"/>
      <c r="AV56" s="116"/>
      <c r="AW56" s="116"/>
      <c r="AX56" s="116"/>
      <c r="AY56" s="116"/>
      <c r="AZ56" s="116" t="s">
        <v>2419</v>
      </c>
      <c r="BA56" s="116"/>
      <c r="BB56" s="116"/>
      <c r="BC56" s="275"/>
      <c r="BE56" t="b">
        <f t="array" ref="BE56">IF(OR(R56="yes",W56="yes"),BG56,BH56)</f>
        <v>0</v>
      </c>
      <c r="BF56" t="b">
        <f t="array" ref="BF56">AND(D56:G56=inp_used_minimal,A56=inp_usersel)</f>
        <v>0</v>
      </c>
      <c r="BG56" t="b">
        <f t="array" ref="BG56">AND(A56=inp_usersel,D56:Q56=inp_used_nonvessel1,AA56:AD56=inp_used_nonvessel2,AN56:BC56=inp_used_nonvessel3,IF(B56=2,inp_used_gravity=inp_autosize_gravity,inp_used_pressure=inp_autosize_pressure),IF(AC56="pressure vessels",inp_used_filt_pressure=inp_autosize_filt_pressure,IF(AC56="gravity basins",inp_used_filt_gravity=inp_autosize_filt_gravity,TRUE)))</f>
        <v>0</v>
      </c>
      <c r="BH56" t="b">
        <f t="array" ref="BH56">AND(A56=inp_usersel,D56:BC56=inp_used)</f>
        <v>0</v>
      </c>
    </row>
    <row r="57" spans="1:60" x14ac:dyDescent="0.2">
      <c r="A57" s="16">
        <v>3</v>
      </c>
      <c r="B57" s="16">
        <v>1</v>
      </c>
      <c r="C57" s="293">
        <v>1</v>
      </c>
      <c r="D57" s="294">
        <v>0.03</v>
      </c>
      <c r="E57" t="s">
        <v>597</v>
      </c>
      <c r="F57" s="16">
        <v>7.0000000000000001E-3</v>
      </c>
      <c r="G57" t="s">
        <v>597</v>
      </c>
      <c r="H57" s="326"/>
      <c r="I57" s="268"/>
      <c r="J57" s="268"/>
      <c r="K57" s="268"/>
      <c r="L57" s="268"/>
      <c r="M57" s="268"/>
      <c r="N57" s="326"/>
      <c r="O57" s="268"/>
      <c r="P57" s="268"/>
      <c r="Q57" s="518"/>
      <c r="S57" s="17"/>
      <c r="T57" s="268"/>
      <c r="V57" s="327"/>
      <c r="W57" s="326"/>
      <c r="X57" s="405"/>
      <c r="Y57" s="405"/>
      <c r="Z57" s="406"/>
      <c r="AA57" s="326"/>
      <c r="AB57" s="268"/>
      <c r="AC57" s="268"/>
      <c r="AD57" s="668"/>
      <c r="AE57" s="894"/>
      <c r="AF57" s="405"/>
      <c r="AG57" s="405"/>
      <c r="AH57" s="406"/>
      <c r="AI57" s="404"/>
      <c r="AJ57" s="268"/>
      <c r="AK57" s="268"/>
      <c r="AL57" s="405"/>
      <c r="AM57" s="405"/>
      <c r="AN57" s="326"/>
      <c r="AO57" s="268"/>
      <c r="AP57" s="268"/>
      <c r="AQ57" s="268"/>
      <c r="AR57" s="268"/>
      <c r="AS57" s="268"/>
      <c r="AT57" s="327"/>
      <c r="AZ57" t="s">
        <v>2419</v>
      </c>
      <c r="BC57" s="146"/>
      <c r="BD57" s="694" t="s">
        <v>3842</v>
      </c>
      <c r="BE57" t="b">
        <f t="array" ref="BE57">IF(OR(R57="yes",W57="yes"),BG57,BH57)</f>
        <v>0</v>
      </c>
      <c r="BF57" t="b">
        <f t="array" ref="BF57">AND(D57:G57=inp_used_minimal,A57=inp_usersel)</f>
        <v>0</v>
      </c>
      <c r="BG57" t="b">
        <f t="array" ref="BG57">AND(A57=inp_usersel,D57:Q57=inp_used_nonvessel1,AA57:AD57=inp_used_nonvessel2,AN57:BC57=inp_used_nonvessel3,IF(B57=2,inp_used_gravity=inp_autosize_gravity,inp_used_pressure=inp_autosize_pressure),IF(AC57="pressure vessels",inp_used_filt_pressure=inp_autosize_filt_pressure,IF(AC57="gravity basins",inp_used_filt_gravity=inp_autosize_filt_gravity,TRUE)))</f>
        <v>0</v>
      </c>
      <c r="BH57" t="b">
        <f t="array" ref="BH57">AND(A57=inp_usersel,D57:BC57=inp_used)</f>
        <v>0</v>
      </c>
    </row>
    <row r="58" spans="1:60" x14ac:dyDescent="0.2">
      <c r="A58" s="16">
        <v>3</v>
      </c>
      <c r="B58" s="16">
        <v>1</v>
      </c>
      <c r="C58" s="295">
        <v>2</v>
      </c>
      <c r="D58" s="294">
        <v>0.124</v>
      </c>
      <c r="E58" t="s">
        <v>597</v>
      </c>
      <c r="F58" s="16">
        <v>3.5000000000000003E-2</v>
      </c>
      <c r="G58" t="s">
        <v>597</v>
      </c>
      <c r="H58" s="123"/>
      <c r="N58" s="123"/>
      <c r="Q58" s="296"/>
      <c r="S58" s="17"/>
      <c r="V58" s="146"/>
      <c r="W58" s="890"/>
      <c r="X58" s="401"/>
      <c r="Y58" s="401"/>
      <c r="Z58" s="407"/>
      <c r="AA58" s="123"/>
      <c r="AD58" s="669"/>
      <c r="AE58" s="895"/>
      <c r="AF58" s="401"/>
      <c r="AG58" s="401"/>
      <c r="AH58" s="407"/>
      <c r="AI58" s="891"/>
      <c r="AL58" s="401"/>
      <c r="AM58" s="401"/>
      <c r="AN58" s="123"/>
      <c r="AT58" s="146"/>
      <c r="AZ58" t="s">
        <v>2419</v>
      </c>
      <c r="BC58" s="146"/>
      <c r="BE58" t="b">
        <f t="array" ref="BE58">IF(OR(R58="yes",W58="yes"),BG58,BH58)</f>
        <v>0</v>
      </c>
      <c r="BF58" t="b">
        <f t="array" ref="BF58">AND(D58:G58=inp_used_minimal,A58=inp_usersel)</f>
        <v>0</v>
      </c>
      <c r="BG58" t="b">
        <f t="array" ref="BG58">AND(A58=inp_usersel,D58:Q58=inp_used_nonvessel1,AA58:AD58=inp_used_nonvessel2,AN58:BC58=inp_used_nonvessel3,IF(B58=2,inp_used_gravity=inp_autosize_gravity,inp_used_pressure=inp_autosize_pressure),IF(AC58="pressure vessels",inp_used_filt_pressure=inp_autosize_filt_pressure,IF(AC58="gravity basins",inp_used_filt_gravity=inp_autosize_filt_gravity,TRUE)))</f>
        <v>0</v>
      </c>
      <c r="BH58" t="b">
        <f t="array" ref="BH58">AND(A58=inp_usersel,D58:BC58=inp_used)</f>
        <v>0</v>
      </c>
    </row>
    <row r="59" spans="1:60" x14ac:dyDescent="0.2">
      <c r="A59" s="16">
        <v>3</v>
      </c>
      <c r="B59" s="16">
        <v>1</v>
      </c>
      <c r="C59" s="295">
        <v>3</v>
      </c>
      <c r="D59" s="294">
        <v>0.30499999999999999</v>
      </c>
      <c r="E59" t="s">
        <v>597</v>
      </c>
      <c r="F59" s="16">
        <v>9.4E-2</v>
      </c>
      <c r="G59" t="s">
        <v>597</v>
      </c>
      <c r="H59" s="123"/>
      <c r="N59" s="123"/>
      <c r="Q59" s="296"/>
      <c r="S59" s="17"/>
      <c r="V59" s="146"/>
      <c r="W59" s="890"/>
      <c r="X59" s="401"/>
      <c r="Y59" s="401"/>
      <c r="Z59" s="407"/>
      <c r="AA59" s="123"/>
      <c r="AD59" s="669"/>
      <c r="AE59" s="895"/>
      <c r="AF59" s="401"/>
      <c r="AG59" s="401"/>
      <c r="AH59" s="407"/>
      <c r="AI59" s="891"/>
      <c r="AL59" s="401"/>
      <c r="AM59" s="401"/>
      <c r="AN59" s="123"/>
      <c r="AT59" s="146"/>
      <c r="AZ59" t="s">
        <v>2419</v>
      </c>
      <c r="BC59" s="146"/>
      <c r="BE59" t="b">
        <f t="array" ref="BE59">IF(OR(R59="yes",W59="yes"),BG59,BH59)</f>
        <v>0</v>
      </c>
      <c r="BF59" t="b">
        <f t="array" ref="BF59">AND(D59:G59=inp_used_minimal,A59=inp_usersel)</f>
        <v>0</v>
      </c>
      <c r="BG59" t="b">
        <f t="array" ref="BG59">AND(A59=inp_usersel,D59:Q59=inp_used_nonvessel1,AA59:AD59=inp_used_nonvessel2,AN59:BC59=inp_used_nonvessel3,IF(B59=2,inp_used_gravity=inp_autosize_gravity,inp_used_pressure=inp_autosize_pressure),IF(AC59="pressure vessels",inp_used_filt_pressure=inp_autosize_filt_pressure,IF(AC59="gravity basins",inp_used_filt_gravity=inp_autosize_filt_gravity,TRUE)))</f>
        <v>0</v>
      </c>
      <c r="BH59" t="b">
        <f t="array" ref="BH59">AND(A59=inp_usersel,D59:BC59=inp_used)</f>
        <v>0</v>
      </c>
    </row>
    <row r="60" spans="1:60" x14ac:dyDescent="0.2">
      <c r="A60" s="16">
        <v>3</v>
      </c>
      <c r="B60" s="16">
        <v>1</v>
      </c>
      <c r="C60" s="295">
        <v>4</v>
      </c>
      <c r="D60" s="294">
        <v>0.74</v>
      </c>
      <c r="E60" t="s">
        <v>597</v>
      </c>
      <c r="F60" s="16">
        <v>0.251</v>
      </c>
      <c r="G60" t="s">
        <v>597</v>
      </c>
      <c r="H60" s="123"/>
      <c r="N60" s="123"/>
      <c r="Q60" s="296"/>
      <c r="S60" s="17"/>
      <c r="V60" s="146"/>
      <c r="W60" s="890"/>
      <c r="X60" s="401"/>
      <c r="Y60" s="401"/>
      <c r="Z60" s="407"/>
      <c r="AA60" s="123"/>
      <c r="AD60" s="669"/>
      <c r="AE60" s="895"/>
      <c r="AF60" s="401"/>
      <c r="AG60" s="401"/>
      <c r="AH60" s="407"/>
      <c r="AI60" s="891"/>
      <c r="AL60" s="401"/>
      <c r="AM60" s="401"/>
      <c r="AN60" s="123"/>
      <c r="AT60" s="146"/>
      <c r="AZ60" t="s">
        <v>2419</v>
      </c>
      <c r="BC60" s="146"/>
      <c r="BE60" t="b">
        <f t="array" ref="BE60">IF(OR(R60="yes",W60="yes"),BG60,BH60)</f>
        <v>0</v>
      </c>
      <c r="BF60" t="b">
        <f t="array" ref="BF60">AND(D60:G60=inp_used_minimal,A60=inp_usersel)</f>
        <v>0</v>
      </c>
      <c r="BG60" t="b">
        <f t="array" ref="BG60">AND(A60=inp_usersel,D60:Q60=inp_used_nonvessel1,AA60:AD60=inp_used_nonvessel2,AN60:BC60=inp_used_nonvessel3,IF(B60=2,inp_used_gravity=inp_autosize_gravity,inp_used_pressure=inp_autosize_pressure),IF(AC60="pressure vessels",inp_used_filt_pressure=inp_autosize_filt_pressure,IF(AC60="gravity basins",inp_used_filt_gravity=inp_autosize_filt_gravity,TRUE)))</f>
        <v>0</v>
      </c>
      <c r="BH60" t="b">
        <f t="array" ref="BH60">AND(A60=inp_usersel,D60:BC60=inp_used)</f>
        <v>0</v>
      </c>
    </row>
    <row r="61" spans="1:60" x14ac:dyDescent="0.2">
      <c r="A61" s="16">
        <v>3</v>
      </c>
      <c r="B61" s="16">
        <v>1</v>
      </c>
      <c r="C61" s="296">
        <v>5</v>
      </c>
      <c r="D61" s="123">
        <v>2.1520000000000001</v>
      </c>
      <c r="E61" t="s">
        <v>597</v>
      </c>
      <c r="F61">
        <v>0.81899999999999995</v>
      </c>
      <c r="G61" t="s">
        <v>597</v>
      </c>
      <c r="H61" s="123"/>
      <c r="N61" s="123"/>
      <c r="Q61" s="296"/>
      <c r="S61" s="17"/>
      <c r="V61" s="146"/>
      <c r="W61" s="890"/>
      <c r="X61" s="401"/>
      <c r="Y61" s="401"/>
      <c r="Z61" s="407"/>
      <c r="AA61" s="123"/>
      <c r="AD61" s="669"/>
      <c r="AE61" s="895"/>
      <c r="AF61" s="401"/>
      <c r="AG61" s="401"/>
      <c r="AH61" s="407"/>
      <c r="AI61" s="891"/>
      <c r="AL61" s="401"/>
      <c r="AM61" s="401"/>
      <c r="AN61" s="123"/>
      <c r="AT61" s="146"/>
      <c r="AZ61" t="s">
        <v>2419</v>
      </c>
      <c r="BC61" s="146"/>
      <c r="BE61" t="b">
        <f t="array" ref="BE61">IF(OR(R61="yes",W61="yes"),BG61,BH61)</f>
        <v>0</v>
      </c>
      <c r="BF61" t="b">
        <f t="array" ref="BF61">AND(D61:G61=inp_used_minimal,A61=inp_usersel)</f>
        <v>0</v>
      </c>
      <c r="BG61" t="b">
        <f t="array" ref="BG61">AND(A61=inp_usersel,D61:Q61=inp_used_nonvessel1,AA61:AD61=inp_used_nonvessel2,AN61:BC61=inp_used_nonvessel3,IF(B61=2,inp_used_gravity=inp_autosize_gravity,inp_used_pressure=inp_autosize_pressure),IF(AC61="pressure vessels",inp_used_filt_pressure=inp_autosize_filt_pressure,IF(AC61="gravity basins",inp_used_filt_gravity=inp_autosize_filt_gravity,TRUE)))</f>
        <v>0</v>
      </c>
      <c r="BH61" t="b">
        <f t="array" ref="BH61">AND(A61=inp_usersel,D61:BC61=inp_used)</f>
        <v>0</v>
      </c>
    </row>
    <row r="62" spans="1:60" x14ac:dyDescent="0.2">
      <c r="A62" s="16">
        <v>3</v>
      </c>
      <c r="B62" s="16">
        <v>1</v>
      </c>
      <c r="C62" s="296">
        <v>6</v>
      </c>
      <c r="D62" s="123">
        <v>7.3650000000000002</v>
      </c>
      <c r="E62" t="s">
        <v>597</v>
      </c>
      <c r="F62">
        <v>3.2</v>
      </c>
      <c r="G62" t="s">
        <v>597</v>
      </c>
      <c r="H62" s="123"/>
      <c r="N62" s="123"/>
      <c r="Q62" s="296"/>
      <c r="S62" s="17"/>
      <c r="V62" s="146"/>
      <c r="W62" s="890"/>
      <c r="X62" s="401"/>
      <c r="Y62" s="401"/>
      <c r="Z62" s="407"/>
      <c r="AA62" s="123"/>
      <c r="AD62" s="669"/>
      <c r="AE62" s="895"/>
      <c r="AF62" s="401"/>
      <c r="AG62" s="401"/>
      <c r="AH62" s="407"/>
      <c r="AI62" s="891"/>
      <c r="AL62" s="401"/>
      <c r="AM62" s="401"/>
      <c r="AN62" s="123"/>
      <c r="AT62" s="146"/>
      <c r="AZ62" t="s">
        <v>2419</v>
      </c>
      <c r="BC62" s="146"/>
      <c r="BE62" t="b">
        <f t="array" ref="BE62">IF(OR(R62="yes",W62="yes"),BG62,BH62)</f>
        <v>0</v>
      </c>
      <c r="BF62" t="b">
        <f t="array" ref="BF62">AND(D62:G62=inp_used_minimal,A62=inp_usersel)</f>
        <v>0</v>
      </c>
      <c r="BG62" t="b">
        <f t="array" ref="BG62">AND(A62=inp_usersel,D62:Q62=inp_used_nonvessel1,AA62:AD62=inp_used_nonvessel2,AN62:BC62=inp_used_nonvessel3,IF(B62=2,inp_used_gravity=inp_autosize_gravity,inp_used_pressure=inp_autosize_pressure),IF(AC62="pressure vessels",inp_used_filt_pressure=inp_autosize_filt_pressure,IF(AC62="gravity basins",inp_used_filt_gravity=inp_autosize_filt_gravity,TRUE)))</f>
        <v>0</v>
      </c>
      <c r="BH62" t="b">
        <f t="array" ref="BH62">AND(A62=inp_usersel,D62:BC62=inp_used)</f>
        <v>0</v>
      </c>
    </row>
    <row r="63" spans="1:60" x14ac:dyDescent="0.2">
      <c r="A63" s="16">
        <v>3</v>
      </c>
      <c r="B63" s="16">
        <v>1</v>
      </c>
      <c r="C63" s="296">
        <v>7</v>
      </c>
      <c r="D63" s="123">
        <v>22.614000000000001</v>
      </c>
      <c r="E63" t="s">
        <v>597</v>
      </c>
      <c r="F63">
        <v>11.066000000000001</v>
      </c>
      <c r="G63" t="s">
        <v>597</v>
      </c>
      <c r="H63" s="123"/>
      <c r="N63" s="123"/>
      <c r="Q63" s="296"/>
      <c r="S63" s="17"/>
      <c r="V63" s="146"/>
      <c r="W63" s="890"/>
      <c r="X63" s="401"/>
      <c r="Y63" s="401"/>
      <c r="Z63" s="407"/>
      <c r="AA63" s="123"/>
      <c r="AD63" s="669"/>
      <c r="AE63" s="895"/>
      <c r="AF63" s="401"/>
      <c r="AG63" s="401"/>
      <c r="AH63" s="407"/>
      <c r="AI63" s="891"/>
      <c r="AL63" s="401"/>
      <c r="AM63" s="401"/>
      <c r="AN63" s="123"/>
      <c r="AT63" s="146"/>
      <c r="AZ63" t="s">
        <v>2419</v>
      </c>
      <c r="BC63" s="146"/>
      <c r="BE63" t="b">
        <f t="array" ref="BE63">IF(OR(R63="yes",W63="yes"),BG63,BH63)</f>
        <v>0</v>
      </c>
      <c r="BF63" t="b">
        <f t="array" ref="BF63">AND(D63:G63=inp_used_minimal,A63=inp_usersel)</f>
        <v>0</v>
      </c>
      <c r="BG63" t="b">
        <f t="array" ref="BG63">AND(A63=inp_usersel,D63:Q63=inp_used_nonvessel1,AA63:AD63=inp_used_nonvessel2,AN63:BC63=inp_used_nonvessel3,IF(B63=2,inp_used_gravity=inp_autosize_gravity,inp_used_pressure=inp_autosize_pressure),IF(AC63="pressure vessels",inp_used_filt_pressure=inp_autosize_filt_pressure,IF(AC63="gravity basins",inp_used_filt_gravity=inp_autosize_filt_gravity,TRUE)))</f>
        <v>0</v>
      </c>
      <c r="BH63" t="b">
        <f t="array" ref="BH63">AND(A63=inp_usersel,D63:BC63=inp_used)</f>
        <v>0</v>
      </c>
    </row>
    <row r="64" spans="1:60" x14ac:dyDescent="0.2">
      <c r="A64" s="391">
        <v>3</v>
      </c>
      <c r="B64" s="391">
        <v>1</v>
      </c>
      <c r="C64" s="297">
        <v>8</v>
      </c>
      <c r="D64" s="274">
        <v>75.072000000000003</v>
      </c>
      <c r="E64" s="116" t="s">
        <v>597</v>
      </c>
      <c r="F64" s="116">
        <v>37.536000000000001</v>
      </c>
      <c r="G64" s="116" t="s">
        <v>597</v>
      </c>
      <c r="H64" s="274"/>
      <c r="I64" s="116"/>
      <c r="J64" s="116"/>
      <c r="K64" s="116"/>
      <c r="L64" s="116"/>
      <c r="M64" s="116"/>
      <c r="N64" s="274"/>
      <c r="O64" s="116"/>
      <c r="P64" s="116"/>
      <c r="Q64" s="296"/>
      <c r="S64" s="17"/>
      <c r="V64" s="146"/>
      <c r="W64" s="893"/>
      <c r="X64" s="402"/>
      <c r="Y64" s="402"/>
      <c r="Z64" s="403"/>
      <c r="AA64" s="123"/>
      <c r="AD64" s="669"/>
      <c r="AE64" s="895"/>
      <c r="AF64" s="402"/>
      <c r="AG64" s="402"/>
      <c r="AH64" s="403"/>
      <c r="AI64" s="892"/>
      <c r="AJ64" s="116"/>
      <c r="AK64" s="116"/>
      <c r="AL64" s="402"/>
      <c r="AM64" s="402"/>
      <c r="AN64" s="274"/>
      <c r="AO64" s="116"/>
      <c r="AP64" s="116"/>
      <c r="AQ64" s="116"/>
      <c r="AR64" s="116"/>
      <c r="AS64" s="116"/>
      <c r="AT64" s="275"/>
      <c r="AU64" s="116"/>
      <c r="AV64" s="116"/>
      <c r="AW64" s="116"/>
      <c r="AX64" s="116"/>
      <c r="AY64" s="116"/>
      <c r="AZ64" s="116" t="s">
        <v>2419</v>
      </c>
      <c r="BA64" s="116"/>
      <c r="BB64" s="116"/>
      <c r="BC64" s="275"/>
      <c r="BE64" t="b">
        <f t="array" ref="BE64">IF(OR(R64="yes",W64="yes"),BG64,BH64)</f>
        <v>0</v>
      </c>
      <c r="BF64" t="b">
        <f t="array" ref="BF64">AND(D64:G64=inp_used_minimal,A64=inp_usersel)</f>
        <v>0</v>
      </c>
      <c r="BG64" t="b">
        <f t="array" ref="BG64">AND(A64=inp_usersel,D64:Q64=inp_used_nonvessel1,AA64:AD64=inp_used_nonvessel2,AN64:BC64=inp_used_nonvessel3,IF(B64=2,inp_used_gravity=inp_autosize_gravity,inp_used_pressure=inp_autosize_pressure),IF(AC64="pressure vessels",inp_used_filt_pressure=inp_autosize_filt_pressure,IF(AC64="gravity basins",inp_used_filt_gravity=inp_autosize_filt_gravity,TRUE)))</f>
        <v>0</v>
      </c>
      <c r="BH64" t="b">
        <f t="array" ref="BH64">AND(A64=inp_usersel,D64:BC64=inp_used)</f>
        <v>0</v>
      </c>
    </row>
    <row r="65" spans="1:60" x14ac:dyDescent="0.2">
      <c r="A65" s="392">
        <v>3</v>
      </c>
      <c r="B65" s="392">
        <v>2</v>
      </c>
      <c r="C65" s="293">
        <v>1</v>
      </c>
      <c r="D65" s="294">
        <v>0.03</v>
      </c>
      <c r="E65" t="s">
        <v>597</v>
      </c>
      <c r="F65" s="16">
        <v>7.0000000000000001E-3</v>
      </c>
      <c r="G65" s="146" t="s">
        <v>597</v>
      </c>
      <c r="H65" s="326"/>
      <c r="I65" s="268"/>
      <c r="J65" s="268"/>
      <c r="K65" s="268"/>
      <c r="L65" s="268"/>
      <c r="M65" s="268"/>
      <c r="N65" s="326"/>
      <c r="O65" s="268"/>
      <c r="P65" s="268"/>
      <c r="Q65" s="518"/>
      <c r="R65" s="268"/>
      <c r="S65" s="405"/>
      <c r="T65" s="405"/>
      <c r="U65" s="405"/>
      <c r="V65" s="406"/>
      <c r="W65" s="891"/>
      <c r="Z65" s="327"/>
      <c r="AA65" s="326"/>
      <c r="AB65" s="268"/>
      <c r="AC65" s="268"/>
      <c r="AD65" s="668"/>
      <c r="AE65" s="894"/>
      <c r="AF65" s="405"/>
      <c r="AG65" s="405"/>
      <c r="AH65" s="406"/>
      <c r="AI65" s="404"/>
      <c r="AJ65" s="268"/>
      <c r="AK65" s="268"/>
      <c r="AL65" s="405"/>
      <c r="AM65" s="405"/>
      <c r="AN65" s="326"/>
      <c r="AO65" s="268"/>
      <c r="AP65" s="268"/>
      <c r="AQ65" s="268"/>
      <c r="AR65" s="268"/>
      <c r="AS65" s="268"/>
      <c r="AT65" s="327"/>
      <c r="AZ65" t="s">
        <v>2419</v>
      </c>
      <c r="BC65" s="146"/>
      <c r="BD65" s="694" t="s">
        <v>3843</v>
      </c>
      <c r="BE65" t="b">
        <f t="array" ref="BE65">IF(OR(R65="yes",W65="yes"),BG65,BH65)</f>
        <v>0</v>
      </c>
      <c r="BF65" t="b">
        <f t="array" ref="BF65">AND(D65:G65=inp_used_minimal,A65=inp_usersel)</f>
        <v>0</v>
      </c>
      <c r="BG65" t="b">
        <f t="array" ref="BG65">AND(A65=inp_usersel,D65:Q65=inp_used_nonvessel1,AA65:AD65=inp_used_nonvessel2,AN65:BC65=inp_used_nonvessel3,IF(B65=2,inp_used_gravity=inp_autosize_gravity,inp_used_pressure=inp_autosize_pressure),IF(AC65="pressure vessels",inp_used_filt_pressure=inp_autosize_filt_pressure,IF(AC65="gravity basins",inp_used_filt_gravity=inp_autosize_filt_gravity,TRUE)))</f>
        <v>0</v>
      </c>
      <c r="BH65" t="b">
        <f t="array" ref="BH65">AND(A65=inp_usersel,D65:BC65=inp_used)</f>
        <v>0</v>
      </c>
    </row>
    <row r="66" spans="1:60" x14ac:dyDescent="0.2">
      <c r="A66" s="16">
        <v>3</v>
      </c>
      <c r="B66" s="16">
        <v>2</v>
      </c>
      <c r="C66" s="295">
        <v>2</v>
      </c>
      <c r="D66" s="294">
        <v>0.124</v>
      </c>
      <c r="E66" t="s">
        <v>597</v>
      </c>
      <c r="F66" s="16">
        <v>3.5000000000000003E-2</v>
      </c>
      <c r="G66" s="146" t="s">
        <v>597</v>
      </c>
      <c r="H66" s="123"/>
      <c r="N66" s="123"/>
      <c r="Q66" s="296"/>
      <c r="S66" s="401"/>
      <c r="T66" s="401"/>
      <c r="U66" s="401"/>
      <c r="V66" s="407"/>
      <c r="W66" s="891"/>
      <c r="Z66" s="146"/>
      <c r="AA66" s="123"/>
      <c r="AD66" s="669"/>
      <c r="AE66" s="895"/>
      <c r="AF66" s="401"/>
      <c r="AG66" s="401"/>
      <c r="AH66" s="407"/>
      <c r="AI66" s="891"/>
      <c r="AL66" s="401"/>
      <c r="AM66" s="401"/>
      <c r="AN66" s="123"/>
      <c r="AT66" s="146"/>
      <c r="AZ66" t="s">
        <v>2419</v>
      </c>
      <c r="BC66" s="146"/>
      <c r="BE66" t="b">
        <f t="array" ref="BE66">IF(OR(R66="yes",W66="yes"),BG66,BH66)</f>
        <v>0</v>
      </c>
      <c r="BF66" t="b">
        <f t="array" ref="BF66">AND(D66:G66=inp_used_minimal,A66=inp_usersel)</f>
        <v>0</v>
      </c>
      <c r="BG66" t="b">
        <f t="array" ref="BG66">AND(A66=inp_usersel,D66:Q66=inp_used_nonvessel1,AA66:AD66=inp_used_nonvessel2,AN66:BC66=inp_used_nonvessel3,IF(B66=2,inp_used_gravity=inp_autosize_gravity,inp_used_pressure=inp_autosize_pressure),IF(AC66="pressure vessels",inp_used_filt_pressure=inp_autosize_filt_pressure,IF(AC66="gravity basins",inp_used_filt_gravity=inp_autosize_filt_gravity,TRUE)))</f>
        <v>0</v>
      </c>
      <c r="BH66" t="b">
        <f t="array" ref="BH66">AND(A66=inp_usersel,D66:BC66=inp_used)</f>
        <v>0</v>
      </c>
    </row>
    <row r="67" spans="1:60" x14ac:dyDescent="0.2">
      <c r="A67" s="16">
        <v>3</v>
      </c>
      <c r="B67" s="16">
        <v>2</v>
      </c>
      <c r="C67" s="295">
        <v>3</v>
      </c>
      <c r="D67" s="294">
        <v>0.30499999999999999</v>
      </c>
      <c r="E67" t="s">
        <v>597</v>
      </c>
      <c r="F67" s="16">
        <v>9.4E-2</v>
      </c>
      <c r="G67" s="146" t="s">
        <v>597</v>
      </c>
      <c r="H67" s="123"/>
      <c r="N67" s="123"/>
      <c r="Q67" s="296"/>
      <c r="S67" s="401"/>
      <c r="T67" s="401"/>
      <c r="U67" s="401"/>
      <c r="V67" s="407"/>
      <c r="W67" s="891"/>
      <c r="Z67" s="146"/>
      <c r="AA67" s="123"/>
      <c r="AD67" s="669"/>
      <c r="AE67" s="895"/>
      <c r="AF67" s="401"/>
      <c r="AG67" s="401"/>
      <c r="AH67" s="407"/>
      <c r="AI67" s="891"/>
      <c r="AL67" s="401"/>
      <c r="AM67" s="401"/>
      <c r="AN67" s="123"/>
      <c r="AT67" s="146"/>
      <c r="AZ67" t="s">
        <v>2419</v>
      </c>
      <c r="BC67" s="146"/>
      <c r="BE67" t="b">
        <f t="array" ref="BE67">IF(OR(R67="yes",W67="yes"),BG67,BH67)</f>
        <v>0</v>
      </c>
      <c r="BF67" t="b">
        <f t="array" ref="BF67">AND(D67:G67=inp_used_minimal,A67=inp_usersel)</f>
        <v>0</v>
      </c>
      <c r="BG67" t="b">
        <f t="array" ref="BG67">AND(A67=inp_usersel,D67:Q67=inp_used_nonvessel1,AA67:AD67=inp_used_nonvessel2,AN67:BC67=inp_used_nonvessel3,IF(B67=2,inp_used_gravity=inp_autosize_gravity,inp_used_pressure=inp_autosize_pressure),IF(AC67="pressure vessels",inp_used_filt_pressure=inp_autosize_filt_pressure,IF(AC67="gravity basins",inp_used_filt_gravity=inp_autosize_filt_gravity,TRUE)))</f>
        <v>0</v>
      </c>
      <c r="BH67" t="b">
        <f t="array" ref="BH67">AND(A67=inp_usersel,D67:BC67=inp_used)</f>
        <v>0</v>
      </c>
    </row>
    <row r="68" spans="1:60" x14ac:dyDescent="0.2">
      <c r="A68" s="16">
        <v>3</v>
      </c>
      <c r="B68" s="16">
        <v>2</v>
      </c>
      <c r="C68" s="295">
        <v>4</v>
      </c>
      <c r="D68" s="294">
        <v>0.74</v>
      </c>
      <c r="E68" t="s">
        <v>597</v>
      </c>
      <c r="F68" s="16">
        <v>0.251</v>
      </c>
      <c r="G68" s="146" t="s">
        <v>597</v>
      </c>
      <c r="H68" s="123"/>
      <c r="N68" s="123"/>
      <c r="Q68" s="296"/>
      <c r="S68" s="401"/>
      <c r="T68" s="401"/>
      <c r="U68" s="401"/>
      <c r="V68" s="407"/>
      <c r="W68" s="891"/>
      <c r="Z68" s="146"/>
      <c r="AA68" s="123"/>
      <c r="AD68" s="669"/>
      <c r="AE68" s="895"/>
      <c r="AF68" s="401"/>
      <c r="AG68" s="401"/>
      <c r="AH68" s="407"/>
      <c r="AI68" s="891"/>
      <c r="AL68" s="401"/>
      <c r="AM68" s="401"/>
      <c r="AN68" s="123"/>
      <c r="AT68" s="146"/>
      <c r="AZ68" t="s">
        <v>2419</v>
      </c>
      <c r="BC68" s="146"/>
      <c r="BE68" t="b">
        <f t="array" ref="BE68">IF(OR(R68="yes",W68="yes"),BG68,BH68)</f>
        <v>0</v>
      </c>
      <c r="BF68" t="b">
        <f t="array" ref="BF68">AND(D68:G68=inp_used_minimal,A68=inp_usersel)</f>
        <v>0</v>
      </c>
      <c r="BG68" t="b">
        <f t="array" ref="BG68">AND(A68=inp_usersel,D68:Q68=inp_used_nonvessel1,AA68:AD68=inp_used_nonvessel2,AN68:BC68=inp_used_nonvessel3,IF(B68=2,inp_used_gravity=inp_autosize_gravity,inp_used_pressure=inp_autosize_pressure),IF(AC68="pressure vessels",inp_used_filt_pressure=inp_autosize_filt_pressure,IF(AC68="gravity basins",inp_used_filt_gravity=inp_autosize_filt_gravity,TRUE)))</f>
        <v>0</v>
      </c>
      <c r="BH68" t="b">
        <f t="array" ref="BH68">AND(A68=inp_usersel,D68:BC68=inp_used)</f>
        <v>0</v>
      </c>
    </row>
    <row r="69" spans="1:60" x14ac:dyDescent="0.2">
      <c r="A69" s="16">
        <v>3</v>
      </c>
      <c r="B69" s="16">
        <v>2</v>
      </c>
      <c r="C69" s="296">
        <v>5</v>
      </c>
      <c r="D69" s="123">
        <v>2.1520000000000001</v>
      </c>
      <c r="E69" t="s">
        <v>597</v>
      </c>
      <c r="F69">
        <v>0.81899999999999995</v>
      </c>
      <c r="G69" s="146" t="s">
        <v>597</v>
      </c>
      <c r="H69" s="123"/>
      <c r="N69" s="123"/>
      <c r="Q69" s="296"/>
      <c r="S69" s="401"/>
      <c r="T69" s="401"/>
      <c r="U69" s="401"/>
      <c r="V69" s="407"/>
      <c r="W69" s="891"/>
      <c r="Z69" s="146"/>
      <c r="AA69" s="123"/>
      <c r="AD69" s="669"/>
      <c r="AE69" s="895"/>
      <c r="AF69" s="401"/>
      <c r="AG69" s="401"/>
      <c r="AH69" s="407"/>
      <c r="AI69" s="891"/>
      <c r="AL69" s="401"/>
      <c r="AM69" s="401"/>
      <c r="AN69" s="123"/>
      <c r="AT69" s="146"/>
      <c r="AZ69" t="s">
        <v>2419</v>
      </c>
      <c r="BC69" s="146"/>
      <c r="BE69" t="b">
        <f t="array" ref="BE69">IF(OR(R69="yes",W69="yes"),BG69,BH69)</f>
        <v>0</v>
      </c>
      <c r="BF69" t="b">
        <f t="array" ref="BF69">AND(D69:G69=inp_used_minimal,A69=inp_usersel)</f>
        <v>0</v>
      </c>
      <c r="BG69" t="b">
        <f t="array" ref="BG69">AND(A69=inp_usersel,D69:Q69=inp_used_nonvessel1,AA69:AD69=inp_used_nonvessel2,AN69:BC69=inp_used_nonvessel3,IF(B69=2,inp_used_gravity=inp_autosize_gravity,inp_used_pressure=inp_autosize_pressure),IF(AC69="pressure vessels",inp_used_filt_pressure=inp_autosize_filt_pressure,IF(AC69="gravity basins",inp_used_filt_gravity=inp_autosize_filt_gravity,TRUE)))</f>
        <v>0</v>
      </c>
      <c r="BH69" t="b">
        <f t="array" ref="BH69">AND(A69=inp_usersel,D69:BC69=inp_used)</f>
        <v>0</v>
      </c>
    </row>
    <row r="70" spans="1:60" x14ac:dyDescent="0.2">
      <c r="A70" s="16">
        <v>3</v>
      </c>
      <c r="B70" s="16">
        <v>2</v>
      </c>
      <c r="C70" s="296">
        <v>6</v>
      </c>
      <c r="D70" s="123">
        <v>7.3650000000000002</v>
      </c>
      <c r="E70" t="s">
        <v>597</v>
      </c>
      <c r="F70">
        <v>3.2</v>
      </c>
      <c r="G70" s="146" t="s">
        <v>597</v>
      </c>
      <c r="H70" s="123"/>
      <c r="N70" s="123"/>
      <c r="Q70" s="296"/>
      <c r="S70" s="401"/>
      <c r="T70" s="401"/>
      <c r="U70" s="401"/>
      <c r="V70" s="407"/>
      <c r="W70" s="891"/>
      <c r="Z70" s="146"/>
      <c r="AA70" s="123"/>
      <c r="AD70" s="669"/>
      <c r="AE70" s="895"/>
      <c r="AF70" s="401"/>
      <c r="AG70" s="401"/>
      <c r="AH70" s="407"/>
      <c r="AI70" s="891"/>
      <c r="AL70" s="401"/>
      <c r="AM70" s="401"/>
      <c r="AN70" s="123"/>
      <c r="AT70" s="146"/>
      <c r="AZ70" t="s">
        <v>2419</v>
      </c>
      <c r="BC70" s="146"/>
      <c r="BE70" t="b">
        <f t="array" ref="BE70">IF(OR(R70="yes",W70="yes"),BG70,BH70)</f>
        <v>0</v>
      </c>
      <c r="BF70" t="b">
        <f t="array" ref="BF70">AND(D70:G70=inp_used_minimal,A70=inp_usersel)</f>
        <v>0</v>
      </c>
      <c r="BG70" t="b">
        <f t="array" ref="BG70">AND(A70=inp_usersel,D70:Q70=inp_used_nonvessel1,AA70:AD70=inp_used_nonvessel2,AN70:BC70=inp_used_nonvessel3,IF(B70=2,inp_used_gravity=inp_autosize_gravity,inp_used_pressure=inp_autosize_pressure),IF(AC70="pressure vessels",inp_used_filt_pressure=inp_autosize_filt_pressure,IF(AC70="gravity basins",inp_used_filt_gravity=inp_autosize_filt_gravity,TRUE)))</f>
        <v>0</v>
      </c>
      <c r="BH70" t="b">
        <f t="array" ref="BH70">AND(A70=inp_usersel,D70:BC70=inp_used)</f>
        <v>0</v>
      </c>
    </row>
    <row r="71" spans="1:60" x14ac:dyDescent="0.2">
      <c r="A71" s="16">
        <v>3</v>
      </c>
      <c r="B71" s="16">
        <v>2</v>
      </c>
      <c r="C71" s="296">
        <v>7</v>
      </c>
      <c r="D71" s="123">
        <v>22.614000000000001</v>
      </c>
      <c r="E71" t="s">
        <v>597</v>
      </c>
      <c r="F71">
        <v>11.066000000000001</v>
      </c>
      <c r="G71" s="146" t="s">
        <v>597</v>
      </c>
      <c r="H71" s="123"/>
      <c r="N71" s="123"/>
      <c r="Q71" s="296"/>
      <c r="S71" s="401"/>
      <c r="T71" s="401"/>
      <c r="U71" s="401"/>
      <c r="V71" s="407"/>
      <c r="W71" s="891"/>
      <c r="Z71" s="146"/>
      <c r="AA71" s="123"/>
      <c r="AD71" s="669"/>
      <c r="AE71" s="895"/>
      <c r="AF71" s="401"/>
      <c r="AG71" s="401"/>
      <c r="AH71" s="407"/>
      <c r="AI71" s="891"/>
      <c r="AL71" s="401"/>
      <c r="AM71" s="401"/>
      <c r="AN71" s="123"/>
      <c r="AT71" s="146"/>
      <c r="AZ71" t="s">
        <v>2419</v>
      </c>
      <c r="BC71" s="146"/>
      <c r="BE71" t="b">
        <f t="array" ref="BE71">IF(OR(R71="yes",W71="yes"),BG71,BH71)</f>
        <v>0</v>
      </c>
      <c r="BF71" t="b">
        <f t="array" ref="BF71">AND(D71:G71=inp_used_minimal,A71=inp_usersel)</f>
        <v>0</v>
      </c>
      <c r="BG71" t="b">
        <f t="array" ref="BG71">AND(A71=inp_usersel,D71:Q71=inp_used_nonvessel1,AA71:AD71=inp_used_nonvessel2,AN71:BC71=inp_used_nonvessel3,IF(B71=2,inp_used_gravity=inp_autosize_gravity,inp_used_pressure=inp_autosize_pressure),IF(AC71="pressure vessels",inp_used_filt_pressure=inp_autosize_filt_pressure,IF(AC71="gravity basins",inp_used_filt_gravity=inp_autosize_filt_gravity,TRUE)))</f>
        <v>0</v>
      </c>
      <c r="BH71" t="b">
        <f t="array" ref="BH71">AND(A71=inp_usersel,D71:BC71=inp_used)</f>
        <v>0</v>
      </c>
    </row>
    <row r="72" spans="1:60" x14ac:dyDescent="0.2">
      <c r="A72" s="391">
        <v>3</v>
      </c>
      <c r="B72" s="391">
        <v>2</v>
      </c>
      <c r="C72" s="297">
        <v>8</v>
      </c>
      <c r="D72" s="274">
        <v>75.072000000000003</v>
      </c>
      <c r="E72" s="116" t="s">
        <v>597</v>
      </c>
      <c r="F72" s="116">
        <v>37.536000000000001</v>
      </c>
      <c r="G72" s="275" t="s">
        <v>597</v>
      </c>
      <c r="H72" s="274"/>
      <c r="I72" s="116"/>
      <c r="J72" s="116"/>
      <c r="K72" s="116"/>
      <c r="L72" s="116"/>
      <c r="M72" s="116"/>
      <c r="N72" s="274"/>
      <c r="O72" s="116"/>
      <c r="P72" s="116"/>
      <c r="Q72" s="296"/>
      <c r="S72" s="402"/>
      <c r="T72" s="402"/>
      <c r="U72" s="402"/>
      <c r="V72" s="403"/>
      <c r="W72" s="892"/>
      <c r="X72" s="116"/>
      <c r="Y72" s="116"/>
      <c r="Z72" s="275"/>
      <c r="AA72" s="123"/>
      <c r="AD72" s="669"/>
      <c r="AE72" s="895"/>
      <c r="AF72" s="402"/>
      <c r="AG72" s="402"/>
      <c r="AH72" s="403"/>
      <c r="AI72" s="892"/>
      <c r="AJ72" s="116"/>
      <c r="AK72" s="116"/>
      <c r="AL72" s="402"/>
      <c r="AM72" s="402"/>
      <c r="AN72" s="274"/>
      <c r="AO72" s="116"/>
      <c r="AP72" s="116"/>
      <c r="AQ72" s="116"/>
      <c r="AR72" s="116"/>
      <c r="AS72" s="116"/>
      <c r="AT72" s="275"/>
      <c r="AU72" s="116"/>
      <c r="AV72" s="116"/>
      <c r="AW72" s="116"/>
      <c r="AX72" s="116"/>
      <c r="AY72" s="116"/>
      <c r="AZ72" s="116" t="s">
        <v>2419</v>
      </c>
      <c r="BA72" s="116"/>
      <c r="BB72" s="116"/>
      <c r="BC72" s="275"/>
      <c r="BE72" t="b">
        <f t="array" ref="BE72">IF(OR(R72="yes",W72="yes"),BG72,BH72)</f>
        <v>0</v>
      </c>
      <c r="BF72" t="b">
        <f t="array" ref="BF72">AND(D72:G72=inp_used_minimal,A72=inp_usersel)</f>
        <v>0</v>
      </c>
      <c r="BG72" t="b">
        <f t="array" ref="BG72">AND(A72=inp_usersel,D72:Q72=inp_used_nonvessel1,AA72:AD72=inp_used_nonvessel2,AN72:BC72=inp_used_nonvessel3,IF(B72=2,inp_used_gravity=inp_autosize_gravity,inp_used_pressure=inp_autosize_pressure),IF(AC72="pressure vessels",inp_used_filt_pressure=inp_autosize_filt_pressure,IF(AC72="gravity basins",inp_used_filt_gravity=inp_autosize_filt_gravity,TRUE)))</f>
        <v>0</v>
      </c>
      <c r="BH72" t="b">
        <f t="array" ref="BH72">AND(A72=inp_usersel,D72:BC72=inp_used)</f>
        <v>0</v>
      </c>
    </row>
    <row r="73" spans="1:60" x14ac:dyDescent="0.2">
      <c r="A73" s="392">
        <v>3</v>
      </c>
      <c r="B73" s="392">
        <v>3</v>
      </c>
      <c r="C73" s="293">
        <v>1</v>
      </c>
      <c r="D73" s="294">
        <v>0.03</v>
      </c>
      <c r="E73" t="s">
        <v>597</v>
      </c>
      <c r="F73" s="16">
        <v>7.0000000000000001E-3</v>
      </c>
      <c r="G73" s="146" t="s">
        <v>597</v>
      </c>
      <c r="H73" s="326"/>
      <c r="I73" s="268"/>
      <c r="J73" s="268"/>
      <c r="K73" s="268"/>
      <c r="L73" s="268"/>
      <c r="M73" s="268"/>
      <c r="N73" s="123"/>
      <c r="Q73" s="518"/>
      <c r="R73" s="268"/>
      <c r="S73" s="666"/>
      <c r="T73" s="268"/>
      <c r="U73" s="268"/>
      <c r="V73" s="327"/>
      <c r="W73" s="890"/>
      <c r="Z73" s="327"/>
      <c r="AA73" s="326"/>
      <c r="AB73" s="268"/>
      <c r="AC73" s="268"/>
      <c r="AD73" s="668"/>
      <c r="AE73" s="894"/>
      <c r="AF73" s="405"/>
      <c r="AG73" s="405"/>
      <c r="AH73" s="406"/>
      <c r="AI73" s="404"/>
      <c r="AJ73" s="268"/>
      <c r="AK73" s="268"/>
      <c r="AL73" s="405"/>
      <c r="AM73" s="405"/>
      <c r="AN73" s="326"/>
      <c r="AO73" s="268"/>
      <c r="AP73" s="268"/>
      <c r="AQ73" s="268"/>
      <c r="AR73" s="268"/>
      <c r="AS73" s="268"/>
      <c r="AT73" s="327"/>
      <c r="AZ73" t="s">
        <v>2419</v>
      </c>
      <c r="BC73" s="146"/>
      <c r="BD73" s="694" t="s">
        <v>3844</v>
      </c>
      <c r="BE73" t="b">
        <f t="array" ref="BE73">IF(OR(R73="yes",W73="yes"),BG73,BH73)</f>
        <v>0</v>
      </c>
      <c r="BF73" t="b">
        <f t="array" ref="BF73">AND(D73:G73=inp_used_minimal,A73=inp_usersel)</f>
        <v>0</v>
      </c>
      <c r="BG73" t="b">
        <f t="array" ref="BG73">AND(A73=inp_usersel,D73:Q73=inp_used_nonvessel1,AA73:AD73=inp_used_nonvessel2,AN73:BC73=inp_used_nonvessel3,IF(B73=2,inp_used_gravity=inp_autosize_gravity,inp_used_pressure=inp_autosize_pressure),IF(AC73="pressure vessels",inp_used_filt_pressure=inp_autosize_filt_pressure,IF(AC73="gravity basins",inp_used_filt_gravity=inp_autosize_filt_gravity,TRUE)))</f>
        <v>0</v>
      </c>
      <c r="BH73" t="b">
        <f t="array" ref="BH73">AND(A73=inp_usersel,D73:BC73=inp_used)</f>
        <v>0</v>
      </c>
    </row>
    <row r="74" spans="1:60" x14ac:dyDescent="0.2">
      <c r="A74" s="16">
        <v>3</v>
      </c>
      <c r="B74" s="16">
        <v>3</v>
      </c>
      <c r="C74" s="295">
        <v>2</v>
      </c>
      <c r="D74" s="294">
        <v>0.124</v>
      </c>
      <c r="E74" t="s">
        <v>597</v>
      </c>
      <c r="F74" s="16">
        <v>3.5000000000000003E-2</v>
      </c>
      <c r="G74" s="146" t="s">
        <v>597</v>
      </c>
      <c r="H74" s="123"/>
      <c r="N74" s="123"/>
      <c r="Q74" s="296"/>
      <c r="S74" s="17"/>
      <c r="V74" s="146"/>
      <c r="W74" s="890"/>
      <c r="Z74" s="146"/>
      <c r="AA74" s="123"/>
      <c r="AD74" s="669"/>
      <c r="AE74" s="895"/>
      <c r="AF74" s="401"/>
      <c r="AG74" s="401"/>
      <c r="AH74" s="407"/>
      <c r="AI74" s="891"/>
      <c r="AL74" s="401"/>
      <c r="AM74" s="401"/>
      <c r="AN74" s="123"/>
      <c r="AT74" s="146"/>
      <c r="AZ74" t="s">
        <v>2419</v>
      </c>
      <c r="BC74" s="146"/>
      <c r="BE74" t="b">
        <f t="array" ref="BE74">IF(OR(R74="yes",W74="yes"),BG74,BH74)</f>
        <v>0</v>
      </c>
      <c r="BF74" t="b">
        <f t="array" ref="BF74">AND(D74:G74=inp_used_minimal,A74=inp_usersel)</f>
        <v>0</v>
      </c>
      <c r="BG74" t="b">
        <f t="array" ref="BG74">AND(A74=inp_usersel,D74:Q74=inp_used_nonvessel1,AA74:AD74=inp_used_nonvessel2,AN74:BC74=inp_used_nonvessel3,IF(B74=2,inp_used_gravity=inp_autosize_gravity,inp_used_pressure=inp_autosize_pressure),IF(AC74="pressure vessels",inp_used_filt_pressure=inp_autosize_filt_pressure,IF(AC74="gravity basins",inp_used_filt_gravity=inp_autosize_filt_gravity,TRUE)))</f>
        <v>0</v>
      </c>
      <c r="BH74" t="b">
        <f t="array" ref="BH74">AND(A74=inp_usersel,D74:BC74=inp_used)</f>
        <v>0</v>
      </c>
    </row>
    <row r="75" spans="1:60" x14ac:dyDescent="0.2">
      <c r="A75" s="16">
        <v>3</v>
      </c>
      <c r="B75" s="16">
        <v>3</v>
      </c>
      <c r="C75" s="295">
        <v>3</v>
      </c>
      <c r="D75" s="294">
        <v>0.30499999999999999</v>
      </c>
      <c r="E75" t="s">
        <v>597</v>
      </c>
      <c r="F75" s="16">
        <v>9.4E-2</v>
      </c>
      <c r="G75" s="146" t="s">
        <v>597</v>
      </c>
      <c r="H75" s="123"/>
      <c r="N75" s="123"/>
      <c r="Q75" s="296"/>
      <c r="S75" s="17"/>
      <c r="V75" s="146"/>
      <c r="W75" s="890"/>
      <c r="Z75" s="146"/>
      <c r="AA75" s="123"/>
      <c r="AD75" s="669"/>
      <c r="AE75" s="895"/>
      <c r="AF75" s="401"/>
      <c r="AG75" s="401"/>
      <c r="AH75" s="407"/>
      <c r="AI75" s="891"/>
      <c r="AL75" s="401"/>
      <c r="AM75" s="401"/>
      <c r="AN75" s="123"/>
      <c r="AT75" s="146"/>
      <c r="AZ75" t="s">
        <v>2419</v>
      </c>
      <c r="BC75" s="146"/>
      <c r="BE75" t="b">
        <f t="array" ref="BE75">IF(OR(R75="yes",W75="yes"),BG75,BH75)</f>
        <v>0</v>
      </c>
      <c r="BF75" t="b">
        <f t="array" ref="BF75">AND(D75:G75=inp_used_minimal,A75=inp_usersel)</f>
        <v>0</v>
      </c>
      <c r="BG75" t="b">
        <f t="array" ref="BG75">AND(A75=inp_usersel,D75:Q75=inp_used_nonvessel1,AA75:AD75=inp_used_nonvessel2,AN75:BC75=inp_used_nonvessel3,IF(B75=2,inp_used_gravity=inp_autosize_gravity,inp_used_pressure=inp_autosize_pressure),IF(AC75="pressure vessels",inp_used_filt_pressure=inp_autosize_filt_pressure,IF(AC75="gravity basins",inp_used_filt_gravity=inp_autosize_filt_gravity,TRUE)))</f>
        <v>0</v>
      </c>
      <c r="BH75" t="b">
        <f t="array" ref="BH75">AND(A75=inp_usersel,D75:BC75=inp_used)</f>
        <v>0</v>
      </c>
    </row>
    <row r="76" spans="1:60" x14ac:dyDescent="0.2">
      <c r="A76" s="16">
        <v>3</v>
      </c>
      <c r="B76" s="16">
        <v>3</v>
      </c>
      <c r="C76" s="295">
        <v>4</v>
      </c>
      <c r="D76" s="294">
        <v>0.74</v>
      </c>
      <c r="E76" t="s">
        <v>597</v>
      </c>
      <c r="F76" s="16">
        <v>0.251</v>
      </c>
      <c r="G76" s="146" t="s">
        <v>597</v>
      </c>
      <c r="H76" s="123"/>
      <c r="N76" s="123"/>
      <c r="Q76" s="296"/>
      <c r="S76" s="17"/>
      <c r="V76" s="146"/>
      <c r="W76" s="890"/>
      <c r="Z76" s="146"/>
      <c r="AA76" s="123"/>
      <c r="AD76" s="669"/>
      <c r="AE76" s="895"/>
      <c r="AF76" s="401"/>
      <c r="AG76" s="401"/>
      <c r="AH76" s="407"/>
      <c r="AI76" s="891"/>
      <c r="AL76" s="401"/>
      <c r="AM76" s="401"/>
      <c r="AN76" s="123"/>
      <c r="AT76" s="146"/>
      <c r="AZ76" t="s">
        <v>2419</v>
      </c>
      <c r="BC76" s="146"/>
      <c r="BE76" t="b">
        <f t="array" ref="BE76">IF(OR(R76="yes",W76="yes"),BG76,BH76)</f>
        <v>0</v>
      </c>
      <c r="BF76" t="b">
        <f t="array" ref="BF76">AND(D76:G76=inp_used_minimal,A76=inp_usersel)</f>
        <v>0</v>
      </c>
      <c r="BG76" t="b">
        <f t="array" ref="BG76">AND(A76=inp_usersel,D76:Q76=inp_used_nonvessel1,AA76:AD76=inp_used_nonvessel2,AN76:BC76=inp_used_nonvessel3,IF(B76=2,inp_used_gravity=inp_autosize_gravity,inp_used_pressure=inp_autosize_pressure),IF(AC76="pressure vessels",inp_used_filt_pressure=inp_autosize_filt_pressure,IF(AC76="gravity basins",inp_used_filt_gravity=inp_autosize_filt_gravity,TRUE)))</f>
        <v>0</v>
      </c>
      <c r="BH76" t="b">
        <f t="array" ref="BH76">AND(A76=inp_usersel,D76:BC76=inp_used)</f>
        <v>0</v>
      </c>
    </row>
    <row r="77" spans="1:60" x14ac:dyDescent="0.2">
      <c r="A77" s="16">
        <v>3</v>
      </c>
      <c r="B77" s="16">
        <v>3</v>
      </c>
      <c r="C77" s="296">
        <v>5</v>
      </c>
      <c r="D77" s="123">
        <v>2.1520000000000001</v>
      </c>
      <c r="E77" t="s">
        <v>597</v>
      </c>
      <c r="F77">
        <v>0.81899999999999995</v>
      </c>
      <c r="G77" s="146" t="s">
        <v>597</v>
      </c>
      <c r="H77" s="123"/>
      <c r="N77" s="123"/>
      <c r="Q77" s="296"/>
      <c r="S77" s="17"/>
      <c r="V77" s="146"/>
      <c r="W77" s="890"/>
      <c r="Z77" s="146"/>
      <c r="AA77" s="123"/>
      <c r="AD77" s="669"/>
      <c r="AE77" s="895"/>
      <c r="AF77" s="401"/>
      <c r="AG77" s="401"/>
      <c r="AH77" s="407"/>
      <c r="AI77" s="891"/>
      <c r="AL77" s="401"/>
      <c r="AM77" s="401"/>
      <c r="AN77" s="123"/>
      <c r="AT77" s="146"/>
      <c r="AZ77" t="s">
        <v>2419</v>
      </c>
      <c r="BC77" s="146"/>
      <c r="BE77" t="b">
        <f t="array" ref="BE77">IF(OR(R77="yes",W77="yes"),BG77,BH77)</f>
        <v>0</v>
      </c>
      <c r="BF77" t="b">
        <f t="array" ref="BF77">AND(D77:G77=inp_used_minimal,A77=inp_usersel)</f>
        <v>0</v>
      </c>
      <c r="BG77" t="b">
        <f t="array" ref="BG77">AND(A77=inp_usersel,D77:Q77=inp_used_nonvessel1,AA77:AD77=inp_used_nonvessel2,AN77:BC77=inp_used_nonvessel3,IF(B77=2,inp_used_gravity=inp_autosize_gravity,inp_used_pressure=inp_autosize_pressure),IF(AC77="pressure vessels",inp_used_filt_pressure=inp_autosize_filt_pressure,IF(AC77="gravity basins",inp_used_filt_gravity=inp_autosize_filt_gravity,TRUE)))</f>
        <v>0</v>
      </c>
      <c r="BH77" t="b">
        <f t="array" ref="BH77">AND(A77=inp_usersel,D77:BC77=inp_used)</f>
        <v>0</v>
      </c>
    </row>
    <row r="78" spans="1:60" x14ac:dyDescent="0.2">
      <c r="A78" s="16">
        <v>3</v>
      </c>
      <c r="B78" s="16">
        <v>3</v>
      </c>
      <c r="C78" s="296">
        <v>6</v>
      </c>
      <c r="D78" s="123">
        <v>7.3650000000000002</v>
      </c>
      <c r="E78" t="s">
        <v>597</v>
      </c>
      <c r="F78">
        <v>3.2</v>
      </c>
      <c r="G78" s="146" t="s">
        <v>597</v>
      </c>
      <c r="H78" s="123"/>
      <c r="N78" s="123"/>
      <c r="Q78" s="296"/>
      <c r="S78" s="17"/>
      <c r="V78" s="146"/>
      <c r="W78" s="890"/>
      <c r="Z78" s="146"/>
      <c r="AA78" s="123"/>
      <c r="AD78" s="669"/>
      <c r="AE78" s="895"/>
      <c r="AF78" s="401"/>
      <c r="AG78" s="401"/>
      <c r="AH78" s="407"/>
      <c r="AI78" s="891"/>
      <c r="AL78" s="401"/>
      <c r="AM78" s="401"/>
      <c r="AN78" s="123"/>
      <c r="AT78" s="146"/>
      <c r="AZ78" t="s">
        <v>2419</v>
      </c>
      <c r="BC78" s="146"/>
      <c r="BE78" t="b">
        <f t="array" ref="BE78">IF(OR(R78="yes",W78="yes"),BG78,BH78)</f>
        <v>0</v>
      </c>
      <c r="BF78" t="b">
        <f t="array" ref="BF78">AND(D78:G78=inp_used_minimal,A78=inp_usersel)</f>
        <v>0</v>
      </c>
      <c r="BG78" t="b">
        <f t="array" ref="BG78">AND(A78=inp_usersel,D78:Q78=inp_used_nonvessel1,AA78:AD78=inp_used_nonvessel2,AN78:BC78=inp_used_nonvessel3,IF(B78=2,inp_used_gravity=inp_autosize_gravity,inp_used_pressure=inp_autosize_pressure),IF(AC78="pressure vessels",inp_used_filt_pressure=inp_autosize_filt_pressure,IF(AC78="gravity basins",inp_used_filt_gravity=inp_autosize_filt_gravity,TRUE)))</f>
        <v>0</v>
      </c>
      <c r="BH78" t="b">
        <f t="array" ref="BH78">AND(A78=inp_usersel,D78:BC78=inp_used)</f>
        <v>0</v>
      </c>
    </row>
    <row r="79" spans="1:60" x14ac:dyDescent="0.2">
      <c r="A79" s="16">
        <v>3</v>
      </c>
      <c r="B79" s="16">
        <v>3</v>
      </c>
      <c r="C79" s="296">
        <v>7</v>
      </c>
      <c r="D79" s="123">
        <v>22.614000000000001</v>
      </c>
      <c r="E79" t="s">
        <v>597</v>
      </c>
      <c r="F79">
        <v>11.066000000000001</v>
      </c>
      <c r="G79" s="146" t="s">
        <v>597</v>
      </c>
      <c r="H79" s="123"/>
      <c r="N79" s="123"/>
      <c r="Q79" s="296"/>
      <c r="S79" s="17"/>
      <c r="V79" s="146"/>
      <c r="W79" s="890"/>
      <c r="Z79" s="146"/>
      <c r="AA79" s="123"/>
      <c r="AD79" s="669"/>
      <c r="AE79" s="895"/>
      <c r="AF79" s="401"/>
      <c r="AG79" s="401"/>
      <c r="AH79" s="407"/>
      <c r="AI79" s="891"/>
      <c r="AL79" s="401"/>
      <c r="AM79" s="401"/>
      <c r="AN79" s="123"/>
      <c r="AT79" s="146"/>
      <c r="AZ79" t="s">
        <v>2419</v>
      </c>
      <c r="BC79" s="146"/>
      <c r="BE79" t="b">
        <f t="array" ref="BE79">IF(OR(R79="yes",W79="yes"),BG79,BH79)</f>
        <v>0</v>
      </c>
      <c r="BF79" t="b">
        <f t="array" ref="BF79">AND(D79:G79=inp_used_minimal,A79=inp_usersel)</f>
        <v>0</v>
      </c>
      <c r="BG79" t="b">
        <f t="array" ref="BG79">AND(A79=inp_usersel,D79:Q79=inp_used_nonvessel1,AA79:AD79=inp_used_nonvessel2,AN79:BC79=inp_used_nonvessel3,IF(B79=2,inp_used_gravity=inp_autosize_gravity,inp_used_pressure=inp_autosize_pressure),IF(AC79="pressure vessels",inp_used_filt_pressure=inp_autosize_filt_pressure,IF(AC79="gravity basins",inp_used_filt_gravity=inp_autosize_filt_gravity,TRUE)))</f>
        <v>0</v>
      </c>
      <c r="BH79" t="b">
        <f t="array" ref="BH79">AND(A79=inp_usersel,D79:BC79=inp_used)</f>
        <v>0</v>
      </c>
    </row>
    <row r="80" spans="1:60" x14ac:dyDescent="0.2">
      <c r="A80" s="391">
        <v>3</v>
      </c>
      <c r="B80" s="391">
        <v>3</v>
      </c>
      <c r="C80" s="297">
        <v>8</v>
      </c>
      <c r="D80" s="274">
        <v>75.072000000000003</v>
      </c>
      <c r="E80" s="116" t="s">
        <v>597</v>
      </c>
      <c r="F80" s="116">
        <v>37.536000000000001</v>
      </c>
      <c r="G80" s="275" t="s">
        <v>597</v>
      </c>
      <c r="H80" s="274"/>
      <c r="I80" s="116"/>
      <c r="J80" s="116"/>
      <c r="K80" s="116"/>
      <c r="L80" s="116"/>
      <c r="M80" s="116"/>
      <c r="N80" s="274"/>
      <c r="O80" s="116"/>
      <c r="P80" s="116"/>
      <c r="Q80" s="297"/>
      <c r="R80" s="116"/>
      <c r="S80" s="667"/>
      <c r="T80" s="116"/>
      <c r="U80" s="116"/>
      <c r="V80" s="275"/>
      <c r="W80" s="893"/>
      <c r="X80" s="116"/>
      <c r="Y80" s="116"/>
      <c r="Z80" s="275"/>
      <c r="AA80" s="274"/>
      <c r="AB80" s="116"/>
      <c r="AC80" s="116"/>
      <c r="AD80" s="670"/>
      <c r="AE80" s="896"/>
      <c r="AF80" s="402"/>
      <c r="AG80" s="402"/>
      <c r="AH80" s="403"/>
      <c r="AI80" s="892"/>
      <c r="AJ80" s="116"/>
      <c r="AK80" s="116"/>
      <c r="AL80" s="402"/>
      <c r="AM80" s="402"/>
      <c r="AN80" s="274"/>
      <c r="AO80" s="116"/>
      <c r="AP80" s="116"/>
      <c r="AQ80" s="116"/>
      <c r="AR80" s="116"/>
      <c r="AS80" s="116"/>
      <c r="AT80" s="275"/>
      <c r="AU80" s="116"/>
      <c r="AV80" s="116"/>
      <c r="AW80" s="116"/>
      <c r="AX80" s="116"/>
      <c r="AY80" s="116"/>
      <c r="AZ80" s="116" t="s">
        <v>2419</v>
      </c>
      <c r="BA80" s="116"/>
      <c r="BB80" s="116"/>
      <c r="BC80" s="275"/>
      <c r="BE80" t="b">
        <f t="array" ref="BE80">IF(OR(R80="yes",W80="yes"),BG80,BH80)</f>
        <v>0</v>
      </c>
      <c r="BF80" t="b">
        <f t="array" ref="BF80">AND(D80:G80=inp_used_minimal,A80=inp_usersel)</f>
        <v>0</v>
      </c>
      <c r="BG80" t="b">
        <f t="array" ref="BG80">AND(A80=inp_usersel,D80:Q80=inp_used_nonvessel1,AA80:AD80=inp_used_nonvessel2,AN80:BC80=inp_used_nonvessel3,IF(B80=2,inp_used_gravity=inp_autosize_gravity,inp_used_pressure=inp_autosize_pressure),IF(AC80="pressure vessels",inp_used_filt_pressure=inp_autosize_filt_pressure,IF(AC80="gravity basins",inp_used_filt_gravity=inp_autosize_filt_gravity,TRUE)))</f>
        <v>0</v>
      </c>
      <c r="BH80" t="b">
        <f t="array" ref="BH80">AND(A80=inp_usersel,D80:BC80=inp_used)</f>
        <v>0</v>
      </c>
    </row>
    <row r="82" spans="1:57" x14ac:dyDescent="0.2">
      <c r="A82" s="298">
        <f>IF(LEN(contam)=0,"",contam)</f>
        <v>1</v>
      </c>
      <c r="B82" s="298">
        <f>IF(LEN(design_type)=0,"",design_type)</f>
        <v>1</v>
      </c>
      <c r="C82" s="298"/>
      <c r="D82" s="298">
        <f>IF(LEN(design_flow_I)=0,"",design_flow_I)</f>
        <v>0.124</v>
      </c>
      <c r="E82" s="298" t="str">
        <f>IF(LEN(df_units)=0,"",df_units)</f>
        <v>MGD</v>
      </c>
      <c r="F82" s="298">
        <f>IF(LEN(average_flow_I)=0,"",average_flow_I)</f>
        <v>3.5000000000000003E-2</v>
      </c>
      <c r="G82" s="298" t="str">
        <f>IF(LEN(af_units)=0,"",af_units)</f>
        <v>MGD</v>
      </c>
      <c r="H82" s="298" t="str">
        <f>IF(LEN(e_donor_type_I)=0,"",e_donor_type_I)</f>
        <v>acetic acid</v>
      </c>
      <c r="I82" s="298">
        <f>IF(LEN(e_donor_dose_I)=0,"",e_donor_dose_I)</f>
        <v>10</v>
      </c>
      <c r="J82" s="298">
        <f>IF(LEN(biomass_I)=0,"",biomass_I)</f>
        <v>8</v>
      </c>
      <c r="K82" s="298" t="str">
        <f>IF(LEN(ClO4_in)=0,"",ClO4_in)</f>
        <v/>
      </c>
      <c r="L82" s="298" t="str">
        <f>IF(LEN(O2_in)=0,"",O2_in)</f>
        <v/>
      </c>
      <c r="M82" s="298" t="str">
        <f>IF(LEN(NO3_in)=0,"",NO3_in)</f>
        <v/>
      </c>
      <c r="N82" s="298" t="str">
        <f>IF(LEN(nutrient_option_I)=0,"",nutrient_option_I)</f>
        <v>additional phosphorous required</v>
      </c>
      <c r="O82" s="298" t="str">
        <f>IF(LEN(NH4Cl_dose_I)=0,"",NH4Cl_dose_I)</f>
        <v/>
      </c>
      <c r="P82" s="298">
        <f>IF(LEN(H3PO4_dose_I)=0,"",H3PO4_dose_I)</f>
        <v>1</v>
      </c>
      <c r="Q82" s="298">
        <f>IF(LEN(ebct_I)=0,"",ebct_I)</f>
        <v>12</v>
      </c>
      <c r="R82" s="298" t="str">
        <f>IF(LEN(use_autosize)=0,"",use_autosize)</f>
        <v>yes</v>
      </c>
      <c r="S82" s="298">
        <f>IF(LEN(bed_depth)=0,"",bed_depth)</f>
        <v>3.7</v>
      </c>
      <c r="T82" s="298" t="str">
        <f>IF(LEN(tank_geom_I)=0,"",tank_geom_I)</f>
        <v>upright</v>
      </c>
      <c r="U82" s="298">
        <f>IF(LEN(comm_height_length)=0,"",comm_height_length)</f>
        <v>7</v>
      </c>
      <c r="V82" s="298">
        <f>IF(LEN(comm_diam)=0,"",comm_diam)</f>
        <v>4</v>
      </c>
      <c r="W82" s="298" t="str">
        <f>IF(LEN(use_autosizeA)=0,"",use_autosizeA)</f>
        <v/>
      </c>
      <c r="X82" s="298" t="str">
        <f>IF(LEN(basin_width)=0,"",basin_width)</f>
        <v/>
      </c>
      <c r="Y82" s="298" t="str">
        <f>IF(LEN(basin_length)=0,"",basin_length)</f>
        <v/>
      </c>
      <c r="Z82" s="298" t="str">
        <f>IF(LEN(basin_op_depth)=0,"",basin_op_depth)</f>
        <v/>
      </c>
      <c r="AA82" s="298" t="str">
        <f>IF(LEN(include_post_h2o2_I)=0,"",include_post_h2o2_I)</f>
        <v>aeration</v>
      </c>
      <c r="AB82" s="298" t="str">
        <f>IF(LEN(include_post_I)=0,"",include_post_I)</f>
        <v>yes</v>
      </c>
      <c r="AC82" s="298" t="str">
        <f>IF(LEN(filter_type_I)=0,"",filter_type_I)</f>
        <v>pressure vessel</v>
      </c>
      <c r="AD82" s="298" t="str">
        <f>IF(LEN(include_coag_filt_I)=0,"",include_coag_filt_I)</f>
        <v>yes</v>
      </c>
      <c r="AE82" s="298" t="str">
        <f>IF(LEN(use_autosizeA_filt)=0,"",use_autosizeA_filt)</f>
        <v/>
      </c>
      <c r="AF82" s="298" t="str">
        <f>IF(LEN(filt_basin_width)=0,"",filt_basin_width)</f>
        <v/>
      </c>
      <c r="AG82" s="298" t="str">
        <f>IF(LEN(filt_basin_length)=0,"",filt_basin_length)</f>
        <v/>
      </c>
      <c r="AH82" s="298" t="str">
        <f>IF(LEN(filt_basin_op_depth)=0,"",filt_basin_op_depth)</f>
        <v/>
      </c>
      <c r="AI82" s="298" t="str">
        <f>IF(LEN(use_autosize_filt)=0,"",use_autosize_filt)</f>
        <v>yes</v>
      </c>
      <c r="AJ82" s="298">
        <f>IF(LEN(filt_bed_depth)=0,"",filt_bed_depth)</f>
        <v>4.5999999999999996</v>
      </c>
      <c r="AK82" s="298" t="str">
        <f>IF(LEN(filt_tank_geom_I)=0,"",filt_tank_geom_I)</f>
        <v>upright</v>
      </c>
      <c r="AL82" s="298">
        <f>IF(LEN(filt_comm_height_length)=0,"",filt_comm_height_length)</f>
        <v>8</v>
      </c>
      <c r="AM82" s="298">
        <f>IF(LEN(filt_comm_diam)=0,"",filt_comm_diam)</f>
        <v>4</v>
      </c>
      <c r="AN82" s="298">
        <f>IF(LEN(back_interval_I)=0,"",back_interval_I)</f>
        <v>24</v>
      </c>
      <c r="AO82" s="298">
        <f>IF(LEN(filter_back_interval_I)=0,"",filter_back_interval_I)</f>
        <v>36</v>
      </c>
      <c r="AP82" s="298" t="str">
        <f>IF(LEN(air_scour_I)=0,"",air_scour_I)</f>
        <v>yes</v>
      </c>
      <c r="AQ82" s="298" t="str">
        <f>IF(LEN(res_s2_opt_I)=0,"",res_s2_opt_I)</f>
        <v>recycle</v>
      </c>
      <c r="AR82" s="298" t="str">
        <f>IF(LEN(res_s1_opt_I)=0,"",res_s1_opt_I)</f>
        <v>holding tank</v>
      </c>
      <c r="AS82" s="298" t="str">
        <f>IF(LEN(sed_sludge_method_I)=0,"",sed_sludge_method_I)</f>
        <v>none</v>
      </c>
      <c r="AT82" s="298" t="str">
        <f>IF(LEN(solids_haz_I)=0,"",solids_haz_I)</f>
        <v>non-hazardous</v>
      </c>
      <c r="AU82" s="298" t="str">
        <f>IF(LEN(lines_pump_I)=0,"",lines_pump_I)</f>
        <v/>
      </c>
      <c r="AV82" s="298" t="str">
        <f>IF(LEN(NRD_I)=0,"",NRD_I)</f>
        <v/>
      </c>
      <c r="AW82" s="298" t="str">
        <f>IF(LEN(no_backwash_I)=0,"",no_backwash_I)</f>
        <v/>
      </c>
      <c r="AX82" s="298" t="str">
        <f>IF(LEN(no_back_tank_I)=0,"",no_back_tank_I)</f>
        <v/>
      </c>
      <c r="AY82" s="298" t="str">
        <f>IF(LEN(component_level_I)=0,"",component_level_I)</f>
        <v/>
      </c>
      <c r="AZ82" s="298" t="str">
        <f>IF(LEN(manual_I)=0,"",manual_I)</f>
        <v>fully automated</v>
      </c>
      <c r="BA82" s="298" t="str">
        <f>IF(LEN(include_buildings_I)=0,"",include_buildings_I)</f>
        <v/>
      </c>
      <c r="BB82" s="298" t="str">
        <f>IF(LEN(include_HVAC_I)=0,"",include_HVAC_I)</f>
        <v/>
      </c>
      <c r="BC82" s="298" t="str">
        <f>IF(LEN(include_land_I)=0,"",include_land_I)</f>
        <v/>
      </c>
      <c r="BD82" t="s">
        <v>35</v>
      </c>
    </row>
    <row r="83" spans="1:57" x14ac:dyDescent="0.2">
      <c r="A83" s="298"/>
      <c r="B83" s="298"/>
      <c r="C83" s="298"/>
      <c r="D83" s="298">
        <v>0.124</v>
      </c>
      <c r="E83" s="298" t="s">
        <v>597</v>
      </c>
      <c r="F83" s="298">
        <v>3.5000000000000003E-2</v>
      </c>
      <c r="G83" s="298" t="s">
        <v>597</v>
      </c>
      <c r="H83" s="298" t="s">
        <v>3203</v>
      </c>
      <c r="I83" s="298">
        <v>10</v>
      </c>
      <c r="J83" s="298">
        <v>8</v>
      </c>
      <c r="K83" s="298"/>
      <c r="L83" s="298"/>
      <c r="M83" s="298"/>
      <c r="N83" s="298" t="s">
        <v>2404</v>
      </c>
      <c r="O83" s="298"/>
      <c r="P83" s="298">
        <v>1</v>
      </c>
      <c r="Q83" s="298">
        <v>12</v>
      </c>
      <c r="R83" s="298" t="s">
        <v>1340</v>
      </c>
      <c r="S83" s="298">
        <v>3.7</v>
      </c>
      <c r="T83" s="298" t="s">
        <v>2163</v>
      </c>
      <c r="U83" s="298">
        <v>7</v>
      </c>
      <c r="V83" s="298">
        <v>4</v>
      </c>
      <c r="W83" s="298"/>
      <c r="X83" s="298"/>
      <c r="Y83" s="298"/>
      <c r="Z83" s="298"/>
      <c r="AA83" s="298" t="s">
        <v>2967</v>
      </c>
      <c r="AB83" s="298" t="s">
        <v>1340</v>
      </c>
      <c r="AC83" s="298" t="s">
        <v>4188</v>
      </c>
      <c r="AD83" s="298" t="s">
        <v>1340</v>
      </c>
      <c r="AE83" s="298"/>
      <c r="AF83" s="298"/>
      <c r="AG83" s="298"/>
      <c r="AH83" s="298"/>
      <c r="AI83" s="298" t="s">
        <v>1340</v>
      </c>
      <c r="AJ83" s="298">
        <v>4.5999999999999996</v>
      </c>
      <c r="AK83" s="298" t="s">
        <v>2163</v>
      </c>
      <c r="AL83" s="298">
        <v>8</v>
      </c>
      <c r="AM83" s="298">
        <v>4</v>
      </c>
      <c r="AN83" s="298">
        <v>24</v>
      </c>
      <c r="AO83" s="298">
        <v>36</v>
      </c>
      <c r="AP83" s="298" t="s">
        <v>1340</v>
      </c>
      <c r="AQ83" s="298" t="s">
        <v>1283</v>
      </c>
      <c r="AR83" s="298" t="s">
        <v>418</v>
      </c>
      <c r="AS83" s="298" t="s">
        <v>658</v>
      </c>
      <c r="AT83" s="298" t="s">
        <v>419</v>
      </c>
      <c r="AU83" s="298"/>
      <c r="AV83" s="298"/>
      <c r="AW83" s="298"/>
      <c r="AX83" s="298"/>
      <c r="AY83" s="298"/>
      <c r="AZ83" s="298" t="s">
        <v>2419</v>
      </c>
      <c r="BA83" s="298"/>
      <c r="BB83" s="298"/>
      <c r="BC83" s="298"/>
      <c r="BD83" t="s">
        <v>36</v>
      </c>
      <c r="BE83" t="b">
        <f t="array" ref="BE83">AND(D83:BC83=inp_used)</f>
        <v>1</v>
      </c>
    </row>
    <row r="85" spans="1:57" x14ac:dyDescent="0.2">
      <c r="S85" s="3" t="s">
        <v>4396</v>
      </c>
      <c r="X85" s="3" t="s">
        <v>4397</v>
      </c>
      <c r="AF85" s="3" t="s">
        <v>4398</v>
      </c>
      <c r="AJ85" s="3" t="s">
        <v>4399</v>
      </c>
    </row>
    <row r="86" spans="1:57" x14ac:dyDescent="0.2">
      <c r="S86" s="900">
        <f>IFERROR(comp_bed_depth,"")</f>
        <v>3.7</v>
      </c>
      <c r="T86" s="900" t="str">
        <f>IFERROR(comp_tank_geom,"")</f>
        <v>upright</v>
      </c>
      <c r="U86" s="900">
        <f>IF(T86="upright",IFERROR(comp_vert_height,""),IFERROR(comp_horiz_length,""))</f>
        <v>7</v>
      </c>
      <c r="V86" s="900">
        <f>IF(T86="upright",IFERROR(comp_vert_diam,""),IFERROR(comp_horiz_diam,""))</f>
        <v>4</v>
      </c>
      <c r="X86" s="901">
        <f>IFERROR(comp_length_width_a,"")</f>
        <v>3</v>
      </c>
      <c r="Y86" s="901">
        <f>IFERROR(comp_length_width_a,"")</f>
        <v>3</v>
      </c>
      <c r="Z86" s="901">
        <f>IFERROR(comp_bed_depth_a,"")</f>
        <v>3</v>
      </c>
      <c r="AF86" s="901">
        <f>IFERROR(comp_length_width_a_filt,"")</f>
        <v>3</v>
      </c>
      <c r="AG86" s="901">
        <f>IFERROR(comp_length_width_a_filt,"")</f>
        <v>3</v>
      </c>
      <c r="AH86" s="901">
        <f>IFERROR(comp_bed_depth_a_filt,"")</f>
        <v>3</v>
      </c>
      <c r="AJ86" s="900">
        <f>IFERROR(comp_bed_depth_filt,"")</f>
        <v>4.5999999999999996</v>
      </c>
      <c r="AK86" s="900" t="str">
        <f>IFERROR(comp_tank_geom_filt,"")</f>
        <v>upright</v>
      </c>
      <c r="AL86" s="900">
        <f>IF(AK86="upright",IFERROR(comp_vert_height_filt,""),IFERROR(comp_horiz_length_filt,""))</f>
        <v>8</v>
      </c>
      <c r="AM86" s="900">
        <f>IF(AK86="upright",IFERROR(comp_vert_diam_filt,""),IFERROR(comp_horiz_diam_filt,""))</f>
        <v>4</v>
      </c>
    </row>
  </sheetData>
  <mergeCells count="12">
    <mergeCell ref="BE7:BH7"/>
    <mergeCell ref="A6:C6"/>
    <mergeCell ref="AU6:BC6"/>
    <mergeCell ref="D6:G6"/>
    <mergeCell ref="AN6:AT6"/>
    <mergeCell ref="H6:M6"/>
    <mergeCell ref="N6:P6"/>
    <mergeCell ref="AA6:AD6"/>
    <mergeCell ref="R6:V6"/>
    <mergeCell ref="W6:Z6"/>
    <mergeCell ref="AE6:AH6"/>
    <mergeCell ref="AI6:AM6"/>
  </mergeCells>
  <phoneticPr fontId="0" type="noConversion"/>
  <conditionalFormatting sqref="A8">
    <cfRule type="expression" dxfId="4014" priority="39659" stopIfTrue="1">
      <formula>NOT(ISBLANK($A$8))</formula>
    </cfRule>
  </conditionalFormatting>
  <conditionalFormatting sqref="B8">
    <cfRule type="expression" dxfId="4013" priority="39660" stopIfTrue="1">
      <formula>NOT(ISBLANK($B$8))</formula>
    </cfRule>
  </conditionalFormatting>
  <conditionalFormatting sqref="C8">
    <cfRule type="expression" dxfId="4012" priority="39661" stopIfTrue="1">
      <formula>NOT(ISBLANK($C$8))</formula>
    </cfRule>
  </conditionalFormatting>
  <conditionalFormatting sqref="D8">
    <cfRule type="cellIs" dxfId="4011" priority="39662" stopIfTrue="1" operator="notEqual">
      <formula>"design_flow_I"</formula>
    </cfRule>
  </conditionalFormatting>
  <conditionalFormatting sqref="E8">
    <cfRule type="cellIs" dxfId="4010" priority="39663" stopIfTrue="1" operator="notEqual">
      <formula>"df_units"</formula>
    </cfRule>
  </conditionalFormatting>
  <conditionalFormatting sqref="F8">
    <cfRule type="cellIs" dxfId="4009" priority="39664" stopIfTrue="1" operator="notEqual">
      <formula>"average_flow_I"</formula>
    </cfRule>
  </conditionalFormatting>
  <conditionalFormatting sqref="G8">
    <cfRule type="cellIs" dxfId="4008" priority="39665" stopIfTrue="1" operator="notEqual">
      <formula>"af_units"</formula>
    </cfRule>
  </conditionalFormatting>
  <conditionalFormatting sqref="H8">
    <cfRule type="cellIs" dxfId="4007" priority="39666" stopIfTrue="1" operator="notEqual">
      <formula>"e_donor_type_I"</formula>
    </cfRule>
  </conditionalFormatting>
  <conditionalFormatting sqref="I8">
    <cfRule type="cellIs" dxfId="4006" priority="39667" stopIfTrue="1" operator="notEqual">
      <formula>"e_donor_dose_I"</formula>
    </cfRule>
  </conditionalFormatting>
  <conditionalFormatting sqref="J8">
    <cfRule type="cellIs" dxfId="4005" priority="39668" stopIfTrue="1" operator="notEqual">
      <formula>"biomass_I"</formula>
    </cfRule>
  </conditionalFormatting>
  <conditionalFormatting sqref="K8">
    <cfRule type="cellIs" dxfId="4004" priority="39669" stopIfTrue="1" operator="notEqual">
      <formula>"ClO4_in"</formula>
    </cfRule>
  </conditionalFormatting>
  <conditionalFormatting sqref="L8">
    <cfRule type="cellIs" dxfId="4003" priority="39670" stopIfTrue="1" operator="notEqual">
      <formula>"O2_in"</formula>
    </cfRule>
  </conditionalFormatting>
  <conditionalFormatting sqref="M8">
    <cfRule type="cellIs" dxfId="4002" priority="39671" stopIfTrue="1" operator="notEqual">
      <formula>"NO3_in"</formula>
    </cfRule>
  </conditionalFormatting>
  <conditionalFormatting sqref="N8">
    <cfRule type="cellIs" dxfId="4001" priority="39672" stopIfTrue="1" operator="notEqual">
      <formula>"nutrient_option_I"</formula>
    </cfRule>
  </conditionalFormatting>
  <conditionalFormatting sqref="O8">
    <cfRule type="cellIs" dxfId="4000" priority="39673" stopIfTrue="1" operator="notEqual">
      <formula>"NH4Cl_dose_I"</formula>
    </cfRule>
  </conditionalFormatting>
  <conditionalFormatting sqref="P8">
    <cfRule type="cellIs" dxfId="3999" priority="39674" stopIfTrue="1" operator="notEqual">
      <formula>"H3PO4_dose_I"</formula>
    </cfRule>
  </conditionalFormatting>
  <conditionalFormatting sqref="Q8">
    <cfRule type="cellIs" dxfId="3998" priority="39675" stopIfTrue="1" operator="notEqual">
      <formula>"ebct_I"</formula>
    </cfRule>
  </conditionalFormatting>
  <conditionalFormatting sqref="R8">
    <cfRule type="cellIs" dxfId="3997" priority="39676" stopIfTrue="1" operator="notEqual">
      <formula>"use_autosize"</formula>
    </cfRule>
  </conditionalFormatting>
  <conditionalFormatting sqref="S8">
    <cfRule type="cellIs" dxfId="3996" priority="39677" stopIfTrue="1" operator="notEqual">
      <formula>"bed_depth"</formula>
    </cfRule>
  </conditionalFormatting>
  <conditionalFormatting sqref="T8">
    <cfRule type="cellIs" dxfId="3995" priority="39678" stopIfTrue="1" operator="notEqual">
      <formula>"tank_geom_I"</formula>
    </cfRule>
  </conditionalFormatting>
  <conditionalFormatting sqref="U8">
    <cfRule type="cellIs" dxfId="3994" priority="39679" stopIfTrue="1" operator="notEqual">
      <formula>"comm_height_length"</formula>
    </cfRule>
  </conditionalFormatting>
  <conditionalFormatting sqref="V8">
    <cfRule type="cellIs" dxfId="3993" priority="39680" stopIfTrue="1" operator="notEqual">
      <formula>"comm_diam"</formula>
    </cfRule>
  </conditionalFormatting>
  <conditionalFormatting sqref="W8">
    <cfRule type="cellIs" dxfId="3992" priority="39681" stopIfTrue="1" operator="notEqual">
      <formula>"use_autosizeA"</formula>
    </cfRule>
  </conditionalFormatting>
  <conditionalFormatting sqref="X8">
    <cfRule type="cellIs" dxfId="3991" priority="39682" stopIfTrue="1" operator="notEqual">
      <formula>"basin_width"</formula>
    </cfRule>
  </conditionalFormatting>
  <conditionalFormatting sqref="Y8">
    <cfRule type="cellIs" dxfId="3990" priority="39683" stopIfTrue="1" operator="notEqual">
      <formula>"basin_length"</formula>
    </cfRule>
  </conditionalFormatting>
  <conditionalFormatting sqref="Z8">
    <cfRule type="cellIs" dxfId="3989" priority="39684" stopIfTrue="1" operator="notEqual">
      <formula>"basin_op_depth"</formula>
    </cfRule>
  </conditionalFormatting>
  <conditionalFormatting sqref="AA8">
    <cfRule type="cellIs" dxfId="3988" priority="39685" stopIfTrue="1" operator="notEqual">
      <formula>"include_post_h2o2_I"</formula>
    </cfRule>
  </conditionalFormatting>
  <conditionalFormatting sqref="AB8">
    <cfRule type="cellIs" dxfId="3987" priority="39686" stopIfTrue="1" operator="notEqual">
      <formula>"include_post_I"</formula>
    </cfRule>
  </conditionalFormatting>
  <conditionalFormatting sqref="AC8">
    <cfRule type="cellIs" dxfId="3986" priority="39687" stopIfTrue="1" operator="notEqual">
      <formula>"filter_type_I"</formula>
    </cfRule>
  </conditionalFormatting>
  <conditionalFormatting sqref="AD8">
    <cfRule type="cellIs" dxfId="3985" priority="39688" stopIfTrue="1" operator="notEqual">
      <formula>"include_coag_filt_I"</formula>
    </cfRule>
  </conditionalFormatting>
  <conditionalFormatting sqref="AE8">
    <cfRule type="cellIs" dxfId="3984" priority="39689" stopIfTrue="1" operator="notEqual">
      <formula>"use_autosizeA_filt"</formula>
    </cfRule>
  </conditionalFormatting>
  <conditionalFormatting sqref="AF8">
    <cfRule type="cellIs" dxfId="3983" priority="39690" stopIfTrue="1" operator="notEqual">
      <formula>"filt_basin_width"</formula>
    </cfRule>
  </conditionalFormatting>
  <conditionalFormatting sqref="AG8">
    <cfRule type="cellIs" dxfId="3982" priority="39691" stopIfTrue="1" operator="notEqual">
      <formula>"filt_basin_length"</formula>
    </cfRule>
  </conditionalFormatting>
  <conditionalFormatting sqref="AH8">
    <cfRule type="cellIs" dxfId="3981" priority="39692" stopIfTrue="1" operator="notEqual">
      <formula>"filt_basin_op_depth"</formula>
    </cfRule>
  </conditionalFormatting>
  <conditionalFormatting sqref="AI8">
    <cfRule type="cellIs" dxfId="3980" priority="39693" stopIfTrue="1" operator="notEqual">
      <formula>"use_autosize_filt"</formula>
    </cfRule>
  </conditionalFormatting>
  <conditionalFormatting sqref="AJ8">
    <cfRule type="cellIs" dxfId="3979" priority="39694" stopIfTrue="1" operator="notEqual">
      <formula>"filt_bed_depth"</formula>
    </cfRule>
  </conditionalFormatting>
  <conditionalFormatting sqref="AK8">
    <cfRule type="cellIs" dxfId="3978" priority="39695" stopIfTrue="1" operator="notEqual">
      <formula>"filt_tank_geom_I"</formula>
    </cfRule>
  </conditionalFormatting>
  <conditionalFormatting sqref="AL8">
    <cfRule type="cellIs" dxfId="3977" priority="39696" stopIfTrue="1" operator="notEqual">
      <formula>"filt_comm_height_length"</formula>
    </cfRule>
  </conditionalFormatting>
  <conditionalFormatting sqref="AM8">
    <cfRule type="cellIs" dxfId="3976" priority="39697" stopIfTrue="1" operator="notEqual">
      <formula>"filt_comm_diam"</formula>
    </cfRule>
  </conditionalFormatting>
  <conditionalFormatting sqref="AN8">
    <cfRule type="cellIs" dxfId="3975" priority="39698" stopIfTrue="1" operator="notEqual">
      <formula>"back_interval_I"</formula>
    </cfRule>
  </conditionalFormatting>
  <conditionalFormatting sqref="AO8">
    <cfRule type="cellIs" dxfId="3974" priority="39699" stopIfTrue="1" operator="notEqual">
      <formula>"filter_back_interval_I"</formula>
    </cfRule>
  </conditionalFormatting>
  <conditionalFormatting sqref="AP8">
    <cfRule type="cellIs" dxfId="3973" priority="39700" stopIfTrue="1" operator="notEqual">
      <formula>"air_scour_I"</formula>
    </cfRule>
  </conditionalFormatting>
  <conditionalFormatting sqref="AQ8">
    <cfRule type="cellIs" dxfId="3972" priority="39701" stopIfTrue="1" operator="notEqual">
      <formula>"res_s2_opt_I"</formula>
    </cfRule>
  </conditionalFormatting>
  <conditionalFormatting sqref="AR8">
    <cfRule type="cellIs" dxfId="3971" priority="39702" stopIfTrue="1" operator="notEqual">
      <formula>"res_s1_opt_I"</formula>
    </cfRule>
  </conditionalFormatting>
  <conditionalFormatting sqref="AS8">
    <cfRule type="cellIs" dxfId="3970" priority="39703" stopIfTrue="1" operator="notEqual">
      <formula>"sed_sludge_method_I"</formula>
    </cfRule>
  </conditionalFormatting>
  <conditionalFormatting sqref="AT8">
    <cfRule type="cellIs" dxfId="3969" priority="39704" stopIfTrue="1" operator="notEqual">
      <formula>"solids_haz_I"</formula>
    </cfRule>
  </conditionalFormatting>
  <conditionalFormatting sqref="AU8">
    <cfRule type="cellIs" dxfId="3968" priority="39705" stopIfTrue="1" operator="notEqual">
      <formula>"lines_pump_I"</formula>
    </cfRule>
  </conditionalFormatting>
  <conditionalFormatting sqref="AV8">
    <cfRule type="cellIs" dxfId="3967" priority="39706" stopIfTrue="1" operator="notEqual">
      <formula>"NRD_I"</formula>
    </cfRule>
  </conditionalFormatting>
  <conditionalFormatting sqref="AW8">
    <cfRule type="cellIs" dxfId="3966" priority="39707" stopIfTrue="1" operator="notEqual">
      <formula>"no_backwash_I"</formula>
    </cfRule>
  </conditionalFormatting>
  <conditionalFormatting sqref="AX8">
    <cfRule type="cellIs" dxfId="3965" priority="39708" stopIfTrue="1" operator="notEqual">
      <formula>"no_back_tank_I"</formula>
    </cfRule>
  </conditionalFormatting>
  <conditionalFormatting sqref="AY8">
    <cfRule type="cellIs" dxfId="3964" priority="39709" stopIfTrue="1" operator="notEqual">
      <formula>"component_level_I"</formula>
    </cfRule>
  </conditionalFormatting>
  <conditionalFormatting sqref="AZ8">
    <cfRule type="cellIs" dxfId="3963" priority="39710" stopIfTrue="1" operator="notEqual">
      <formula>"manual_I"</formula>
    </cfRule>
  </conditionalFormatting>
  <conditionalFormatting sqref="BA8">
    <cfRule type="cellIs" dxfId="3962" priority="39711" stopIfTrue="1" operator="notEqual">
      <formula>"include_buildings_I"</formula>
    </cfRule>
  </conditionalFormatting>
  <conditionalFormatting sqref="BB8">
    <cfRule type="cellIs" dxfId="3961" priority="39712" stopIfTrue="1" operator="notEqual">
      <formula>"include_HVAC_I"</formula>
    </cfRule>
  </conditionalFormatting>
  <conditionalFormatting sqref="BC8">
    <cfRule type="cellIs" dxfId="3960" priority="39713" stopIfTrue="1" operator="notEqual">
      <formula>"include_land_I"</formula>
    </cfRule>
  </conditionalFormatting>
  <conditionalFormatting sqref="A9">
    <cfRule type="cellIs" dxfId="3959" priority="39714" stopIfTrue="1" operator="notEqual">
      <formula>1</formula>
    </cfRule>
  </conditionalFormatting>
  <conditionalFormatting sqref="B9">
    <cfRule type="cellIs" dxfId="3958" priority="39715" stopIfTrue="1" operator="notEqual">
      <formula>1</formula>
    </cfRule>
  </conditionalFormatting>
  <conditionalFormatting sqref="C9">
    <cfRule type="cellIs" dxfId="3957" priority="39716" stopIfTrue="1" operator="notEqual">
      <formula>1</formula>
    </cfRule>
  </conditionalFormatting>
  <conditionalFormatting sqref="D9">
    <cfRule type="cellIs" dxfId="3956" priority="39717" stopIfTrue="1" operator="notEqual">
      <formula>0.03</formula>
    </cfRule>
  </conditionalFormatting>
  <conditionalFormatting sqref="E9">
    <cfRule type="cellIs" dxfId="3955" priority="39718" stopIfTrue="1" operator="notEqual">
      <formula>"MGD"</formula>
    </cfRule>
  </conditionalFormatting>
  <conditionalFormatting sqref="F9">
    <cfRule type="cellIs" dxfId="3954" priority="39719" stopIfTrue="1" operator="notEqual">
      <formula>0.007</formula>
    </cfRule>
  </conditionalFormatting>
  <conditionalFormatting sqref="G9">
    <cfRule type="cellIs" dxfId="3953" priority="39720" stopIfTrue="1" operator="notEqual">
      <formula>"MGD"</formula>
    </cfRule>
  </conditionalFormatting>
  <conditionalFormatting sqref="H9">
    <cfRule type="cellIs" dxfId="3952" priority="39721" stopIfTrue="1" operator="notEqual">
      <formula>"acetic acid"</formula>
    </cfRule>
  </conditionalFormatting>
  <conditionalFormatting sqref="I9">
    <cfRule type="cellIs" dxfId="3951" priority="39722" stopIfTrue="1" operator="notEqual">
      <formula>10</formula>
    </cfRule>
  </conditionalFormatting>
  <conditionalFormatting sqref="J9">
    <cfRule type="cellIs" dxfId="3950" priority="39723" stopIfTrue="1" operator="notEqual">
      <formula>8</formula>
    </cfRule>
  </conditionalFormatting>
  <conditionalFormatting sqref="K9">
    <cfRule type="expression" dxfId="3949" priority="39724" stopIfTrue="1">
      <formula>NOT(ISBLANK($K$9))</formula>
    </cfRule>
  </conditionalFormatting>
  <conditionalFormatting sqref="L9">
    <cfRule type="expression" dxfId="3948" priority="39725" stopIfTrue="1">
      <formula>NOT(ISBLANK($L$9))</formula>
    </cfRule>
  </conditionalFormatting>
  <conditionalFormatting sqref="M9">
    <cfRule type="expression" dxfId="3947" priority="39726" stopIfTrue="1">
      <formula>NOT(ISBLANK($M$9))</formula>
    </cfRule>
  </conditionalFormatting>
  <conditionalFormatting sqref="N9">
    <cfRule type="cellIs" dxfId="3946" priority="39727" stopIfTrue="1" operator="notEqual">
      <formula>"additional phosphorous required"</formula>
    </cfRule>
  </conditionalFormatting>
  <conditionalFormatting sqref="O9">
    <cfRule type="expression" dxfId="3945" priority="39728" stopIfTrue="1">
      <formula>NOT(ISBLANK($O$9))</formula>
    </cfRule>
  </conditionalFormatting>
  <conditionalFormatting sqref="P9">
    <cfRule type="cellIs" dxfId="3944" priority="39729" stopIfTrue="1" operator="notEqual">
      <formula>1</formula>
    </cfRule>
  </conditionalFormatting>
  <conditionalFormatting sqref="Q9">
    <cfRule type="cellIs" dxfId="3943" priority="39730" stopIfTrue="1" operator="notEqual">
      <formula>12</formula>
    </cfRule>
  </conditionalFormatting>
  <conditionalFormatting sqref="R9">
    <cfRule type="cellIs" dxfId="3942" priority="39731" stopIfTrue="1" operator="notEqual">
      <formula>"yes"</formula>
    </cfRule>
  </conditionalFormatting>
  <conditionalFormatting sqref="S9">
    <cfRule type="expression" dxfId="3941" priority="39732" stopIfTrue="1">
      <formula>NOT(ISBLANK($S$9))</formula>
    </cfRule>
  </conditionalFormatting>
  <conditionalFormatting sqref="T9">
    <cfRule type="expression" dxfId="3940" priority="39733" stopIfTrue="1">
      <formula>NOT(ISBLANK($T$9))</formula>
    </cfRule>
  </conditionalFormatting>
  <conditionalFormatting sqref="U9">
    <cfRule type="expression" dxfId="3939" priority="39734" stopIfTrue="1">
      <formula>NOT(ISBLANK($U$9))</formula>
    </cfRule>
  </conditionalFormatting>
  <conditionalFormatting sqref="V9">
    <cfRule type="expression" dxfId="3938" priority="39735" stopIfTrue="1">
      <formula>NOT(ISBLANK($V$9))</formula>
    </cfRule>
  </conditionalFormatting>
  <conditionalFormatting sqref="W9">
    <cfRule type="expression" dxfId="3937" priority="39736" stopIfTrue="1">
      <formula>NOT(ISBLANK($W$9))</formula>
    </cfRule>
  </conditionalFormatting>
  <conditionalFormatting sqref="X9">
    <cfRule type="expression" dxfId="3936" priority="39737" stopIfTrue="1">
      <formula>NOT(ISBLANK($X$9))</formula>
    </cfRule>
  </conditionalFormatting>
  <conditionalFormatting sqref="Y9">
    <cfRule type="expression" dxfId="3935" priority="39738" stopIfTrue="1">
      <formula>NOT(ISBLANK($Y$9))</formula>
    </cfRule>
  </conditionalFormatting>
  <conditionalFormatting sqref="Z9">
    <cfRule type="expression" dxfId="3934" priority="39739" stopIfTrue="1">
      <formula>NOT(ISBLANK($Z$9))</formula>
    </cfRule>
  </conditionalFormatting>
  <conditionalFormatting sqref="AA9">
    <cfRule type="cellIs" dxfId="3933" priority="39740" stopIfTrue="1" operator="notEqual">
      <formula>"aeration"</formula>
    </cfRule>
  </conditionalFormatting>
  <conditionalFormatting sqref="AB9">
    <cfRule type="cellIs" dxfId="3932" priority="39741" stopIfTrue="1" operator="notEqual">
      <formula>"yes"</formula>
    </cfRule>
  </conditionalFormatting>
  <conditionalFormatting sqref="AC9">
    <cfRule type="cellIs" dxfId="3931" priority="39742" stopIfTrue="1" operator="notEqual">
      <formula>"pressure vessel"</formula>
    </cfRule>
  </conditionalFormatting>
  <conditionalFormatting sqref="AD9">
    <cfRule type="cellIs" dxfId="3930" priority="39743" stopIfTrue="1" operator="notEqual">
      <formula>"yes"</formula>
    </cfRule>
  </conditionalFormatting>
  <conditionalFormatting sqref="AE9">
    <cfRule type="expression" dxfId="3929" priority="39744" stopIfTrue="1">
      <formula>NOT(ISBLANK($AE$9))</formula>
    </cfRule>
  </conditionalFormatting>
  <conditionalFormatting sqref="AF9">
    <cfRule type="expression" dxfId="3928" priority="39745" stopIfTrue="1">
      <formula>NOT(ISBLANK($AF$9))</formula>
    </cfRule>
  </conditionalFormatting>
  <conditionalFormatting sqref="AG9">
    <cfRule type="expression" dxfId="3927" priority="39746" stopIfTrue="1">
      <formula>NOT(ISBLANK($AG$9))</formula>
    </cfRule>
  </conditionalFormatting>
  <conditionalFormatting sqref="AH9">
    <cfRule type="expression" dxfId="3926" priority="39747" stopIfTrue="1">
      <formula>NOT(ISBLANK($AH$9))</formula>
    </cfRule>
  </conditionalFormatting>
  <conditionalFormatting sqref="AI9">
    <cfRule type="cellIs" dxfId="3925" priority="39748" stopIfTrue="1" operator="notEqual">
      <formula>"yes"</formula>
    </cfRule>
  </conditionalFormatting>
  <conditionalFormatting sqref="AJ9">
    <cfRule type="cellIs" dxfId="3924" priority="39749" stopIfTrue="1" operator="notEqual">
      <formula>3</formula>
    </cfRule>
  </conditionalFormatting>
  <conditionalFormatting sqref="AK9">
    <cfRule type="cellIs" dxfId="3923" priority="39750" stopIfTrue="1" operator="notEqual">
      <formula>"upright"</formula>
    </cfRule>
  </conditionalFormatting>
  <conditionalFormatting sqref="AL9">
    <cfRule type="cellIs" dxfId="3922" priority="39751" stopIfTrue="1" operator="notEqual">
      <formula>5.5</formula>
    </cfRule>
  </conditionalFormatting>
  <conditionalFormatting sqref="AM9">
    <cfRule type="cellIs" dxfId="3921" priority="39752" stopIfTrue="1" operator="notEqual">
      <formula>2</formula>
    </cfRule>
  </conditionalFormatting>
  <conditionalFormatting sqref="AN9">
    <cfRule type="cellIs" dxfId="3920" priority="39753" stopIfTrue="1" operator="notEqual">
      <formula>24</formula>
    </cfRule>
  </conditionalFormatting>
  <conditionalFormatting sqref="AO9">
    <cfRule type="cellIs" dxfId="3919" priority="39754" stopIfTrue="1" operator="notEqual">
      <formula>36</formula>
    </cfRule>
  </conditionalFormatting>
  <conditionalFormatting sqref="AP9">
    <cfRule type="cellIs" dxfId="3918" priority="39755" stopIfTrue="1" operator="notEqual">
      <formula>"yes"</formula>
    </cfRule>
  </conditionalFormatting>
  <conditionalFormatting sqref="AQ9">
    <cfRule type="cellIs" dxfId="3917" priority="39756" stopIfTrue="1" operator="notEqual">
      <formula>"recycle"</formula>
    </cfRule>
  </conditionalFormatting>
  <conditionalFormatting sqref="AR9">
    <cfRule type="cellIs" dxfId="3916" priority="39757" stopIfTrue="1" operator="notEqual">
      <formula>"holding tank"</formula>
    </cfRule>
  </conditionalFormatting>
  <conditionalFormatting sqref="AS9">
    <cfRule type="cellIs" dxfId="3915" priority="39758" stopIfTrue="1" operator="notEqual">
      <formula>"none"</formula>
    </cfRule>
  </conditionalFormatting>
  <conditionalFormatting sqref="AT9">
    <cfRule type="cellIs" dxfId="3914" priority="39759" stopIfTrue="1" operator="notEqual">
      <formula>"non-hazardous"</formula>
    </cfRule>
  </conditionalFormatting>
  <conditionalFormatting sqref="AU9">
    <cfRule type="expression" dxfId="3913" priority="39760" stopIfTrue="1">
      <formula>NOT(ISBLANK($AU$9))</formula>
    </cfRule>
  </conditionalFormatting>
  <conditionalFormatting sqref="AV9">
    <cfRule type="expression" dxfId="3912" priority="39761" stopIfTrue="1">
      <formula>NOT(ISBLANK($AV$9))</formula>
    </cfRule>
  </conditionalFormatting>
  <conditionalFormatting sqref="AW9">
    <cfRule type="expression" dxfId="3911" priority="39762" stopIfTrue="1">
      <formula>NOT(ISBLANK($AW$9))</formula>
    </cfRule>
  </conditionalFormatting>
  <conditionalFormatting sqref="AX9">
    <cfRule type="expression" dxfId="3910" priority="39763" stopIfTrue="1">
      <formula>NOT(ISBLANK($AX$9))</formula>
    </cfRule>
  </conditionalFormatting>
  <conditionalFormatting sqref="AY9">
    <cfRule type="expression" dxfId="3909" priority="39764" stopIfTrue="1">
      <formula>NOT(ISBLANK($AY$9))</formula>
    </cfRule>
  </conditionalFormatting>
  <conditionalFormatting sqref="AZ9">
    <cfRule type="cellIs" dxfId="3908" priority="39765" stopIfTrue="1" operator="notEqual">
      <formula>"fully automated"</formula>
    </cfRule>
  </conditionalFormatting>
  <conditionalFormatting sqref="BA9">
    <cfRule type="expression" dxfId="3907" priority="39766" stopIfTrue="1">
      <formula>NOT(ISBLANK($BA$9))</formula>
    </cfRule>
  </conditionalFormatting>
  <conditionalFormatting sqref="BB9">
    <cfRule type="expression" dxfId="3906" priority="39767" stopIfTrue="1">
      <formula>NOT(ISBLANK($BB$9))</formula>
    </cfRule>
  </conditionalFormatting>
  <conditionalFormatting sqref="BC9">
    <cfRule type="expression" dxfId="3905" priority="39768" stopIfTrue="1">
      <formula>NOT(ISBLANK($BC$9))</formula>
    </cfRule>
  </conditionalFormatting>
  <conditionalFormatting sqref="A10">
    <cfRule type="cellIs" dxfId="3904" priority="39769" stopIfTrue="1" operator="notEqual">
      <formula>1</formula>
    </cfRule>
  </conditionalFormatting>
  <conditionalFormatting sqref="B10">
    <cfRule type="cellIs" dxfId="3903" priority="39770" stopIfTrue="1" operator="notEqual">
      <formula>1</formula>
    </cfRule>
  </conditionalFormatting>
  <conditionalFormatting sqref="C10">
    <cfRule type="cellIs" dxfId="3902" priority="39771" stopIfTrue="1" operator="notEqual">
      <formula>2</formula>
    </cfRule>
  </conditionalFormatting>
  <conditionalFormatting sqref="D10">
    <cfRule type="cellIs" dxfId="3901" priority="39772" stopIfTrue="1" operator="notEqual">
      <formula>0.124</formula>
    </cfRule>
  </conditionalFormatting>
  <conditionalFormatting sqref="E10">
    <cfRule type="cellIs" dxfId="3900" priority="39773" stopIfTrue="1" operator="notEqual">
      <formula>"MGD"</formula>
    </cfRule>
  </conditionalFormatting>
  <conditionalFormatting sqref="F10">
    <cfRule type="cellIs" dxfId="3899" priority="39774" stopIfTrue="1" operator="notEqual">
      <formula>0.035</formula>
    </cfRule>
  </conditionalFormatting>
  <conditionalFormatting sqref="G10">
    <cfRule type="cellIs" dxfId="3898" priority="39775" stopIfTrue="1" operator="notEqual">
      <formula>"MGD"</formula>
    </cfRule>
  </conditionalFormatting>
  <conditionalFormatting sqref="H10">
    <cfRule type="cellIs" dxfId="3897" priority="39776" stopIfTrue="1" operator="notEqual">
      <formula>"acetic acid"</formula>
    </cfRule>
  </conditionalFormatting>
  <conditionalFormatting sqref="I10">
    <cfRule type="cellIs" dxfId="3896" priority="39777" stopIfTrue="1" operator="notEqual">
      <formula>10</formula>
    </cfRule>
  </conditionalFormatting>
  <conditionalFormatting sqref="J10">
    <cfRule type="cellIs" dxfId="3895" priority="39778" stopIfTrue="1" operator="notEqual">
      <formula>8</formula>
    </cfRule>
  </conditionalFormatting>
  <conditionalFormatting sqref="K10">
    <cfRule type="expression" dxfId="3894" priority="39779" stopIfTrue="1">
      <formula>NOT(ISBLANK($K$10))</formula>
    </cfRule>
  </conditionalFormatting>
  <conditionalFormatting sqref="L10">
    <cfRule type="expression" dxfId="3893" priority="39780" stopIfTrue="1">
      <formula>NOT(ISBLANK($L$10))</formula>
    </cfRule>
  </conditionalFormatting>
  <conditionalFormatting sqref="M10">
    <cfRule type="expression" dxfId="3892" priority="39781" stopIfTrue="1">
      <formula>NOT(ISBLANK($M$10))</formula>
    </cfRule>
  </conditionalFormatting>
  <conditionalFormatting sqref="N10">
    <cfRule type="cellIs" dxfId="3891" priority="39782" stopIfTrue="1" operator="notEqual">
      <formula>"additional phosphorous required"</formula>
    </cfRule>
  </conditionalFormatting>
  <conditionalFormatting sqref="O10">
    <cfRule type="expression" dxfId="3890" priority="39783" stopIfTrue="1">
      <formula>NOT(ISBLANK($O$10))</formula>
    </cfRule>
  </conditionalFormatting>
  <conditionalFormatting sqref="P10">
    <cfRule type="cellIs" dxfId="3889" priority="39784" stopIfTrue="1" operator="notEqual">
      <formula>1</formula>
    </cfRule>
  </conditionalFormatting>
  <conditionalFormatting sqref="Q10">
    <cfRule type="cellIs" dxfId="3888" priority="39785" stopIfTrue="1" operator="notEqual">
      <formula>12</formula>
    </cfRule>
  </conditionalFormatting>
  <conditionalFormatting sqref="R10">
    <cfRule type="cellIs" dxfId="3887" priority="39786" stopIfTrue="1" operator="notEqual">
      <formula>"yes"</formula>
    </cfRule>
  </conditionalFormatting>
  <conditionalFormatting sqref="S10">
    <cfRule type="expression" dxfId="3886" priority="39787" stopIfTrue="1">
      <formula>NOT(ISBLANK($S$10))</formula>
    </cfRule>
  </conditionalFormatting>
  <conditionalFormatting sqref="T10">
    <cfRule type="expression" dxfId="3885" priority="39788" stopIfTrue="1">
      <formula>NOT(ISBLANK($T$10))</formula>
    </cfRule>
  </conditionalFormatting>
  <conditionalFormatting sqref="U10">
    <cfRule type="expression" dxfId="3884" priority="39789" stopIfTrue="1">
      <formula>NOT(ISBLANK($U$10))</formula>
    </cfRule>
  </conditionalFormatting>
  <conditionalFormatting sqref="V10">
    <cfRule type="expression" dxfId="3883" priority="39790" stopIfTrue="1">
      <formula>NOT(ISBLANK($V$10))</formula>
    </cfRule>
  </conditionalFormatting>
  <conditionalFormatting sqref="W10">
    <cfRule type="expression" dxfId="3882" priority="39791" stopIfTrue="1">
      <formula>NOT(ISBLANK($W$10))</formula>
    </cfRule>
  </conditionalFormatting>
  <conditionalFormatting sqref="X10">
    <cfRule type="expression" dxfId="3881" priority="39792" stopIfTrue="1">
      <formula>NOT(ISBLANK($X$10))</formula>
    </cfRule>
  </conditionalFormatting>
  <conditionalFormatting sqref="Y10">
    <cfRule type="expression" dxfId="3880" priority="39793" stopIfTrue="1">
      <formula>NOT(ISBLANK($Y$10))</formula>
    </cfRule>
  </conditionalFormatting>
  <conditionalFormatting sqref="Z10">
    <cfRule type="expression" dxfId="3879" priority="39794" stopIfTrue="1">
      <formula>NOT(ISBLANK($Z$10))</formula>
    </cfRule>
  </conditionalFormatting>
  <conditionalFormatting sqref="AA10">
    <cfRule type="cellIs" dxfId="3878" priority="39795" stopIfTrue="1" operator="notEqual">
      <formula>"aeration"</formula>
    </cfRule>
  </conditionalFormatting>
  <conditionalFormatting sqref="AB10">
    <cfRule type="cellIs" dxfId="3877" priority="39796" stopIfTrue="1" operator="notEqual">
      <formula>"yes"</formula>
    </cfRule>
  </conditionalFormatting>
  <conditionalFormatting sqref="AC10">
    <cfRule type="cellIs" dxfId="3876" priority="39797" stopIfTrue="1" operator="notEqual">
      <formula>"pressure vessel"</formula>
    </cfRule>
  </conditionalFormatting>
  <conditionalFormatting sqref="AD10">
    <cfRule type="cellIs" dxfId="3875" priority="39798" stopIfTrue="1" operator="notEqual">
      <formula>"yes"</formula>
    </cfRule>
  </conditionalFormatting>
  <conditionalFormatting sqref="AE10">
    <cfRule type="expression" dxfId="3874" priority="39799" stopIfTrue="1">
      <formula>NOT(ISBLANK($AE$10))</formula>
    </cfRule>
  </conditionalFormatting>
  <conditionalFormatting sqref="AF10">
    <cfRule type="expression" dxfId="3873" priority="39800" stopIfTrue="1">
      <formula>NOT(ISBLANK($AF$10))</formula>
    </cfRule>
  </conditionalFormatting>
  <conditionalFormatting sqref="AG10">
    <cfRule type="expression" dxfId="3872" priority="39801" stopIfTrue="1">
      <formula>NOT(ISBLANK($AG$10))</formula>
    </cfRule>
  </conditionalFormatting>
  <conditionalFormatting sqref="AH10">
    <cfRule type="expression" dxfId="3871" priority="39802" stopIfTrue="1">
      <formula>NOT(ISBLANK($AH$10))</formula>
    </cfRule>
  </conditionalFormatting>
  <conditionalFormatting sqref="AI10">
    <cfRule type="cellIs" dxfId="3870" priority="39803" stopIfTrue="1" operator="notEqual">
      <formula>"yes"</formula>
    </cfRule>
  </conditionalFormatting>
  <conditionalFormatting sqref="AJ10">
    <cfRule type="cellIs" dxfId="3869" priority="39804" stopIfTrue="1" operator="notEqual">
      <formula>4.6</formula>
    </cfRule>
  </conditionalFormatting>
  <conditionalFormatting sqref="AK10">
    <cfRule type="cellIs" dxfId="3868" priority="39805" stopIfTrue="1" operator="notEqual">
      <formula>"upright"</formula>
    </cfRule>
  </conditionalFormatting>
  <conditionalFormatting sqref="AL10">
    <cfRule type="cellIs" dxfId="3867" priority="39806" stopIfTrue="1" operator="notEqual">
      <formula>8</formula>
    </cfRule>
  </conditionalFormatting>
  <conditionalFormatting sqref="AM10">
    <cfRule type="cellIs" dxfId="3866" priority="39807" stopIfTrue="1" operator="notEqual">
      <formula>4</formula>
    </cfRule>
  </conditionalFormatting>
  <conditionalFormatting sqref="AN10">
    <cfRule type="cellIs" dxfId="3865" priority="39808" stopIfTrue="1" operator="notEqual">
      <formula>24</formula>
    </cfRule>
  </conditionalFormatting>
  <conditionalFormatting sqref="AO10">
    <cfRule type="cellIs" dxfId="3864" priority="39809" stopIfTrue="1" operator="notEqual">
      <formula>36</formula>
    </cfRule>
  </conditionalFormatting>
  <conditionalFormatting sqref="AP10">
    <cfRule type="cellIs" dxfId="3863" priority="39810" stopIfTrue="1" operator="notEqual">
      <formula>"yes"</formula>
    </cfRule>
  </conditionalFormatting>
  <conditionalFormatting sqref="AQ10">
    <cfRule type="cellIs" dxfId="3862" priority="39811" stopIfTrue="1" operator="notEqual">
      <formula>"recycle"</formula>
    </cfRule>
  </conditionalFormatting>
  <conditionalFormatting sqref="AR10">
    <cfRule type="cellIs" dxfId="3861" priority="39812" stopIfTrue="1" operator="notEqual">
      <formula>"holding tank"</formula>
    </cfRule>
  </conditionalFormatting>
  <conditionalFormatting sqref="AS10">
    <cfRule type="cellIs" dxfId="3860" priority="39813" stopIfTrue="1" operator="notEqual">
      <formula>"none"</formula>
    </cfRule>
  </conditionalFormatting>
  <conditionalFormatting sqref="AT10">
    <cfRule type="cellIs" dxfId="3859" priority="39814" stopIfTrue="1" operator="notEqual">
      <formula>"non-hazardous"</formula>
    </cfRule>
  </conditionalFormatting>
  <conditionalFormatting sqref="AU10">
    <cfRule type="expression" dxfId="3858" priority="39815" stopIfTrue="1">
      <formula>NOT(ISBLANK($AU$10))</formula>
    </cfRule>
  </conditionalFormatting>
  <conditionalFormatting sqref="AV10">
    <cfRule type="expression" dxfId="3857" priority="39816" stopIfTrue="1">
      <formula>NOT(ISBLANK($AV$10))</formula>
    </cfRule>
  </conditionalFormatting>
  <conditionalFormatting sqref="AW10">
    <cfRule type="expression" dxfId="3856" priority="39817" stopIfTrue="1">
      <formula>NOT(ISBLANK($AW$10))</formula>
    </cfRule>
  </conditionalFormatting>
  <conditionalFormatting sqref="AX10">
    <cfRule type="expression" dxfId="3855" priority="39818" stopIfTrue="1">
      <formula>NOT(ISBLANK($AX$10))</formula>
    </cfRule>
  </conditionalFormatting>
  <conditionalFormatting sqref="AY10">
    <cfRule type="expression" dxfId="3854" priority="39819" stopIfTrue="1">
      <formula>NOT(ISBLANK($AY$10))</formula>
    </cfRule>
  </conditionalFormatting>
  <conditionalFormatting sqref="AZ10">
    <cfRule type="cellIs" dxfId="3853" priority="39820" stopIfTrue="1" operator="notEqual">
      <formula>"fully automated"</formula>
    </cfRule>
  </conditionalFormatting>
  <conditionalFormatting sqref="BA10">
    <cfRule type="expression" dxfId="3852" priority="39821" stopIfTrue="1">
      <formula>NOT(ISBLANK($BA$10))</formula>
    </cfRule>
  </conditionalFormatting>
  <conditionalFormatting sqref="BB10">
    <cfRule type="expression" dxfId="3851" priority="39822" stopIfTrue="1">
      <formula>NOT(ISBLANK($BB$10))</formula>
    </cfRule>
  </conditionalFormatting>
  <conditionalFormatting sqref="BC10">
    <cfRule type="expression" dxfId="3850" priority="39823" stopIfTrue="1">
      <formula>NOT(ISBLANK($BC$10))</formula>
    </cfRule>
  </conditionalFormatting>
  <conditionalFormatting sqref="A11">
    <cfRule type="cellIs" dxfId="3849" priority="39824" stopIfTrue="1" operator="notEqual">
      <formula>1</formula>
    </cfRule>
  </conditionalFormatting>
  <conditionalFormatting sqref="B11">
    <cfRule type="cellIs" dxfId="3848" priority="39825" stopIfTrue="1" operator="notEqual">
      <formula>1</formula>
    </cfRule>
  </conditionalFormatting>
  <conditionalFormatting sqref="C11">
    <cfRule type="cellIs" dxfId="3847" priority="39826" stopIfTrue="1" operator="notEqual">
      <formula>3</formula>
    </cfRule>
  </conditionalFormatting>
  <conditionalFormatting sqref="D11">
    <cfRule type="cellIs" dxfId="3846" priority="39827" stopIfTrue="1" operator="notEqual">
      <formula>0.305</formula>
    </cfRule>
  </conditionalFormatting>
  <conditionalFormatting sqref="E11">
    <cfRule type="cellIs" dxfId="3845" priority="39828" stopIfTrue="1" operator="notEqual">
      <formula>"MGD"</formula>
    </cfRule>
  </conditionalFormatting>
  <conditionalFormatting sqref="F11">
    <cfRule type="cellIs" dxfId="3844" priority="39829" stopIfTrue="1" operator="notEqual">
      <formula>0.094</formula>
    </cfRule>
  </conditionalFormatting>
  <conditionalFormatting sqref="G11">
    <cfRule type="cellIs" dxfId="3843" priority="39830" stopIfTrue="1" operator="notEqual">
      <formula>"MGD"</formula>
    </cfRule>
  </conditionalFormatting>
  <conditionalFormatting sqref="H11">
    <cfRule type="cellIs" dxfId="3842" priority="39831" stopIfTrue="1" operator="notEqual">
      <formula>"acetic acid"</formula>
    </cfRule>
  </conditionalFormatting>
  <conditionalFormatting sqref="I11">
    <cfRule type="cellIs" dxfId="3841" priority="39832" stopIfTrue="1" operator="notEqual">
      <formula>10</formula>
    </cfRule>
  </conditionalFormatting>
  <conditionalFormatting sqref="J11">
    <cfRule type="cellIs" dxfId="3840" priority="39833" stopIfTrue="1" operator="notEqual">
      <formula>8</formula>
    </cfRule>
  </conditionalFormatting>
  <conditionalFormatting sqref="K11">
    <cfRule type="expression" dxfId="3839" priority="39834" stopIfTrue="1">
      <formula>NOT(ISBLANK($K$11))</formula>
    </cfRule>
  </conditionalFormatting>
  <conditionalFormatting sqref="L11">
    <cfRule type="expression" dxfId="3838" priority="39835" stopIfTrue="1">
      <formula>NOT(ISBLANK($L$11))</formula>
    </cfRule>
  </conditionalFormatting>
  <conditionalFormatting sqref="M11">
    <cfRule type="expression" dxfId="3837" priority="39836" stopIfTrue="1">
      <formula>NOT(ISBLANK($M$11))</formula>
    </cfRule>
  </conditionalFormatting>
  <conditionalFormatting sqref="N11">
    <cfRule type="cellIs" dxfId="3836" priority="39837" stopIfTrue="1" operator="notEqual">
      <formula>"additional phosphorous required"</formula>
    </cfRule>
  </conditionalFormatting>
  <conditionalFormatting sqref="O11">
    <cfRule type="expression" dxfId="3835" priority="39838" stopIfTrue="1">
      <formula>NOT(ISBLANK($O$11))</formula>
    </cfRule>
  </conditionalFormatting>
  <conditionalFormatting sqref="P11">
    <cfRule type="cellIs" dxfId="3834" priority="39839" stopIfTrue="1" operator="notEqual">
      <formula>1</formula>
    </cfRule>
  </conditionalFormatting>
  <conditionalFormatting sqref="Q11">
    <cfRule type="cellIs" dxfId="3833" priority="39840" stopIfTrue="1" operator="notEqual">
      <formula>12</formula>
    </cfRule>
  </conditionalFormatting>
  <conditionalFormatting sqref="R11">
    <cfRule type="cellIs" dxfId="3832" priority="39841" stopIfTrue="1" operator="notEqual">
      <formula>"yes"</formula>
    </cfRule>
  </conditionalFormatting>
  <conditionalFormatting sqref="S11">
    <cfRule type="expression" dxfId="3831" priority="39842" stopIfTrue="1">
      <formula>NOT(ISBLANK($S$11))</formula>
    </cfRule>
  </conditionalFormatting>
  <conditionalFormatting sqref="T11">
    <cfRule type="expression" dxfId="3830" priority="39843" stopIfTrue="1">
      <formula>NOT(ISBLANK($T$11))</formula>
    </cfRule>
  </conditionalFormatting>
  <conditionalFormatting sqref="U11">
    <cfRule type="expression" dxfId="3829" priority="39844" stopIfTrue="1">
      <formula>NOT(ISBLANK($U$11))</formula>
    </cfRule>
  </conditionalFormatting>
  <conditionalFormatting sqref="V11">
    <cfRule type="expression" dxfId="3828" priority="39845" stopIfTrue="1">
      <formula>NOT(ISBLANK($V$11))</formula>
    </cfRule>
  </conditionalFormatting>
  <conditionalFormatting sqref="W11">
    <cfRule type="expression" dxfId="3827" priority="39846" stopIfTrue="1">
      <formula>NOT(ISBLANK($W$11))</formula>
    </cfRule>
  </conditionalFormatting>
  <conditionalFormatting sqref="X11">
    <cfRule type="expression" dxfId="3826" priority="39847" stopIfTrue="1">
      <formula>NOT(ISBLANK($X$11))</formula>
    </cfRule>
  </conditionalFormatting>
  <conditionalFormatting sqref="Y11">
    <cfRule type="expression" dxfId="3825" priority="39848" stopIfTrue="1">
      <formula>NOT(ISBLANK($Y$11))</formula>
    </cfRule>
  </conditionalFormatting>
  <conditionalFormatting sqref="Z11">
    <cfRule type="expression" dxfId="3824" priority="39849" stopIfTrue="1">
      <formula>NOT(ISBLANK($Z$11))</formula>
    </cfRule>
  </conditionalFormatting>
  <conditionalFormatting sqref="AA11">
    <cfRule type="cellIs" dxfId="3823" priority="39850" stopIfTrue="1" operator="notEqual">
      <formula>"aeration"</formula>
    </cfRule>
  </conditionalFormatting>
  <conditionalFormatting sqref="AB11">
    <cfRule type="cellIs" dxfId="3822" priority="39851" stopIfTrue="1" operator="notEqual">
      <formula>"yes"</formula>
    </cfRule>
  </conditionalFormatting>
  <conditionalFormatting sqref="AC11">
    <cfRule type="cellIs" dxfId="3821" priority="39852" stopIfTrue="1" operator="notEqual">
      <formula>"pressure vessel"</formula>
    </cfRule>
  </conditionalFormatting>
  <conditionalFormatting sqref="AD11">
    <cfRule type="cellIs" dxfId="3820" priority="39853" stopIfTrue="1" operator="notEqual">
      <formula>"yes"</formula>
    </cfRule>
  </conditionalFormatting>
  <conditionalFormatting sqref="AE11">
    <cfRule type="expression" dxfId="3819" priority="39854" stopIfTrue="1">
      <formula>NOT(ISBLANK($AE$11))</formula>
    </cfRule>
  </conditionalFormatting>
  <conditionalFormatting sqref="AF11">
    <cfRule type="expression" dxfId="3818" priority="39855" stopIfTrue="1">
      <formula>NOT(ISBLANK($AF$11))</formula>
    </cfRule>
  </conditionalFormatting>
  <conditionalFormatting sqref="AG11">
    <cfRule type="expression" dxfId="3817" priority="39856" stopIfTrue="1">
      <formula>NOT(ISBLANK($AG$11))</formula>
    </cfRule>
  </conditionalFormatting>
  <conditionalFormatting sqref="AH11">
    <cfRule type="expression" dxfId="3816" priority="39857" stopIfTrue="1">
      <formula>NOT(ISBLANK($AH$11))</formula>
    </cfRule>
  </conditionalFormatting>
  <conditionalFormatting sqref="AI11">
    <cfRule type="cellIs" dxfId="3815" priority="39858" stopIfTrue="1" operator="notEqual">
      <formula>"yes"</formula>
    </cfRule>
  </conditionalFormatting>
  <conditionalFormatting sqref="AJ11">
    <cfRule type="cellIs" dxfId="3814" priority="39859" stopIfTrue="1" operator="notEqual">
      <formula>4.9</formula>
    </cfRule>
  </conditionalFormatting>
  <conditionalFormatting sqref="AK11">
    <cfRule type="cellIs" dxfId="3813" priority="39860" stopIfTrue="1" operator="notEqual">
      <formula>"upright"</formula>
    </cfRule>
  </conditionalFormatting>
  <conditionalFormatting sqref="AL11">
    <cfRule type="cellIs" dxfId="3812" priority="39861" stopIfTrue="1" operator="notEqual">
      <formula>8.5</formula>
    </cfRule>
  </conditionalFormatting>
  <conditionalFormatting sqref="AM11">
    <cfRule type="cellIs" dxfId="3811" priority="39862" stopIfTrue="1" operator="notEqual">
      <formula>5</formula>
    </cfRule>
  </conditionalFormatting>
  <conditionalFormatting sqref="AN11">
    <cfRule type="cellIs" dxfId="3810" priority="39863" stopIfTrue="1" operator="notEqual">
      <formula>24</formula>
    </cfRule>
  </conditionalFormatting>
  <conditionalFormatting sqref="AO11">
    <cfRule type="cellIs" dxfId="3809" priority="39864" stopIfTrue="1" operator="notEqual">
      <formula>36</formula>
    </cfRule>
  </conditionalFormatting>
  <conditionalFormatting sqref="AP11">
    <cfRule type="cellIs" dxfId="3808" priority="39865" stopIfTrue="1" operator="notEqual">
      <formula>"yes"</formula>
    </cfRule>
  </conditionalFormatting>
  <conditionalFormatting sqref="AQ11">
    <cfRule type="cellIs" dxfId="3807" priority="39866" stopIfTrue="1" operator="notEqual">
      <formula>"recycle"</formula>
    </cfRule>
  </conditionalFormatting>
  <conditionalFormatting sqref="AR11">
    <cfRule type="cellIs" dxfId="3806" priority="39867" stopIfTrue="1" operator="notEqual">
      <formula>"holding tank"</formula>
    </cfRule>
  </conditionalFormatting>
  <conditionalFormatting sqref="AS11">
    <cfRule type="cellIs" dxfId="3805" priority="39868" stopIfTrue="1" operator="notEqual">
      <formula>"none"</formula>
    </cfRule>
  </conditionalFormatting>
  <conditionalFormatting sqref="AT11">
    <cfRule type="cellIs" dxfId="3804" priority="39869" stopIfTrue="1" operator="notEqual">
      <formula>"non-hazardous"</formula>
    </cfRule>
  </conditionalFormatting>
  <conditionalFormatting sqref="AU11">
    <cfRule type="expression" dxfId="3803" priority="39870" stopIfTrue="1">
      <formula>NOT(ISBLANK($AU$11))</formula>
    </cfRule>
  </conditionalFormatting>
  <conditionalFormatting sqref="AV11">
    <cfRule type="expression" dxfId="3802" priority="39871" stopIfTrue="1">
      <formula>NOT(ISBLANK($AV$11))</formula>
    </cfRule>
  </conditionalFormatting>
  <conditionalFormatting sqref="AW11">
    <cfRule type="expression" dxfId="3801" priority="39872" stopIfTrue="1">
      <formula>NOT(ISBLANK($AW$11))</formula>
    </cfRule>
  </conditionalFormatting>
  <conditionalFormatting sqref="AX11">
    <cfRule type="expression" dxfId="3800" priority="39873" stopIfTrue="1">
      <formula>NOT(ISBLANK($AX$11))</formula>
    </cfRule>
  </conditionalFormatting>
  <conditionalFormatting sqref="AY11">
    <cfRule type="expression" dxfId="3799" priority="39874" stopIfTrue="1">
      <formula>NOT(ISBLANK($AY$11))</formula>
    </cfRule>
  </conditionalFormatting>
  <conditionalFormatting sqref="AZ11">
    <cfRule type="cellIs" dxfId="3798" priority="39875" stopIfTrue="1" operator="notEqual">
      <formula>"fully automated"</formula>
    </cfRule>
  </conditionalFormatting>
  <conditionalFormatting sqref="BA11">
    <cfRule type="expression" dxfId="3797" priority="39876" stopIfTrue="1">
      <formula>NOT(ISBLANK($BA$11))</formula>
    </cfRule>
  </conditionalFormatting>
  <conditionalFormatting sqref="BB11">
    <cfRule type="expression" dxfId="3796" priority="39877" stopIfTrue="1">
      <formula>NOT(ISBLANK($BB$11))</formula>
    </cfRule>
  </conditionalFormatting>
  <conditionalFormatting sqref="BC11">
    <cfRule type="expression" dxfId="3795" priority="39878" stopIfTrue="1">
      <formula>NOT(ISBLANK($BC$11))</formula>
    </cfRule>
  </conditionalFormatting>
  <conditionalFormatting sqref="A12">
    <cfRule type="cellIs" dxfId="3794" priority="39879" stopIfTrue="1" operator="notEqual">
      <formula>1</formula>
    </cfRule>
  </conditionalFormatting>
  <conditionalFormatting sqref="B12">
    <cfRule type="cellIs" dxfId="3793" priority="39880" stopIfTrue="1" operator="notEqual">
      <formula>1</formula>
    </cfRule>
  </conditionalFormatting>
  <conditionalFormatting sqref="C12">
    <cfRule type="cellIs" dxfId="3792" priority="39881" stopIfTrue="1" operator="notEqual">
      <formula>4</formula>
    </cfRule>
  </conditionalFormatting>
  <conditionalFormatting sqref="D12">
    <cfRule type="cellIs" dxfId="3791" priority="39882" stopIfTrue="1" operator="notEqual">
      <formula>0.74</formula>
    </cfRule>
  </conditionalFormatting>
  <conditionalFormatting sqref="E12">
    <cfRule type="cellIs" dxfId="3790" priority="39883" stopIfTrue="1" operator="notEqual">
      <formula>"MGD"</formula>
    </cfRule>
  </conditionalFormatting>
  <conditionalFormatting sqref="F12">
    <cfRule type="cellIs" dxfId="3789" priority="39884" stopIfTrue="1" operator="notEqual">
      <formula>0.251</formula>
    </cfRule>
  </conditionalFormatting>
  <conditionalFormatting sqref="G12">
    <cfRule type="cellIs" dxfId="3788" priority="39885" stopIfTrue="1" operator="notEqual">
      <formula>"MGD"</formula>
    </cfRule>
  </conditionalFormatting>
  <conditionalFormatting sqref="H12">
    <cfRule type="cellIs" dxfId="3787" priority="39886" stopIfTrue="1" operator="notEqual">
      <formula>"acetic acid"</formula>
    </cfRule>
  </conditionalFormatting>
  <conditionalFormatting sqref="I12">
    <cfRule type="cellIs" dxfId="3786" priority="39887" stopIfTrue="1" operator="notEqual">
      <formula>10</formula>
    </cfRule>
  </conditionalFormatting>
  <conditionalFormatting sqref="J12">
    <cfRule type="cellIs" dxfId="3785" priority="39888" stopIfTrue="1" operator="notEqual">
      <formula>8</formula>
    </cfRule>
  </conditionalFormatting>
  <conditionalFormatting sqref="K12">
    <cfRule type="expression" dxfId="3784" priority="39889" stopIfTrue="1">
      <formula>NOT(ISBLANK($K$12))</formula>
    </cfRule>
  </conditionalFormatting>
  <conditionalFormatting sqref="L12">
    <cfRule type="expression" dxfId="3783" priority="39890" stopIfTrue="1">
      <formula>NOT(ISBLANK($L$12))</formula>
    </cfRule>
  </conditionalFormatting>
  <conditionalFormatting sqref="M12">
    <cfRule type="expression" dxfId="3782" priority="39891" stopIfTrue="1">
      <formula>NOT(ISBLANK($M$12))</formula>
    </cfRule>
  </conditionalFormatting>
  <conditionalFormatting sqref="N12">
    <cfRule type="cellIs" dxfId="3781" priority="39892" stopIfTrue="1" operator="notEqual">
      <formula>"additional phosphorous required"</formula>
    </cfRule>
  </conditionalFormatting>
  <conditionalFormatting sqref="O12">
    <cfRule type="expression" dxfId="3780" priority="39893" stopIfTrue="1">
      <formula>NOT(ISBLANK($O$12))</formula>
    </cfRule>
  </conditionalFormatting>
  <conditionalFormatting sqref="P12">
    <cfRule type="cellIs" dxfId="3779" priority="39894" stopIfTrue="1" operator="notEqual">
      <formula>1</formula>
    </cfRule>
  </conditionalFormatting>
  <conditionalFormatting sqref="Q12">
    <cfRule type="cellIs" dxfId="3778" priority="39895" stopIfTrue="1" operator="notEqual">
      <formula>12</formula>
    </cfRule>
  </conditionalFormatting>
  <conditionalFormatting sqref="R12">
    <cfRule type="cellIs" dxfId="3777" priority="39896" stopIfTrue="1" operator="notEqual">
      <formula>"yes"</formula>
    </cfRule>
  </conditionalFormatting>
  <conditionalFormatting sqref="S12">
    <cfRule type="expression" dxfId="3776" priority="39897" stopIfTrue="1">
      <formula>NOT(ISBLANK($S$12))</formula>
    </cfRule>
  </conditionalFormatting>
  <conditionalFormatting sqref="T12">
    <cfRule type="expression" dxfId="3775" priority="39898" stopIfTrue="1">
      <formula>NOT(ISBLANK($T$12))</formula>
    </cfRule>
  </conditionalFormatting>
  <conditionalFormatting sqref="U12">
    <cfRule type="expression" dxfId="3774" priority="39899" stopIfTrue="1">
      <formula>NOT(ISBLANK($U$12))</formula>
    </cfRule>
  </conditionalFormatting>
  <conditionalFormatting sqref="V12">
    <cfRule type="expression" dxfId="3773" priority="39900" stopIfTrue="1">
      <formula>NOT(ISBLANK($V$12))</formula>
    </cfRule>
  </conditionalFormatting>
  <conditionalFormatting sqref="W12">
    <cfRule type="expression" dxfId="3772" priority="39901" stopIfTrue="1">
      <formula>NOT(ISBLANK($W$12))</formula>
    </cfRule>
  </conditionalFormatting>
  <conditionalFormatting sqref="X12">
    <cfRule type="expression" dxfId="3771" priority="39902" stopIfTrue="1">
      <formula>NOT(ISBLANK($X$12))</formula>
    </cfRule>
  </conditionalFormatting>
  <conditionalFormatting sqref="Y12">
    <cfRule type="expression" dxfId="3770" priority="39903" stopIfTrue="1">
      <formula>NOT(ISBLANK($Y$12))</formula>
    </cfRule>
  </conditionalFormatting>
  <conditionalFormatting sqref="Z12">
    <cfRule type="expression" dxfId="3769" priority="39904" stopIfTrue="1">
      <formula>NOT(ISBLANK($Z$12))</formula>
    </cfRule>
  </conditionalFormatting>
  <conditionalFormatting sqref="AA12">
    <cfRule type="cellIs" dxfId="3768" priority="39905" stopIfTrue="1" operator="notEqual">
      <formula>"aeration"</formula>
    </cfRule>
  </conditionalFormatting>
  <conditionalFormatting sqref="AB12">
    <cfRule type="cellIs" dxfId="3767" priority="39906" stopIfTrue="1" operator="notEqual">
      <formula>"yes"</formula>
    </cfRule>
  </conditionalFormatting>
  <conditionalFormatting sqref="AC12">
    <cfRule type="cellIs" dxfId="3766" priority="39907" stopIfTrue="1" operator="notEqual">
      <formula>"pressure vessel"</formula>
    </cfRule>
  </conditionalFormatting>
  <conditionalFormatting sqref="AD12">
    <cfRule type="cellIs" dxfId="3765" priority="39908" stopIfTrue="1" operator="notEqual">
      <formula>"yes"</formula>
    </cfRule>
  </conditionalFormatting>
  <conditionalFormatting sqref="AE12">
    <cfRule type="expression" dxfId="3764" priority="39909" stopIfTrue="1">
      <formula>NOT(ISBLANK($AE$12))</formula>
    </cfRule>
  </conditionalFormatting>
  <conditionalFormatting sqref="AF12">
    <cfRule type="expression" dxfId="3763" priority="39910" stopIfTrue="1">
      <formula>NOT(ISBLANK($AF$12))</formula>
    </cfRule>
  </conditionalFormatting>
  <conditionalFormatting sqref="AG12">
    <cfRule type="expression" dxfId="3762" priority="39911" stopIfTrue="1">
      <formula>NOT(ISBLANK($AG$12))</formula>
    </cfRule>
  </conditionalFormatting>
  <conditionalFormatting sqref="AH12">
    <cfRule type="expression" dxfId="3761" priority="39912" stopIfTrue="1">
      <formula>NOT(ISBLANK($AH$12))</formula>
    </cfRule>
  </conditionalFormatting>
  <conditionalFormatting sqref="AI12">
    <cfRule type="cellIs" dxfId="3760" priority="39913" stopIfTrue="1" operator="notEqual">
      <formula>"yes"</formula>
    </cfRule>
  </conditionalFormatting>
  <conditionalFormatting sqref="AJ12">
    <cfRule type="cellIs" dxfId="3759" priority="39914" stopIfTrue="1" operator="notEqual">
      <formula>4.6</formula>
    </cfRule>
  </conditionalFormatting>
  <conditionalFormatting sqref="AK12">
    <cfRule type="cellIs" dxfId="3758" priority="39915" stopIfTrue="1" operator="notEqual">
      <formula>"upright"</formula>
    </cfRule>
  </conditionalFormatting>
  <conditionalFormatting sqref="AL12">
    <cfRule type="cellIs" dxfId="3757" priority="39916" stopIfTrue="1" operator="notEqual">
      <formula>8</formula>
    </cfRule>
  </conditionalFormatting>
  <conditionalFormatting sqref="AM12">
    <cfRule type="cellIs" dxfId="3756" priority="39917" stopIfTrue="1" operator="notEqual">
      <formula>8</formula>
    </cfRule>
  </conditionalFormatting>
  <conditionalFormatting sqref="AN12">
    <cfRule type="cellIs" dxfId="3755" priority="39918" stopIfTrue="1" operator="notEqual">
      <formula>24</formula>
    </cfRule>
  </conditionalFormatting>
  <conditionalFormatting sqref="AO12">
    <cfRule type="cellIs" dxfId="3754" priority="39919" stopIfTrue="1" operator="notEqual">
      <formula>36</formula>
    </cfRule>
  </conditionalFormatting>
  <conditionalFormatting sqref="AP12">
    <cfRule type="cellIs" dxfId="3753" priority="39920" stopIfTrue="1" operator="notEqual">
      <formula>"yes"</formula>
    </cfRule>
  </conditionalFormatting>
  <conditionalFormatting sqref="AQ12">
    <cfRule type="cellIs" dxfId="3752" priority="39921" stopIfTrue="1" operator="notEqual">
      <formula>"recycle"</formula>
    </cfRule>
  </conditionalFormatting>
  <conditionalFormatting sqref="AR12">
    <cfRule type="cellIs" dxfId="3751" priority="39922" stopIfTrue="1" operator="notEqual">
      <formula>"holding tank"</formula>
    </cfRule>
  </conditionalFormatting>
  <conditionalFormatting sqref="AS12">
    <cfRule type="cellIs" dxfId="3750" priority="39923" stopIfTrue="1" operator="notEqual">
      <formula>"none"</formula>
    </cfRule>
  </conditionalFormatting>
  <conditionalFormatting sqref="AT12">
    <cfRule type="cellIs" dxfId="3749" priority="39924" stopIfTrue="1" operator="notEqual">
      <formula>"non-hazardous"</formula>
    </cfRule>
  </conditionalFormatting>
  <conditionalFormatting sqref="AU12">
    <cfRule type="expression" dxfId="3748" priority="39925" stopIfTrue="1">
      <formula>NOT(ISBLANK($AU$12))</formula>
    </cfRule>
  </conditionalFormatting>
  <conditionalFormatting sqref="AV12">
    <cfRule type="expression" dxfId="3747" priority="39926" stopIfTrue="1">
      <formula>NOT(ISBLANK($AV$12))</formula>
    </cfRule>
  </conditionalFormatting>
  <conditionalFormatting sqref="AW12">
    <cfRule type="expression" dxfId="3746" priority="39927" stopIfTrue="1">
      <formula>NOT(ISBLANK($AW$12))</formula>
    </cfRule>
  </conditionalFormatting>
  <conditionalFormatting sqref="AX12">
    <cfRule type="expression" dxfId="3745" priority="39928" stopIfTrue="1">
      <formula>NOT(ISBLANK($AX$12))</formula>
    </cfRule>
  </conditionalFormatting>
  <conditionalFormatting sqref="AY12">
    <cfRule type="expression" dxfId="3744" priority="39929" stopIfTrue="1">
      <formula>NOT(ISBLANK($AY$12))</formula>
    </cfRule>
  </conditionalFormatting>
  <conditionalFormatting sqref="AZ12">
    <cfRule type="cellIs" dxfId="3743" priority="39930" stopIfTrue="1" operator="notEqual">
      <formula>"fully automated"</formula>
    </cfRule>
  </conditionalFormatting>
  <conditionalFormatting sqref="BA12">
    <cfRule type="expression" dxfId="3742" priority="39931" stopIfTrue="1">
      <formula>NOT(ISBLANK($BA$12))</formula>
    </cfRule>
  </conditionalFormatting>
  <conditionalFormatting sqref="BB12">
    <cfRule type="expression" dxfId="3741" priority="39932" stopIfTrue="1">
      <formula>NOT(ISBLANK($BB$12))</formula>
    </cfRule>
  </conditionalFormatting>
  <conditionalFormatting sqref="BC12">
    <cfRule type="expression" dxfId="3740" priority="39933" stopIfTrue="1">
      <formula>NOT(ISBLANK($BC$12))</formula>
    </cfRule>
  </conditionalFormatting>
  <conditionalFormatting sqref="A13">
    <cfRule type="cellIs" dxfId="3739" priority="39934" stopIfTrue="1" operator="notEqual">
      <formula>1</formula>
    </cfRule>
  </conditionalFormatting>
  <conditionalFormatting sqref="B13">
    <cfRule type="cellIs" dxfId="3738" priority="39935" stopIfTrue="1" operator="notEqual">
      <formula>1</formula>
    </cfRule>
  </conditionalFormatting>
  <conditionalFormatting sqref="C13">
    <cfRule type="cellIs" dxfId="3737" priority="39936" stopIfTrue="1" operator="notEqual">
      <formula>5</formula>
    </cfRule>
  </conditionalFormatting>
  <conditionalFormatting sqref="D13">
    <cfRule type="cellIs" dxfId="3736" priority="39937" stopIfTrue="1" operator="notEqual">
      <formula>2.152</formula>
    </cfRule>
  </conditionalFormatting>
  <conditionalFormatting sqref="E13">
    <cfRule type="cellIs" dxfId="3735" priority="39938" stopIfTrue="1" operator="notEqual">
      <formula>"MGD"</formula>
    </cfRule>
  </conditionalFormatting>
  <conditionalFormatting sqref="F13">
    <cfRule type="cellIs" dxfId="3734" priority="39939" stopIfTrue="1" operator="notEqual">
      <formula>0.819</formula>
    </cfRule>
  </conditionalFormatting>
  <conditionalFormatting sqref="G13">
    <cfRule type="cellIs" dxfId="3733" priority="39940" stopIfTrue="1" operator="notEqual">
      <formula>"MGD"</formula>
    </cfRule>
  </conditionalFormatting>
  <conditionalFormatting sqref="H13">
    <cfRule type="cellIs" dxfId="3732" priority="39941" stopIfTrue="1" operator="notEqual">
      <formula>"acetic acid"</formula>
    </cfRule>
  </conditionalFormatting>
  <conditionalFormatting sqref="I13">
    <cfRule type="cellIs" dxfId="3731" priority="39942" stopIfTrue="1" operator="notEqual">
      <formula>10</formula>
    </cfRule>
  </conditionalFormatting>
  <conditionalFormatting sqref="J13">
    <cfRule type="cellIs" dxfId="3730" priority="39943" stopIfTrue="1" operator="notEqual">
      <formula>8</formula>
    </cfRule>
  </conditionalFormatting>
  <conditionalFormatting sqref="K13">
    <cfRule type="expression" dxfId="3729" priority="39944" stopIfTrue="1">
      <formula>NOT(ISBLANK($K$13))</formula>
    </cfRule>
  </conditionalFormatting>
  <conditionalFormatting sqref="L13">
    <cfRule type="expression" dxfId="3728" priority="39945" stopIfTrue="1">
      <formula>NOT(ISBLANK($L$13))</formula>
    </cfRule>
  </conditionalFormatting>
  <conditionalFormatting sqref="M13">
    <cfRule type="expression" dxfId="3727" priority="39946" stopIfTrue="1">
      <formula>NOT(ISBLANK($M$13))</formula>
    </cfRule>
  </conditionalFormatting>
  <conditionalFormatting sqref="N13">
    <cfRule type="cellIs" dxfId="3726" priority="39947" stopIfTrue="1" operator="notEqual">
      <formula>"additional phosphorous required"</formula>
    </cfRule>
  </conditionalFormatting>
  <conditionalFormatting sqref="O13">
    <cfRule type="expression" dxfId="3725" priority="39948" stopIfTrue="1">
      <formula>NOT(ISBLANK($O$13))</formula>
    </cfRule>
  </conditionalFormatting>
  <conditionalFormatting sqref="P13">
    <cfRule type="cellIs" dxfId="3724" priority="39949" stopIfTrue="1" operator="notEqual">
      <formula>1</formula>
    </cfRule>
  </conditionalFormatting>
  <conditionalFormatting sqref="Q13">
    <cfRule type="cellIs" dxfId="3723" priority="39950" stopIfTrue="1" operator="notEqual">
      <formula>12</formula>
    </cfRule>
  </conditionalFormatting>
  <conditionalFormatting sqref="R13">
    <cfRule type="cellIs" dxfId="3722" priority="39951" stopIfTrue="1" operator="notEqual">
      <formula>"yes"</formula>
    </cfRule>
  </conditionalFormatting>
  <conditionalFormatting sqref="S13">
    <cfRule type="expression" dxfId="3721" priority="39952" stopIfTrue="1">
      <formula>NOT(ISBLANK($S$13))</formula>
    </cfRule>
  </conditionalFormatting>
  <conditionalFormatting sqref="T13">
    <cfRule type="expression" dxfId="3720" priority="39953" stopIfTrue="1">
      <formula>NOT(ISBLANK($T$13))</formula>
    </cfRule>
  </conditionalFormatting>
  <conditionalFormatting sqref="U13">
    <cfRule type="expression" dxfId="3719" priority="39954" stopIfTrue="1">
      <formula>NOT(ISBLANK($U$13))</formula>
    </cfRule>
  </conditionalFormatting>
  <conditionalFormatting sqref="V13">
    <cfRule type="expression" dxfId="3718" priority="39955" stopIfTrue="1">
      <formula>NOT(ISBLANK($V$13))</formula>
    </cfRule>
  </conditionalFormatting>
  <conditionalFormatting sqref="W13">
    <cfRule type="expression" dxfId="3717" priority="39956" stopIfTrue="1">
      <formula>NOT(ISBLANK($W$13))</formula>
    </cfRule>
  </conditionalFormatting>
  <conditionalFormatting sqref="X13">
    <cfRule type="expression" dxfId="3716" priority="39957" stopIfTrue="1">
      <formula>NOT(ISBLANK($X$13))</formula>
    </cfRule>
  </conditionalFormatting>
  <conditionalFormatting sqref="Y13">
    <cfRule type="expression" dxfId="3715" priority="39958" stopIfTrue="1">
      <formula>NOT(ISBLANK($Y$13))</formula>
    </cfRule>
  </conditionalFormatting>
  <conditionalFormatting sqref="Z13">
    <cfRule type="expression" dxfId="3714" priority="39959" stopIfTrue="1">
      <formula>NOT(ISBLANK($Z$13))</formula>
    </cfRule>
  </conditionalFormatting>
  <conditionalFormatting sqref="AA13">
    <cfRule type="cellIs" dxfId="3713" priority="39960" stopIfTrue="1" operator="notEqual">
      <formula>"aeration"</formula>
    </cfRule>
  </conditionalFormatting>
  <conditionalFormatting sqref="AB13">
    <cfRule type="cellIs" dxfId="3712" priority="39961" stopIfTrue="1" operator="notEqual">
      <formula>"yes"</formula>
    </cfRule>
  </conditionalFormatting>
  <conditionalFormatting sqref="AC13">
    <cfRule type="cellIs" dxfId="3711" priority="39962" stopIfTrue="1" operator="notEqual">
      <formula>"gravity basin"</formula>
    </cfRule>
  </conditionalFormatting>
  <conditionalFormatting sqref="AD13">
    <cfRule type="cellIs" dxfId="3710" priority="39963" stopIfTrue="1" operator="notEqual">
      <formula>"yes"</formula>
    </cfRule>
  </conditionalFormatting>
  <conditionalFormatting sqref="AE13">
    <cfRule type="cellIs" dxfId="3709" priority="39964" stopIfTrue="1" operator="notEqual">
      <formula>"yes"</formula>
    </cfRule>
  </conditionalFormatting>
  <conditionalFormatting sqref="AF13">
    <cfRule type="cellIs" dxfId="3708" priority="39965" stopIfTrue="1" operator="notEqual">
      <formula>8.5</formula>
    </cfRule>
  </conditionalFormatting>
  <conditionalFormatting sqref="AG13">
    <cfRule type="cellIs" dxfId="3707" priority="39966" stopIfTrue="1" operator="notEqual">
      <formula>8.5</formula>
    </cfRule>
  </conditionalFormatting>
  <conditionalFormatting sqref="AH13">
    <cfRule type="cellIs" dxfId="3706" priority="39967" stopIfTrue="1" operator="notEqual">
      <formula>7</formula>
    </cfRule>
  </conditionalFormatting>
  <conditionalFormatting sqref="AI13">
    <cfRule type="expression" dxfId="3705" priority="39968" stopIfTrue="1">
      <formula>NOT(ISBLANK($AI$13))</formula>
    </cfRule>
  </conditionalFormatting>
  <conditionalFormatting sqref="AJ13">
    <cfRule type="expression" dxfId="3704" priority="39969" stopIfTrue="1">
      <formula>NOT(ISBLANK($AJ$13))</formula>
    </cfRule>
  </conditionalFormatting>
  <conditionalFormatting sqref="AK13">
    <cfRule type="expression" dxfId="3703" priority="39970" stopIfTrue="1">
      <formula>NOT(ISBLANK($AK$13))</formula>
    </cfRule>
  </conditionalFormatting>
  <conditionalFormatting sqref="AL13">
    <cfRule type="expression" dxfId="3702" priority="39971" stopIfTrue="1">
      <formula>NOT(ISBLANK($AL$13))</formula>
    </cfRule>
  </conditionalFormatting>
  <conditionalFormatting sqref="AM13">
    <cfRule type="expression" dxfId="3701" priority="39972" stopIfTrue="1">
      <formula>NOT(ISBLANK($AM$13))</formula>
    </cfRule>
  </conditionalFormatting>
  <conditionalFormatting sqref="AN13">
    <cfRule type="cellIs" dxfId="3700" priority="39973" stopIfTrue="1" operator="notEqual">
      <formula>24</formula>
    </cfRule>
  </conditionalFormatting>
  <conditionalFormatting sqref="AO13">
    <cfRule type="cellIs" dxfId="3699" priority="39974" stopIfTrue="1" operator="notEqual">
      <formula>36</formula>
    </cfRule>
  </conditionalFormatting>
  <conditionalFormatting sqref="AP13">
    <cfRule type="cellIs" dxfId="3698" priority="39975" stopIfTrue="1" operator="notEqual">
      <formula>"yes"</formula>
    </cfRule>
  </conditionalFormatting>
  <conditionalFormatting sqref="AQ13">
    <cfRule type="cellIs" dxfId="3697" priority="39976" stopIfTrue="1" operator="notEqual">
      <formula>"recycle"</formula>
    </cfRule>
  </conditionalFormatting>
  <conditionalFormatting sqref="AR13">
    <cfRule type="cellIs" dxfId="3696" priority="39977" stopIfTrue="1" operator="notEqual">
      <formula>"holding tank"</formula>
    </cfRule>
  </conditionalFormatting>
  <conditionalFormatting sqref="AS13">
    <cfRule type="cellIs" dxfId="3695" priority="39978" stopIfTrue="1" operator="notEqual">
      <formula>"none"</formula>
    </cfRule>
  </conditionalFormatting>
  <conditionalFormatting sqref="AT13">
    <cfRule type="cellIs" dxfId="3694" priority="39979" stopIfTrue="1" operator="notEqual">
      <formula>"non-hazardous"</formula>
    </cfRule>
  </conditionalFormatting>
  <conditionalFormatting sqref="AU13">
    <cfRule type="expression" dxfId="3693" priority="39980" stopIfTrue="1">
      <formula>NOT(ISBLANK($AU$13))</formula>
    </cfRule>
  </conditionalFormatting>
  <conditionalFormatting sqref="AV13">
    <cfRule type="expression" dxfId="3692" priority="39981" stopIfTrue="1">
      <formula>NOT(ISBLANK($AV$13))</formula>
    </cfRule>
  </conditionalFormatting>
  <conditionalFormatting sqref="AW13">
    <cfRule type="expression" dxfId="3691" priority="39982" stopIfTrue="1">
      <formula>NOT(ISBLANK($AW$13))</formula>
    </cfRule>
  </conditionalFormatting>
  <conditionalFormatting sqref="AX13">
    <cfRule type="expression" dxfId="3690" priority="39983" stopIfTrue="1">
      <formula>NOT(ISBLANK($AX$13))</formula>
    </cfRule>
  </conditionalFormatting>
  <conditionalFormatting sqref="AY13">
    <cfRule type="expression" dxfId="3689" priority="39984" stopIfTrue="1">
      <formula>NOT(ISBLANK($AY$13))</formula>
    </cfRule>
  </conditionalFormatting>
  <conditionalFormatting sqref="AZ13">
    <cfRule type="cellIs" dxfId="3688" priority="39985" stopIfTrue="1" operator="notEqual">
      <formula>"fully automated"</formula>
    </cfRule>
  </conditionalFormatting>
  <conditionalFormatting sqref="BA13">
    <cfRule type="expression" dxfId="3687" priority="39986" stopIfTrue="1">
      <formula>NOT(ISBLANK($BA$13))</formula>
    </cfRule>
  </conditionalFormatting>
  <conditionalFormatting sqref="BB13">
    <cfRule type="expression" dxfId="3686" priority="39987" stopIfTrue="1">
      <formula>NOT(ISBLANK($BB$13))</formula>
    </cfRule>
  </conditionalFormatting>
  <conditionalFormatting sqref="BC13">
    <cfRule type="expression" dxfId="3685" priority="39988" stopIfTrue="1">
      <formula>NOT(ISBLANK($BC$13))</formula>
    </cfRule>
  </conditionalFormatting>
  <conditionalFormatting sqref="A14">
    <cfRule type="cellIs" dxfId="3684" priority="39989" stopIfTrue="1" operator="notEqual">
      <formula>1</formula>
    </cfRule>
  </conditionalFormatting>
  <conditionalFormatting sqref="B14">
    <cfRule type="cellIs" dxfId="3683" priority="39990" stopIfTrue="1" operator="notEqual">
      <formula>1</formula>
    </cfRule>
  </conditionalFormatting>
  <conditionalFormatting sqref="C14">
    <cfRule type="cellIs" dxfId="3682" priority="39991" stopIfTrue="1" operator="notEqual">
      <formula>6</formula>
    </cfRule>
  </conditionalFormatting>
  <conditionalFormatting sqref="D14">
    <cfRule type="cellIs" dxfId="3681" priority="39992" stopIfTrue="1" operator="notEqual">
      <formula>7.365</formula>
    </cfRule>
  </conditionalFormatting>
  <conditionalFormatting sqref="E14">
    <cfRule type="cellIs" dxfId="3680" priority="39993" stopIfTrue="1" operator="notEqual">
      <formula>"MGD"</formula>
    </cfRule>
  </conditionalFormatting>
  <conditionalFormatting sqref="F14">
    <cfRule type="cellIs" dxfId="3679" priority="39994" stopIfTrue="1" operator="notEqual">
      <formula>3.2</formula>
    </cfRule>
  </conditionalFormatting>
  <conditionalFormatting sqref="G14">
    <cfRule type="cellIs" dxfId="3678" priority="39995" stopIfTrue="1" operator="notEqual">
      <formula>"MGD"</formula>
    </cfRule>
  </conditionalFormatting>
  <conditionalFormatting sqref="H14">
    <cfRule type="cellIs" dxfId="3677" priority="39996" stopIfTrue="1" operator="notEqual">
      <formula>"acetic acid"</formula>
    </cfRule>
  </conditionalFormatting>
  <conditionalFormatting sqref="I14">
    <cfRule type="cellIs" dxfId="3676" priority="39997" stopIfTrue="1" operator="notEqual">
      <formula>10</formula>
    </cfRule>
  </conditionalFormatting>
  <conditionalFormatting sqref="J14">
    <cfRule type="cellIs" dxfId="3675" priority="39998" stopIfTrue="1" operator="notEqual">
      <formula>8</formula>
    </cfRule>
  </conditionalFormatting>
  <conditionalFormatting sqref="K14">
    <cfRule type="expression" dxfId="3674" priority="39999" stopIfTrue="1">
      <formula>NOT(ISBLANK($K$14))</formula>
    </cfRule>
  </conditionalFormatting>
  <conditionalFormatting sqref="L14">
    <cfRule type="expression" dxfId="3673" priority="40000" stopIfTrue="1">
      <formula>NOT(ISBLANK($L$14))</formula>
    </cfRule>
  </conditionalFormatting>
  <conditionalFormatting sqref="M14">
    <cfRule type="expression" dxfId="3672" priority="40001" stopIfTrue="1">
      <formula>NOT(ISBLANK($M$14))</formula>
    </cfRule>
  </conditionalFormatting>
  <conditionalFormatting sqref="N14">
    <cfRule type="cellIs" dxfId="3671" priority="40002" stopIfTrue="1" operator="notEqual">
      <formula>"additional phosphorous required"</formula>
    </cfRule>
  </conditionalFormatting>
  <conditionalFormatting sqref="O14">
    <cfRule type="expression" dxfId="3670" priority="40003" stopIfTrue="1">
      <formula>NOT(ISBLANK($O$14))</formula>
    </cfRule>
  </conditionalFormatting>
  <conditionalFormatting sqref="P14">
    <cfRule type="cellIs" dxfId="3669" priority="40004" stopIfTrue="1" operator="notEqual">
      <formula>1</formula>
    </cfRule>
  </conditionalFormatting>
  <conditionalFormatting sqref="Q14">
    <cfRule type="cellIs" dxfId="3668" priority="40005" stopIfTrue="1" operator="notEqual">
      <formula>12</formula>
    </cfRule>
  </conditionalFormatting>
  <conditionalFormatting sqref="R14">
    <cfRule type="cellIs" dxfId="3667" priority="40006" stopIfTrue="1" operator="notEqual">
      <formula>"yes"</formula>
    </cfRule>
  </conditionalFormatting>
  <conditionalFormatting sqref="S14">
    <cfRule type="expression" dxfId="3666" priority="40007" stopIfTrue="1">
      <formula>NOT(ISBLANK($S$14))</formula>
    </cfRule>
  </conditionalFormatting>
  <conditionalFormatting sqref="T14">
    <cfRule type="expression" dxfId="3665" priority="40008" stopIfTrue="1">
      <formula>NOT(ISBLANK($T$14))</formula>
    </cfRule>
  </conditionalFormatting>
  <conditionalFormatting sqref="U14">
    <cfRule type="expression" dxfId="3664" priority="40009" stopIfTrue="1">
      <formula>NOT(ISBLANK($U$14))</formula>
    </cfRule>
  </conditionalFormatting>
  <conditionalFormatting sqref="V14">
    <cfRule type="expression" dxfId="3663" priority="40010" stopIfTrue="1">
      <formula>NOT(ISBLANK($V$14))</formula>
    </cfRule>
  </conditionalFormatting>
  <conditionalFormatting sqref="W14">
    <cfRule type="expression" dxfId="3662" priority="40011" stopIfTrue="1">
      <formula>NOT(ISBLANK($W$14))</formula>
    </cfRule>
  </conditionalFormatting>
  <conditionalFormatting sqref="X14">
    <cfRule type="expression" dxfId="3661" priority="40012" stopIfTrue="1">
      <formula>NOT(ISBLANK($X$14))</formula>
    </cfRule>
  </conditionalFormatting>
  <conditionalFormatting sqref="Y14">
    <cfRule type="expression" dxfId="3660" priority="40013" stopIfTrue="1">
      <formula>NOT(ISBLANK($Y$14))</formula>
    </cfRule>
  </conditionalFormatting>
  <conditionalFormatting sqref="Z14">
    <cfRule type="expression" dxfId="3659" priority="40014" stopIfTrue="1">
      <formula>NOT(ISBLANK($Z$14))</formula>
    </cfRule>
  </conditionalFormatting>
  <conditionalFormatting sqref="AA14">
    <cfRule type="cellIs" dxfId="3658" priority="40015" stopIfTrue="1" operator="notEqual">
      <formula>"aeration"</formula>
    </cfRule>
  </conditionalFormatting>
  <conditionalFormatting sqref="AB14">
    <cfRule type="cellIs" dxfId="3657" priority="40016" stopIfTrue="1" operator="notEqual">
      <formula>"yes"</formula>
    </cfRule>
  </conditionalFormatting>
  <conditionalFormatting sqref="AC14">
    <cfRule type="cellIs" dxfId="3656" priority="40017" stopIfTrue="1" operator="notEqual">
      <formula>"gravity basin"</formula>
    </cfRule>
  </conditionalFormatting>
  <conditionalFormatting sqref="AD14">
    <cfRule type="cellIs" dxfId="3655" priority="40018" stopIfTrue="1" operator="notEqual">
      <formula>"yes"</formula>
    </cfRule>
  </conditionalFormatting>
  <conditionalFormatting sqref="AE14">
    <cfRule type="cellIs" dxfId="3654" priority="40019" stopIfTrue="1" operator="notEqual">
      <formula>"yes"</formula>
    </cfRule>
  </conditionalFormatting>
  <conditionalFormatting sqref="AF14">
    <cfRule type="cellIs" dxfId="3653" priority="40020" stopIfTrue="1" operator="notEqual">
      <formula>12</formula>
    </cfRule>
  </conditionalFormatting>
  <conditionalFormatting sqref="AG14">
    <cfRule type="cellIs" dxfId="3652" priority="40021" stopIfTrue="1" operator="notEqual">
      <formula>12</formula>
    </cfRule>
  </conditionalFormatting>
  <conditionalFormatting sqref="AH14">
    <cfRule type="cellIs" dxfId="3651" priority="40022" stopIfTrue="1" operator="notEqual">
      <formula>6.8</formula>
    </cfRule>
  </conditionalFormatting>
  <conditionalFormatting sqref="AI14">
    <cfRule type="expression" dxfId="3650" priority="40023" stopIfTrue="1">
      <formula>NOT(ISBLANK($AI$14))</formula>
    </cfRule>
  </conditionalFormatting>
  <conditionalFormatting sqref="AJ14">
    <cfRule type="expression" dxfId="3649" priority="40024" stopIfTrue="1">
      <formula>NOT(ISBLANK($AJ$14))</formula>
    </cfRule>
  </conditionalFormatting>
  <conditionalFormatting sqref="AK14">
    <cfRule type="expression" dxfId="3648" priority="40025" stopIfTrue="1">
      <formula>NOT(ISBLANK($AK$14))</formula>
    </cfRule>
  </conditionalFormatting>
  <conditionalFormatting sqref="AL14">
    <cfRule type="expression" dxfId="3647" priority="40026" stopIfTrue="1">
      <formula>NOT(ISBLANK($AL$14))</formula>
    </cfRule>
  </conditionalFormatting>
  <conditionalFormatting sqref="AM14">
    <cfRule type="expression" dxfId="3646" priority="40027" stopIfTrue="1">
      <formula>NOT(ISBLANK($AM$14))</formula>
    </cfRule>
  </conditionalFormatting>
  <conditionalFormatting sqref="AN14">
    <cfRule type="cellIs" dxfId="3645" priority="40028" stopIfTrue="1" operator="notEqual">
      <formula>24</formula>
    </cfRule>
  </conditionalFormatting>
  <conditionalFormatting sqref="AO14">
    <cfRule type="cellIs" dxfId="3644" priority="40029" stopIfTrue="1" operator="notEqual">
      <formula>36</formula>
    </cfRule>
  </conditionalFormatting>
  <conditionalFormatting sqref="AP14">
    <cfRule type="cellIs" dxfId="3643" priority="40030" stopIfTrue="1" operator="notEqual">
      <formula>"yes"</formula>
    </cfRule>
  </conditionalFormatting>
  <conditionalFormatting sqref="AQ14">
    <cfRule type="cellIs" dxfId="3642" priority="40031" stopIfTrue="1" operator="notEqual">
      <formula>"recycle"</formula>
    </cfRule>
  </conditionalFormatting>
  <conditionalFormatting sqref="AR14">
    <cfRule type="cellIs" dxfId="3641" priority="40032" stopIfTrue="1" operator="notEqual">
      <formula>"holding tank"</formula>
    </cfRule>
  </conditionalFormatting>
  <conditionalFormatting sqref="AS14">
    <cfRule type="cellIs" dxfId="3640" priority="40033" stopIfTrue="1" operator="notEqual">
      <formula>"none"</formula>
    </cfRule>
  </conditionalFormatting>
  <conditionalFormatting sqref="AT14">
    <cfRule type="cellIs" dxfId="3639" priority="40034" stopIfTrue="1" operator="notEqual">
      <formula>"non-hazardous"</formula>
    </cfRule>
  </conditionalFormatting>
  <conditionalFormatting sqref="AU14">
    <cfRule type="expression" dxfId="3638" priority="40035" stopIfTrue="1">
      <formula>NOT(ISBLANK($AU$14))</formula>
    </cfRule>
  </conditionalFormatting>
  <conditionalFormatting sqref="AV14">
    <cfRule type="expression" dxfId="3637" priority="40036" stopIfTrue="1">
      <formula>NOT(ISBLANK($AV$14))</formula>
    </cfRule>
  </conditionalFormatting>
  <conditionalFormatting sqref="AW14">
    <cfRule type="expression" dxfId="3636" priority="40037" stopIfTrue="1">
      <formula>NOT(ISBLANK($AW$14))</formula>
    </cfRule>
  </conditionalFormatting>
  <conditionalFormatting sqref="AX14">
    <cfRule type="expression" dxfId="3635" priority="40038" stopIfTrue="1">
      <formula>NOT(ISBLANK($AX$14))</formula>
    </cfRule>
  </conditionalFormatting>
  <conditionalFormatting sqref="AY14">
    <cfRule type="expression" dxfId="3634" priority="40039" stopIfTrue="1">
      <formula>NOT(ISBLANK($AY$14))</formula>
    </cfRule>
  </conditionalFormatting>
  <conditionalFormatting sqref="AZ14">
    <cfRule type="cellIs" dxfId="3633" priority="40040" stopIfTrue="1" operator="notEqual">
      <formula>"fully automated"</formula>
    </cfRule>
  </conditionalFormatting>
  <conditionalFormatting sqref="BA14">
    <cfRule type="expression" dxfId="3632" priority="40041" stopIfTrue="1">
      <formula>NOT(ISBLANK($BA$14))</formula>
    </cfRule>
  </conditionalFormatting>
  <conditionalFormatting sqref="BB14">
    <cfRule type="expression" dxfId="3631" priority="40042" stopIfTrue="1">
      <formula>NOT(ISBLANK($BB$14))</formula>
    </cfRule>
  </conditionalFormatting>
  <conditionalFormatting sqref="BC14">
    <cfRule type="expression" dxfId="3630" priority="40043" stopIfTrue="1">
      <formula>NOT(ISBLANK($BC$14))</formula>
    </cfRule>
  </conditionalFormatting>
  <conditionalFormatting sqref="A15">
    <cfRule type="cellIs" dxfId="3629" priority="40044" stopIfTrue="1" operator="notEqual">
      <formula>1</formula>
    </cfRule>
  </conditionalFormatting>
  <conditionalFormatting sqref="B15">
    <cfRule type="cellIs" dxfId="3628" priority="40045" stopIfTrue="1" operator="notEqual">
      <formula>1</formula>
    </cfRule>
  </conditionalFormatting>
  <conditionalFormatting sqref="C15">
    <cfRule type="cellIs" dxfId="3627" priority="40046" stopIfTrue="1" operator="notEqual">
      <formula>7</formula>
    </cfRule>
  </conditionalFormatting>
  <conditionalFormatting sqref="D15">
    <cfRule type="cellIs" dxfId="3626" priority="40047" stopIfTrue="1" operator="notEqual">
      <formula>22.614</formula>
    </cfRule>
  </conditionalFormatting>
  <conditionalFormatting sqref="E15">
    <cfRule type="cellIs" dxfId="3625" priority="40048" stopIfTrue="1" operator="notEqual">
      <formula>"MGD"</formula>
    </cfRule>
  </conditionalFormatting>
  <conditionalFormatting sqref="F15">
    <cfRule type="cellIs" dxfId="3624" priority="40049" stopIfTrue="1" operator="notEqual">
      <formula>11.066</formula>
    </cfRule>
  </conditionalFormatting>
  <conditionalFormatting sqref="G15">
    <cfRule type="cellIs" dxfId="3623" priority="40050" stopIfTrue="1" operator="notEqual">
      <formula>"MGD"</formula>
    </cfRule>
  </conditionalFormatting>
  <conditionalFormatting sqref="H15">
    <cfRule type="cellIs" dxfId="3622" priority="40051" stopIfTrue="1" operator="notEqual">
      <formula>"acetic acid"</formula>
    </cfRule>
  </conditionalFormatting>
  <conditionalFormatting sqref="I15">
    <cfRule type="cellIs" dxfId="3621" priority="40052" stopIfTrue="1" operator="notEqual">
      <formula>10</formula>
    </cfRule>
  </conditionalFormatting>
  <conditionalFormatting sqref="J15">
    <cfRule type="cellIs" dxfId="3620" priority="40053" stopIfTrue="1" operator="notEqual">
      <formula>8</formula>
    </cfRule>
  </conditionalFormatting>
  <conditionalFormatting sqref="K15">
    <cfRule type="expression" dxfId="3619" priority="40054" stopIfTrue="1">
      <formula>NOT(ISBLANK($K$15))</formula>
    </cfRule>
  </conditionalFormatting>
  <conditionalFormatting sqref="L15">
    <cfRule type="expression" dxfId="3618" priority="40055" stopIfTrue="1">
      <formula>NOT(ISBLANK($L$15))</formula>
    </cfRule>
  </conditionalFormatting>
  <conditionalFormatting sqref="M15">
    <cfRule type="expression" dxfId="3617" priority="40056" stopIfTrue="1">
      <formula>NOT(ISBLANK($M$15))</formula>
    </cfRule>
  </conditionalFormatting>
  <conditionalFormatting sqref="N15">
    <cfRule type="cellIs" dxfId="3616" priority="40057" stopIfTrue="1" operator="notEqual">
      <formula>"additional phosphorous required"</formula>
    </cfRule>
  </conditionalFormatting>
  <conditionalFormatting sqref="O15">
    <cfRule type="expression" dxfId="3615" priority="40058" stopIfTrue="1">
      <formula>NOT(ISBLANK($O$15))</formula>
    </cfRule>
  </conditionalFormatting>
  <conditionalFormatting sqref="P15">
    <cfRule type="cellIs" dxfId="3614" priority="40059" stopIfTrue="1" operator="notEqual">
      <formula>1</formula>
    </cfRule>
  </conditionalFormatting>
  <conditionalFormatting sqref="Q15">
    <cfRule type="cellIs" dxfId="3613" priority="40060" stopIfTrue="1" operator="notEqual">
      <formula>12</formula>
    </cfRule>
  </conditionalFormatting>
  <conditionalFormatting sqref="R15">
    <cfRule type="cellIs" dxfId="3612" priority="40061" stopIfTrue="1" operator="notEqual">
      <formula>"yes"</formula>
    </cfRule>
  </conditionalFormatting>
  <conditionalFormatting sqref="S15">
    <cfRule type="expression" dxfId="3611" priority="40062" stopIfTrue="1">
      <formula>NOT(ISBLANK($S$15))</formula>
    </cfRule>
  </conditionalFormatting>
  <conditionalFormatting sqref="T15">
    <cfRule type="expression" dxfId="3610" priority="40063" stopIfTrue="1">
      <formula>NOT(ISBLANK($T$15))</formula>
    </cfRule>
  </conditionalFormatting>
  <conditionalFormatting sqref="U15">
    <cfRule type="expression" dxfId="3609" priority="40064" stopIfTrue="1">
      <formula>NOT(ISBLANK($U$15))</formula>
    </cfRule>
  </conditionalFormatting>
  <conditionalFormatting sqref="V15">
    <cfRule type="expression" dxfId="3608" priority="40065" stopIfTrue="1">
      <formula>NOT(ISBLANK($V$15))</formula>
    </cfRule>
  </conditionalFormatting>
  <conditionalFormatting sqref="W15">
    <cfRule type="expression" dxfId="3607" priority="40066" stopIfTrue="1">
      <formula>NOT(ISBLANK($W$15))</formula>
    </cfRule>
  </conditionalFormatting>
  <conditionalFormatting sqref="X15">
    <cfRule type="expression" dxfId="3606" priority="40067" stopIfTrue="1">
      <formula>NOT(ISBLANK($X$15))</formula>
    </cfRule>
  </conditionalFormatting>
  <conditionalFormatting sqref="Y15">
    <cfRule type="expression" dxfId="3605" priority="40068" stopIfTrue="1">
      <formula>NOT(ISBLANK($Y$15))</formula>
    </cfRule>
  </conditionalFormatting>
  <conditionalFormatting sqref="Z15">
    <cfRule type="expression" dxfId="3604" priority="40069" stopIfTrue="1">
      <formula>NOT(ISBLANK($Z$15))</formula>
    </cfRule>
  </conditionalFormatting>
  <conditionalFormatting sqref="AA15">
    <cfRule type="cellIs" dxfId="3603" priority="40070" stopIfTrue="1" operator="notEqual">
      <formula>"aeration"</formula>
    </cfRule>
  </conditionalFormatting>
  <conditionalFormatting sqref="AB15">
    <cfRule type="cellIs" dxfId="3602" priority="40071" stopIfTrue="1" operator="notEqual">
      <formula>"yes"</formula>
    </cfRule>
  </conditionalFormatting>
  <conditionalFormatting sqref="AC15">
    <cfRule type="cellIs" dxfId="3601" priority="40072" stopIfTrue="1" operator="notEqual">
      <formula>"gravity basin"</formula>
    </cfRule>
  </conditionalFormatting>
  <conditionalFormatting sqref="AD15">
    <cfRule type="cellIs" dxfId="3600" priority="40073" stopIfTrue="1" operator="notEqual">
      <formula>"yes"</formula>
    </cfRule>
  </conditionalFormatting>
  <conditionalFormatting sqref="AE15">
    <cfRule type="cellIs" dxfId="3599" priority="40074" stopIfTrue="1" operator="notEqual">
      <formula>"yes"</formula>
    </cfRule>
  </conditionalFormatting>
  <conditionalFormatting sqref="AF15">
    <cfRule type="cellIs" dxfId="3598" priority="40075" stopIfTrue="1" operator="notEqual">
      <formula>12.5</formula>
    </cfRule>
  </conditionalFormatting>
  <conditionalFormatting sqref="AG15">
    <cfRule type="cellIs" dxfId="3597" priority="40076" stopIfTrue="1" operator="notEqual">
      <formula>12.5</formula>
    </cfRule>
  </conditionalFormatting>
  <conditionalFormatting sqref="AH15">
    <cfRule type="cellIs" dxfId="3596" priority="40077" stopIfTrue="1" operator="notEqual">
      <formula>9</formula>
    </cfRule>
  </conditionalFormatting>
  <conditionalFormatting sqref="AI15">
    <cfRule type="expression" dxfId="3595" priority="40078" stopIfTrue="1">
      <formula>NOT(ISBLANK($AI$15))</formula>
    </cfRule>
  </conditionalFormatting>
  <conditionalFormatting sqref="AJ15">
    <cfRule type="expression" dxfId="3594" priority="40079" stopIfTrue="1">
      <formula>NOT(ISBLANK($AJ$15))</formula>
    </cfRule>
  </conditionalFormatting>
  <conditionalFormatting sqref="AK15">
    <cfRule type="expression" dxfId="3593" priority="40080" stopIfTrue="1">
      <formula>NOT(ISBLANK($AK$15))</formula>
    </cfRule>
  </conditionalFormatting>
  <conditionalFormatting sqref="AL15">
    <cfRule type="expression" dxfId="3592" priority="40081" stopIfTrue="1">
      <formula>NOT(ISBLANK($AL$15))</formula>
    </cfRule>
  </conditionalFormatting>
  <conditionalFormatting sqref="AM15">
    <cfRule type="expression" dxfId="3591" priority="40082" stopIfTrue="1">
      <formula>NOT(ISBLANK($AM$15))</formula>
    </cfRule>
  </conditionalFormatting>
  <conditionalFormatting sqref="AN15">
    <cfRule type="cellIs" dxfId="3590" priority="40083" stopIfTrue="1" operator="notEqual">
      <formula>24</formula>
    </cfRule>
  </conditionalFormatting>
  <conditionalFormatting sqref="AO15">
    <cfRule type="cellIs" dxfId="3589" priority="40084" stopIfTrue="1" operator="notEqual">
      <formula>36</formula>
    </cfRule>
  </conditionalFormatting>
  <conditionalFormatting sqref="AP15">
    <cfRule type="cellIs" dxfId="3588" priority="40085" stopIfTrue="1" operator="notEqual">
      <formula>"yes"</formula>
    </cfRule>
  </conditionalFormatting>
  <conditionalFormatting sqref="AQ15">
    <cfRule type="cellIs" dxfId="3587" priority="40086" stopIfTrue="1" operator="notEqual">
      <formula>"recycle"</formula>
    </cfRule>
  </conditionalFormatting>
  <conditionalFormatting sqref="AR15">
    <cfRule type="cellIs" dxfId="3586" priority="40087" stopIfTrue="1" operator="notEqual">
      <formula>"holding tank"</formula>
    </cfRule>
  </conditionalFormatting>
  <conditionalFormatting sqref="AS15">
    <cfRule type="cellIs" dxfId="3585" priority="40088" stopIfTrue="1" operator="notEqual">
      <formula>"none"</formula>
    </cfRule>
  </conditionalFormatting>
  <conditionalFormatting sqref="AT15">
    <cfRule type="cellIs" dxfId="3584" priority="40089" stopIfTrue="1" operator="notEqual">
      <formula>"non-hazardous"</formula>
    </cfRule>
  </conditionalFormatting>
  <conditionalFormatting sqref="AU15">
    <cfRule type="expression" dxfId="3583" priority="40090" stopIfTrue="1">
      <formula>NOT(ISBLANK($AU$15))</formula>
    </cfRule>
  </conditionalFormatting>
  <conditionalFormatting sqref="AV15">
    <cfRule type="expression" dxfId="3582" priority="40091" stopIfTrue="1">
      <formula>NOT(ISBLANK($AV$15))</formula>
    </cfRule>
  </conditionalFormatting>
  <conditionalFormatting sqref="AW15">
    <cfRule type="expression" dxfId="3581" priority="40092" stopIfTrue="1">
      <formula>NOT(ISBLANK($AW$15))</formula>
    </cfRule>
  </conditionalFormatting>
  <conditionalFormatting sqref="AX15">
    <cfRule type="expression" dxfId="3580" priority="40093" stopIfTrue="1">
      <formula>NOT(ISBLANK($AX$15))</formula>
    </cfRule>
  </conditionalFormatting>
  <conditionalFormatting sqref="AY15">
    <cfRule type="expression" dxfId="3579" priority="40094" stopIfTrue="1">
      <formula>NOT(ISBLANK($AY$15))</formula>
    </cfRule>
  </conditionalFormatting>
  <conditionalFormatting sqref="AZ15">
    <cfRule type="cellIs" dxfId="3578" priority="40095" stopIfTrue="1" operator="notEqual">
      <formula>"fully automated"</formula>
    </cfRule>
  </conditionalFormatting>
  <conditionalFormatting sqref="BA15">
    <cfRule type="expression" dxfId="3577" priority="40096" stopIfTrue="1">
      <formula>NOT(ISBLANK($BA$15))</formula>
    </cfRule>
  </conditionalFormatting>
  <conditionalFormatting sqref="BB15">
    <cfRule type="expression" dxfId="3576" priority="40097" stopIfTrue="1">
      <formula>NOT(ISBLANK($BB$15))</formula>
    </cfRule>
  </conditionalFormatting>
  <conditionalFormatting sqref="BC15">
    <cfRule type="expression" dxfId="3575" priority="40098" stopIfTrue="1">
      <formula>NOT(ISBLANK($BC$15))</formula>
    </cfRule>
  </conditionalFormatting>
  <conditionalFormatting sqref="A16">
    <cfRule type="cellIs" dxfId="3574" priority="40099" stopIfTrue="1" operator="notEqual">
      <formula>1</formula>
    </cfRule>
  </conditionalFormatting>
  <conditionalFormatting sqref="B16">
    <cfRule type="cellIs" dxfId="3573" priority="40100" stopIfTrue="1" operator="notEqual">
      <formula>1</formula>
    </cfRule>
  </conditionalFormatting>
  <conditionalFormatting sqref="C16">
    <cfRule type="cellIs" dxfId="3572" priority="40101" stopIfTrue="1" operator="notEqual">
      <formula>8</formula>
    </cfRule>
  </conditionalFormatting>
  <conditionalFormatting sqref="D16">
    <cfRule type="cellIs" dxfId="3571" priority="40102" stopIfTrue="1" operator="notEqual">
      <formula>75.072</formula>
    </cfRule>
  </conditionalFormatting>
  <conditionalFormatting sqref="E16">
    <cfRule type="cellIs" dxfId="3570" priority="40103" stopIfTrue="1" operator="notEqual">
      <formula>"MGD"</formula>
    </cfRule>
  </conditionalFormatting>
  <conditionalFormatting sqref="F16">
    <cfRule type="cellIs" dxfId="3569" priority="40104" stopIfTrue="1" operator="notEqual">
      <formula>37.536</formula>
    </cfRule>
  </conditionalFormatting>
  <conditionalFormatting sqref="G16">
    <cfRule type="cellIs" dxfId="3568" priority="40105" stopIfTrue="1" operator="notEqual">
      <formula>"MGD"</formula>
    </cfRule>
  </conditionalFormatting>
  <conditionalFormatting sqref="H16">
    <cfRule type="cellIs" dxfId="3567" priority="40106" stopIfTrue="1" operator="notEqual">
      <formula>"acetic acid"</formula>
    </cfRule>
  </conditionalFormatting>
  <conditionalFormatting sqref="I16">
    <cfRule type="cellIs" dxfId="3566" priority="40107" stopIfTrue="1" operator="notEqual">
      <formula>10</formula>
    </cfRule>
  </conditionalFormatting>
  <conditionalFormatting sqref="J16">
    <cfRule type="cellIs" dxfId="3565" priority="40108" stopIfTrue="1" operator="notEqual">
      <formula>8</formula>
    </cfRule>
  </conditionalFormatting>
  <conditionalFormatting sqref="K16">
    <cfRule type="expression" dxfId="3564" priority="40109" stopIfTrue="1">
      <formula>NOT(ISBLANK($K$16))</formula>
    </cfRule>
  </conditionalFormatting>
  <conditionalFormatting sqref="L16">
    <cfRule type="expression" dxfId="3563" priority="40110" stopIfTrue="1">
      <formula>NOT(ISBLANK($L$16))</formula>
    </cfRule>
  </conditionalFormatting>
  <conditionalFormatting sqref="M16">
    <cfRule type="expression" dxfId="3562" priority="40111" stopIfTrue="1">
      <formula>NOT(ISBLANK($M$16))</formula>
    </cfRule>
  </conditionalFormatting>
  <conditionalFormatting sqref="N16">
    <cfRule type="cellIs" dxfId="3561" priority="40112" stopIfTrue="1" operator="notEqual">
      <formula>"additional phosphorous required"</formula>
    </cfRule>
  </conditionalFormatting>
  <conditionalFormatting sqref="O16">
    <cfRule type="expression" dxfId="3560" priority="40113" stopIfTrue="1">
      <formula>NOT(ISBLANK($O$16))</formula>
    </cfRule>
  </conditionalFormatting>
  <conditionalFormatting sqref="P16">
    <cfRule type="cellIs" dxfId="3559" priority="40114" stopIfTrue="1" operator="notEqual">
      <formula>1</formula>
    </cfRule>
  </conditionalFormatting>
  <conditionalFormatting sqref="Q16">
    <cfRule type="cellIs" dxfId="3558" priority="40115" stopIfTrue="1" operator="notEqual">
      <formula>12</formula>
    </cfRule>
  </conditionalFormatting>
  <conditionalFormatting sqref="R16">
    <cfRule type="cellIs" dxfId="3557" priority="40116" stopIfTrue="1" operator="notEqual">
      <formula>"yes"</formula>
    </cfRule>
  </conditionalFormatting>
  <conditionalFormatting sqref="S16">
    <cfRule type="expression" dxfId="3556" priority="40117" stopIfTrue="1">
      <formula>NOT(ISBLANK($S$16))</formula>
    </cfRule>
  </conditionalFormatting>
  <conditionalFormatting sqref="T16">
    <cfRule type="expression" dxfId="3555" priority="40118" stopIfTrue="1">
      <formula>NOT(ISBLANK($T$16))</formula>
    </cfRule>
  </conditionalFormatting>
  <conditionalFormatting sqref="U16">
    <cfRule type="expression" dxfId="3554" priority="40119" stopIfTrue="1">
      <formula>NOT(ISBLANK($U$16))</formula>
    </cfRule>
  </conditionalFormatting>
  <conditionalFormatting sqref="V16">
    <cfRule type="expression" dxfId="3553" priority="40120" stopIfTrue="1">
      <formula>NOT(ISBLANK($V$16))</formula>
    </cfRule>
  </conditionalFormatting>
  <conditionalFormatting sqref="W16">
    <cfRule type="expression" dxfId="3552" priority="40121" stopIfTrue="1">
      <formula>NOT(ISBLANK($W$16))</formula>
    </cfRule>
  </conditionalFormatting>
  <conditionalFormatting sqref="X16">
    <cfRule type="expression" dxfId="3551" priority="40122" stopIfTrue="1">
      <formula>NOT(ISBLANK($X$16))</formula>
    </cfRule>
  </conditionalFormatting>
  <conditionalFormatting sqref="Y16">
    <cfRule type="expression" dxfId="3550" priority="40123" stopIfTrue="1">
      <formula>NOT(ISBLANK($Y$16))</formula>
    </cfRule>
  </conditionalFormatting>
  <conditionalFormatting sqref="Z16">
    <cfRule type="expression" dxfId="3549" priority="40124" stopIfTrue="1">
      <formula>NOT(ISBLANK($Z$16))</formula>
    </cfRule>
  </conditionalFormatting>
  <conditionalFormatting sqref="AA16">
    <cfRule type="cellIs" dxfId="3548" priority="40125" stopIfTrue="1" operator="notEqual">
      <formula>"aeration"</formula>
    </cfRule>
  </conditionalFormatting>
  <conditionalFormatting sqref="AB16">
    <cfRule type="cellIs" dxfId="3547" priority="40126" stopIfTrue="1" operator="notEqual">
      <formula>"yes"</formula>
    </cfRule>
  </conditionalFormatting>
  <conditionalFormatting sqref="AC16">
    <cfRule type="cellIs" dxfId="3546" priority="40127" stopIfTrue="1" operator="notEqual">
      <formula>"gravity basin"</formula>
    </cfRule>
  </conditionalFormatting>
  <conditionalFormatting sqref="AD16">
    <cfRule type="cellIs" dxfId="3545" priority="40128" stopIfTrue="1" operator="notEqual">
      <formula>"yes"</formula>
    </cfRule>
  </conditionalFormatting>
  <conditionalFormatting sqref="AE16">
    <cfRule type="cellIs" dxfId="3544" priority="40129" stopIfTrue="1" operator="notEqual">
      <formula>"yes"</formula>
    </cfRule>
  </conditionalFormatting>
  <conditionalFormatting sqref="AF16">
    <cfRule type="cellIs" dxfId="3543" priority="40130" stopIfTrue="1" operator="notEqual">
      <formula>21</formula>
    </cfRule>
  </conditionalFormatting>
  <conditionalFormatting sqref="AG16">
    <cfRule type="cellIs" dxfId="3542" priority="40131" stopIfTrue="1" operator="notEqual">
      <formula>21</formula>
    </cfRule>
  </conditionalFormatting>
  <conditionalFormatting sqref="AH16">
    <cfRule type="cellIs" dxfId="3541" priority="40132" stopIfTrue="1" operator="notEqual">
      <formula>8.8</formula>
    </cfRule>
  </conditionalFormatting>
  <conditionalFormatting sqref="AI16">
    <cfRule type="expression" dxfId="3540" priority="40133" stopIfTrue="1">
      <formula>NOT(ISBLANK($AI$16))</formula>
    </cfRule>
  </conditionalFormatting>
  <conditionalFormatting sqref="AJ16">
    <cfRule type="expression" dxfId="3539" priority="40134" stopIfTrue="1">
      <formula>NOT(ISBLANK($AJ$16))</formula>
    </cfRule>
  </conditionalFormatting>
  <conditionalFormatting sqref="AK16">
    <cfRule type="expression" dxfId="3538" priority="40135" stopIfTrue="1">
      <formula>NOT(ISBLANK($AK$16))</formula>
    </cfRule>
  </conditionalFormatting>
  <conditionalFormatting sqref="AL16">
    <cfRule type="expression" dxfId="3537" priority="40136" stopIfTrue="1">
      <formula>NOT(ISBLANK($AL$16))</formula>
    </cfRule>
  </conditionalFormatting>
  <conditionalFormatting sqref="AM16">
    <cfRule type="expression" dxfId="3536" priority="40137" stopIfTrue="1">
      <formula>NOT(ISBLANK($AM$16))</formula>
    </cfRule>
  </conditionalFormatting>
  <conditionalFormatting sqref="AN16">
    <cfRule type="cellIs" dxfId="3535" priority="40138" stopIfTrue="1" operator="notEqual">
      <formula>24</formula>
    </cfRule>
  </conditionalFormatting>
  <conditionalFormatting sqref="AO16">
    <cfRule type="cellIs" dxfId="3534" priority="40139" stopIfTrue="1" operator="notEqual">
      <formula>36</formula>
    </cfRule>
  </conditionalFormatting>
  <conditionalFormatting sqref="AP16">
    <cfRule type="cellIs" dxfId="3533" priority="40140" stopIfTrue="1" operator="notEqual">
      <formula>"yes"</formula>
    </cfRule>
  </conditionalFormatting>
  <conditionalFormatting sqref="AQ16">
    <cfRule type="cellIs" dxfId="3532" priority="40141" stopIfTrue="1" operator="notEqual">
      <formula>"recycle"</formula>
    </cfRule>
  </conditionalFormatting>
  <conditionalFormatting sqref="AR16">
    <cfRule type="cellIs" dxfId="3531" priority="40142" stopIfTrue="1" operator="notEqual">
      <formula>"holding tank"</formula>
    </cfRule>
  </conditionalFormatting>
  <conditionalFormatting sqref="AS16">
    <cfRule type="cellIs" dxfId="3530" priority="40143" stopIfTrue="1" operator="notEqual">
      <formula>"none"</formula>
    </cfRule>
  </conditionalFormatting>
  <conditionalFormatting sqref="AT16">
    <cfRule type="cellIs" dxfId="3529" priority="40144" stopIfTrue="1" operator="notEqual">
      <formula>"non-hazardous"</formula>
    </cfRule>
  </conditionalFormatting>
  <conditionalFormatting sqref="AU16">
    <cfRule type="expression" dxfId="3528" priority="40145" stopIfTrue="1">
      <formula>NOT(ISBLANK($AU$16))</formula>
    </cfRule>
  </conditionalFormatting>
  <conditionalFormatting sqref="AV16">
    <cfRule type="expression" dxfId="3527" priority="40146" stopIfTrue="1">
      <formula>NOT(ISBLANK($AV$16))</formula>
    </cfRule>
  </conditionalFormatting>
  <conditionalFormatting sqref="AW16">
    <cfRule type="expression" dxfId="3526" priority="40147" stopIfTrue="1">
      <formula>NOT(ISBLANK($AW$16))</formula>
    </cfRule>
  </conditionalFormatting>
  <conditionalFormatting sqref="AX16">
    <cfRule type="expression" dxfId="3525" priority="40148" stopIfTrue="1">
      <formula>NOT(ISBLANK($AX$16))</formula>
    </cfRule>
  </conditionalFormatting>
  <conditionalFormatting sqref="AY16">
    <cfRule type="expression" dxfId="3524" priority="40149" stopIfTrue="1">
      <formula>NOT(ISBLANK($AY$16))</formula>
    </cfRule>
  </conditionalFormatting>
  <conditionalFormatting sqref="AZ16">
    <cfRule type="cellIs" dxfId="3523" priority="40150" stopIfTrue="1" operator="notEqual">
      <formula>"fully automated"</formula>
    </cfRule>
  </conditionalFormatting>
  <conditionalFormatting sqref="BA16">
    <cfRule type="expression" dxfId="3522" priority="40151" stopIfTrue="1">
      <formula>NOT(ISBLANK($BA$16))</formula>
    </cfRule>
  </conditionalFormatting>
  <conditionalFormatting sqref="BB16">
    <cfRule type="expression" dxfId="3521" priority="40152" stopIfTrue="1">
      <formula>NOT(ISBLANK($BB$16))</formula>
    </cfRule>
  </conditionalFormatting>
  <conditionalFormatting sqref="BC16">
    <cfRule type="expression" dxfId="3520" priority="40153" stopIfTrue="1">
      <formula>NOT(ISBLANK($BC$16))</formula>
    </cfRule>
  </conditionalFormatting>
  <conditionalFormatting sqref="A17">
    <cfRule type="cellIs" dxfId="3519" priority="40154" stopIfTrue="1" operator="notEqual">
      <formula>1</formula>
    </cfRule>
  </conditionalFormatting>
  <conditionalFormatting sqref="B17">
    <cfRule type="cellIs" dxfId="3518" priority="40155" stopIfTrue="1" operator="notEqual">
      <formula>2</formula>
    </cfRule>
  </conditionalFormatting>
  <conditionalFormatting sqref="C17">
    <cfRule type="cellIs" dxfId="3517" priority="40156" stopIfTrue="1" operator="notEqual">
      <formula>1</formula>
    </cfRule>
  </conditionalFormatting>
  <conditionalFormatting sqref="D17">
    <cfRule type="cellIs" dxfId="3516" priority="40157" stopIfTrue="1" operator="notEqual">
      <formula>0.03</formula>
    </cfRule>
  </conditionalFormatting>
  <conditionalFormatting sqref="E17">
    <cfRule type="cellIs" dxfId="3515" priority="40158" stopIfTrue="1" operator="notEqual">
      <formula>"MGD"</formula>
    </cfRule>
  </conditionalFormatting>
  <conditionalFormatting sqref="F17">
    <cfRule type="cellIs" dxfId="3514" priority="40159" stopIfTrue="1" operator="notEqual">
      <formula>0.007</formula>
    </cfRule>
  </conditionalFormatting>
  <conditionalFormatting sqref="G17">
    <cfRule type="cellIs" dxfId="3513" priority="40160" stopIfTrue="1" operator="notEqual">
      <formula>"MGD"</formula>
    </cfRule>
  </conditionalFormatting>
  <conditionalFormatting sqref="H17">
    <cfRule type="cellIs" dxfId="3512" priority="40161" stopIfTrue="1" operator="notEqual">
      <formula>"acetic acid"</formula>
    </cfRule>
  </conditionalFormatting>
  <conditionalFormatting sqref="I17">
    <cfRule type="cellIs" dxfId="3511" priority="40162" stopIfTrue="1" operator="notEqual">
      <formula>10</formula>
    </cfRule>
  </conditionalFormatting>
  <conditionalFormatting sqref="J17">
    <cfRule type="cellIs" dxfId="3510" priority="40163" stopIfTrue="1" operator="notEqual">
      <formula>8</formula>
    </cfRule>
  </conditionalFormatting>
  <conditionalFormatting sqref="K17">
    <cfRule type="expression" dxfId="3509" priority="40164" stopIfTrue="1">
      <formula>NOT(ISBLANK($K$17))</formula>
    </cfRule>
  </conditionalFormatting>
  <conditionalFormatting sqref="L17">
    <cfRule type="expression" dxfId="3508" priority="40165" stopIfTrue="1">
      <formula>NOT(ISBLANK($L$17))</formula>
    </cfRule>
  </conditionalFormatting>
  <conditionalFormatting sqref="M17">
    <cfRule type="expression" dxfId="3507" priority="40166" stopIfTrue="1">
      <formula>NOT(ISBLANK($M$17))</formula>
    </cfRule>
  </conditionalFormatting>
  <conditionalFormatting sqref="N17">
    <cfRule type="cellIs" dxfId="3506" priority="40167" stopIfTrue="1" operator="notEqual">
      <formula>"additional phosphorous required"</formula>
    </cfRule>
  </conditionalFormatting>
  <conditionalFormatting sqref="O17">
    <cfRule type="expression" dxfId="3505" priority="40168" stopIfTrue="1">
      <formula>NOT(ISBLANK($O$17))</formula>
    </cfRule>
  </conditionalFormatting>
  <conditionalFormatting sqref="P17">
    <cfRule type="cellIs" dxfId="3504" priority="40169" stopIfTrue="1" operator="notEqual">
      <formula>1</formula>
    </cfRule>
  </conditionalFormatting>
  <conditionalFormatting sqref="Q17">
    <cfRule type="cellIs" dxfId="3503" priority="40170" stopIfTrue="1" operator="notEqual">
      <formula>12</formula>
    </cfRule>
  </conditionalFormatting>
  <conditionalFormatting sqref="R17">
    <cfRule type="expression" dxfId="3502" priority="40171" stopIfTrue="1">
      <formula>NOT(ISBLANK($R$17))</formula>
    </cfRule>
  </conditionalFormatting>
  <conditionalFormatting sqref="S17">
    <cfRule type="expression" dxfId="3501" priority="40172" stopIfTrue="1">
      <formula>NOT(ISBLANK($S$17))</formula>
    </cfRule>
  </conditionalFormatting>
  <conditionalFormatting sqref="T17">
    <cfRule type="expression" dxfId="3500" priority="40173" stopIfTrue="1">
      <formula>NOT(ISBLANK($T$17))</formula>
    </cfRule>
  </conditionalFormatting>
  <conditionalFormatting sqref="U17">
    <cfRule type="expression" dxfId="3499" priority="40174" stopIfTrue="1">
      <formula>NOT(ISBLANK($U$17))</formula>
    </cfRule>
  </conditionalFormatting>
  <conditionalFormatting sqref="V17">
    <cfRule type="expression" dxfId="3498" priority="40175" stopIfTrue="1">
      <formula>NOT(ISBLANK($V$17))</formula>
    </cfRule>
  </conditionalFormatting>
  <conditionalFormatting sqref="W17">
    <cfRule type="cellIs" dxfId="3497" priority="40176" stopIfTrue="1" operator="notEqual">
      <formula>"yes"</formula>
    </cfRule>
  </conditionalFormatting>
  <conditionalFormatting sqref="X17">
    <cfRule type="expression" dxfId="3496" priority="40177" stopIfTrue="1">
      <formula>NOT(ISBLANK($X$17))</formula>
    </cfRule>
  </conditionalFormatting>
  <conditionalFormatting sqref="Y17">
    <cfRule type="expression" dxfId="3495" priority="40178" stopIfTrue="1">
      <formula>NOT(ISBLANK($Y$17))</formula>
    </cfRule>
  </conditionalFormatting>
  <conditionalFormatting sqref="Z17">
    <cfRule type="expression" dxfId="3494" priority="40179" stopIfTrue="1">
      <formula>NOT(ISBLANK($Z$17))</formula>
    </cfRule>
  </conditionalFormatting>
  <conditionalFormatting sqref="AA17">
    <cfRule type="cellIs" dxfId="3493" priority="40180" stopIfTrue="1" operator="notEqual">
      <formula>"aeration"</formula>
    </cfRule>
  </conditionalFormatting>
  <conditionalFormatting sqref="AB17">
    <cfRule type="cellIs" dxfId="3492" priority="40181" stopIfTrue="1" operator="notEqual">
      <formula>"yes"</formula>
    </cfRule>
  </conditionalFormatting>
  <conditionalFormatting sqref="AC17">
    <cfRule type="cellIs" dxfId="3491" priority="40182" stopIfTrue="1" operator="notEqual">
      <formula>"gravity basin"</formula>
    </cfRule>
  </conditionalFormatting>
  <conditionalFormatting sqref="AD17">
    <cfRule type="cellIs" dxfId="3490" priority="40183" stopIfTrue="1" operator="notEqual">
      <formula>"yes"</formula>
    </cfRule>
  </conditionalFormatting>
  <conditionalFormatting sqref="AE17">
    <cfRule type="cellIs" dxfId="3489" priority="40184" stopIfTrue="1" operator="notEqual">
      <formula>"yes"</formula>
    </cfRule>
  </conditionalFormatting>
  <conditionalFormatting sqref="AF17">
    <cfRule type="cellIs" dxfId="3488" priority="40185" stopIfTrue="1" operator="notEqual">
      <formula>3</formula>
    </cfRule>
  </conditionalFormatting>
  <conditionalFormatting sqref="AG17">
    <cfRule type="cellIs" dxfId="3487" priority="40186" stopIfTrue="1" operator="notEqual">
      <formula>3</formula>
    </cfRule>
  </conditionalFormatting>
  <conditionalFormatting sqref="AH17">
    <cfRule type="cellIs" dxfId="3486" priority="40187" stopIfTrue="1" operator="notEqual">
      <formula>3.1</formula>
    </cfRule>
  </conditionalFormatting>
  <conditionalFormatting sqref="AI17">
    <cfRule type="expression" dxfId="3485" priority="40188" stopIfTrue="1">
      <formula>NOT(ISBLANK($AI$17))</formula>
    </cfRule>
  </conditionalFormatting>
  <conditionalFormatting sqref="AJ17">
    <cfRule type="expression" dxfId="3484" priority="40189" stopIfTrue="1">
      <formula>NOT(ISBLANK($AJ$17))</formula>
    </cfRule>
  </conditionalFormatting>
  <conditionalFormatting sqref="AK17">
    <cfRule type="expression" dxfId="3483" priority="40190" stopIfTrue="1">
      <formula>NOT(ISBLANK($AK$17))</formula>
    </cfRule>
  </conditionalFormatting>
  <conditionalFormatting sqref="AL17">
    <cfRule type="expression" dxfId="3482" priority="40191" stopIfTrue="1">
      <formula>NOT(ISBLANK($AL$17))</formula>
    </cfRule>
  </conditionalFormatting>
  <conditionalFormatting sqref="AM17">
    <cfRule type="expression" dxfId="3481" priority="40192" stopIfTrue="1">
      <formula>NOT(ISBLANK($AM$17))</formula>
    </cfRule>
  </conditionalFormatting>
  <conditionalFormatting sqref="AN17">
    <cfRule type="cellIs" dxfId="3480" priority="40193" stopIfTrue="1" operator="notEqual">
      <formula>24</formula>
    </cfRule>
  </conditionalFormatting>
  <conditionalFormatting sqref="AO17">
    <cfRule type="cellIs" dxfId="3479" priority="40194" stopIfTrue="1" operator="notEqual">
      <formula>36</formula>
    </cfRule>
  </conditionalFormatting>
  <conditionalFormatting sqref="AP17">
    <cfRule type="cellIs" dxfId="3478" priority="40195" stopIfTrue="1" operator="notEqual">
      <formula>"yes"</formula>
    </cfRule>
  </conditionalFormatting>
  <conditionalFormatting sqref="AQ17">
    <cfRule type="cellIs" dxfId="3477" priority="40196" stopIfTrue="1" operator="notEqual">
      <formula>"recycle"</formula>
    </cfRule>
  </conditionalFormatting>
  <conditionalFormatting sqref="AR17">
    <cfRule type="cellIs" dxfId="3476" priority="40197" stopIfTrue="1" operator="notEqual">
      <formula>"holding tank"</formula>
    </cfRule>
  </conditionalFormatting>
  <conditionalFormatting sqref="AS17">
    <cfRule type="cellIs" dxfId="3475" priority="40198" stopIfTrue="1" operator="notEqual">
      <formula>"none"</formula>
    </cfRule>
  </conditionalFormatting>
  <conditionalFormatting sqref="AT17">
    <cfRule type="cellIs" dxfId="3474" priority="40199" stopIfTrue="1" operator="notEqual">
      <formula>"non-hazardous"</formula>
    </cfRule>
  </conditionalFormatting>
  <conditionalFormatting sqref="AU17">
    <cfRule type="expression" dxfId="3473" priority="40200" stopIfTrue="1">
      <formula>NOT(ISBLANK($AU$17))</formula>
    </cfRule>
  </conditionalFormatting>
  <conditionalFormatting sqref="AV17">
    <cfRule type="expression" dxfId="3472" priority="40201" stopIfTrue="1">
      <formula>NOT(ISBLANK($AV$17))</formula>
    </cfRule>
  </conditionalFormatting>
  <conditionalFormatting sqref="AW17">
    <cfRule type="expression" dxfId="3471" priority="40202" stopIfTrue="1">
      <formula>NOT(ISBLANK($AW$17))</formula>
    </cfRule>
  </conditionalFormatting>
  <conditionalFormatting sqref="AX17">
    <cfRule type="expression" dxfId="3470" priority="40203" stopIfTrue="1">
      <formula>NOT(ISBLANK($AX$17))</formula>
    </cfRule>
  </conditionalFormatting>
  <conditionalFormatting sqref="AY17">
    <cfRule type="expression" dxfId="3469" priority="40204" stopIfTrue="1">
      <formula>NOT(ISBLANK($AY$17))</formula>
    </cfRule>
  </conditionalFormatting>
  <conditionalFormatting sqref="AZ17">
    <cfRule type="cellIs" dxfId="3468" priority="40205" stopIfTrue="1" operator="notEqual">
      <formula>"fully automated"</formula>
    </cfRule>
  </conditionalFormatting>
  <conditionalFormatting sqref="BA17">
    <cfRule type="expression" dxfId="3467" priority="40206" stopIfTrue="1">
      <formula>NOT(ISBLANK($BA$17))</formula>
    </cfRule>
  </conditionalFormatting>
  <conditionalFormatting sqref="BB17">
    <cfRule type="expression" dxfId="3466" priority="40207" stopIfTrue="1">
      <formula>NOT(ISBLANK($BB$17))</formula>
    </cfRule>
  </conditionalFormatting>
  <conditionalFormatting sqref="BC17">
    <cfRule type="expression" dxfId="3465" priority="40208" stopIfTrue="1">
      <formula>NOT(ISBLANK($BC$17))</formula>
    </cfRule>
  </conditionalFormatting>
  <conditionalFormatting sqref="A18">
    <cfRule type="cellIs" dxfId="3464" priority="40209" stopIfTrue="1" operator="notEqual">
      <formula>1</formula>
    </cfRule>
  </conditionalFormatting>
  <conditionalFormatting sqref="B18">
    <cfRule type="cellIs" dxfId="3463" priority="40210" stopIfTrue="1" operator="notEqual">
      <formula>2</formula>
    </cfRule>
  </conditionalFormatting>
  <conditionalFormatting sqref="C18">
    <cfRule type="cellIs" dxfId="3462" priority="40211" stopIfTrue="1" operator="notEqual">
      <formula>2</formula>
    </cfRule>
  </conditionalFormatting>
  <conditionalFormatting sqref="D18">
    <cfRule type="cellIs" dxfId="3461" priority="40212" stopIfTrue="1" operator="notEqual">
      <formula>0.124</formula>
    </cfRule>
  </conditionalFormatting>
  <conditionalFormatting sqref="E18">
    <cfRule type="cellIs" dxfId="3460" priority="40213" stopIfTrue="1" operator="notEqual">
      <formula>"MGD"</formula>
    </cfRule>
  </conditionalFormatting>
  <conditionalFormatting sqref="F18">
    <cfRule type="cellIs" dxfId="3459" priority="40214" stopIfTrue="1" operator="notEqual">
      <formula>0.035</formula>
    </cfRule>
  </conditionalFormatting>
  <conditionalFormatting sqref="G18">
    <cfRule type="cellIs" dxfId="3458" priority="40215" stopIfTrue="1" operator="notEqual">
      <formula>"MGD"</formula>
    </cfRule>
  </conditionalFormatting>
  <conditionalFormatting sqref="H18">
    <cfRule type="cellIs" dxfId="3457" priority="40216" stopIfTrue="1" operator="notEqual">
      <formula>"acetic acid"</formula>
    </cfRule>
  </conditionalFormatting>
  <conditionalFormatting sqref="I18">
    <cfRule type="cellIs" dxfId="3456" priority="40217" stopIfTrue="1" operator="notEqual">
      <formula>10</formula>
    </cfRule>
  </conditionalFormatting>
  <conditionalFormatting sqref="J18">
    <cfRule type="cellIs" dxfId="3455" priority="40218" stopIfTrue="1" operator="notEqual">
      <formula>8</formula>
    </cfRule>
  </conditionalFormatting>
  <conditionalFormatting sqref="K18">
    <cfRule type="expression" dxfId="3454" priority="40219" stopIfTrue="1">
      <formula>NOT(ISBLANK($K$18))</formula>
    </cfRule>
  </conditionalFormatting>
  <conditionalFormatting sqref="L18">
    <cfRule type="expression" dxfId="3453" priority="40220" stopIfTrue="1">
      <formula>NOT(ISBLANK($L$18))</formula>
    </cfRule>
  </conditionalFormatting>
  <conditionalFormatting sqref="M18">
    <cfRule type="expression" dxfId="3452" priority="40221" stopIfTrue="1">
      <formula>NOT(ISBLANK($M$18))</formula>
    </cfRule>
  </conditionalFormatting>
  <conditionalFormatting sqref="N18">
    <cfRule type="cellIs" dxfId="3451" priority="40222" stopIfTrue="1" operator="notEqual">
      <formula>"additional phosphorous required"</formula>
    </cfRule>
  </conditionalFormatting>
  <conditionalFormatting sqref="O18">
    <cfRule type="expression" dxfId="3450" priority="40223" stopIfTrue="1">
      <formula>NOT(ISBLANK($O$18))</formula>
    </cfRule>
  </conditionalFormatting>
  <conditionalFormatting sqref="P18">
    <cfRule type="cellIs" dxfId="3449" priority="40224" stopIfTrue="1" operator="notEqual">
      <formula>1</formula>
    </cfRule>
  </conditionalFormatting>
  <conditionalFormatting sqref="Q18">
    <cfRule type="cellIs" dxfId="3448" priority="40225" stopIfTrue="1" operator="notEqual">
      <formula>12</formula>
    </cfRule>
  </conditionalFormatting>
  <conditionalFormatting sqref="R18">
    <cfRule type="expression" dxfId="3447" priority="40226" stopIfTrue="1">
      <formula>NOT(ISBLANK($R$18))</formula>
    </cfRule>
  </conditionalFormatting>
  <conditionalFormatting sqref="S18">
    <cfRule type="expression" dxfId="3446" priority="40227" stopIfTrue="1">
      <formula>NOT(ISBLANK($S$18))</formula>
    </cfRule>
  </conditionalFormatting>
  <conditionalFormatting sqref="T18">
    <cfRule type="expression" dxfId="3445" priority="40228" stopIfTrue="1">
      <formula>NOT(ISBLANK($T$18))</formula>
    </cfRule>
  </conditionalFormatting>
  <conditionalFormatting sqref="U18">
    <cfRule type="expression" dxfId="3444" priority="40229" stopIfTrue="1">
      <formula>NOT(ISBLANK($U$18))</formula>
    </cfRule>
  </conditionalFormatting>
  <conditionalFormatting sqref="V18">
    <cfRule type="expression" dxfId="3443" priority="40230" stopIfTrue="1">
      <formula>NOT(ISBLANK($V$18))</formula>
    </cfRule>
  </conditionalFormatting>
  <conditionalFormatting sqref="W18">
    <cfRule type="cellIs" dxfId="3442" priority="40231" stopIfTrue="1" operator="notEqual">
      <formula>"yes"</formula>
    </cfRule>
  </conditionalFormatting>
  <conditionalFormatting sqref="X18">
    <cfRule type="expression" dxfId="3441" priority="40232" stopIfTrue="1">
      <formula>NOT(ISBLANK($X$18))</formula>
    </cfRule>
  </conditionalFormatting>
  <conditionalFormatting sqref="Y18">
    <cfRule type="expression" dxfId="3440" priority="40233" stopIfTrue="1">
      <formula>NOT(ISBLANK($Y$18))</formula>
    </cfRule>
  </conditionalFormatting>
  <conditionalFormatting sqref="Z18">
    <cfRule type="expression" dxfId="3439" priority="40234" stopIfTrue="1">
      <formula>NOT(ISBLANK($Z$18))</formula>
    </cfRule>
  </conditionalFormatting>
  <conditionalFormatting sqref="AA18">
    <cfRule type="cellIs" dxfId="3438" priority="40235" stopIfTrue="1" operator="notEqual">
      <formula>"aeration"</formula>
    </cfRule>
  </conditionalFormatting>
  <conditionalFormatting sqref="AB18">
    <cfRule type="cellIs" dxfId="3437" priority="40236" stopIfTrue="1" operator="notEqual">
      <formula>"yes"</formula>
    </cfRule>
  </conditionalFormatting>
  <conditionalFormatting sqref="AC18">
    <cfRule type="cellIs" dxfId="3436" priority="40237" stopIfTrue="1" operator="notEqual">
      <formula>"gravity basin"</formula>
    </cfRule>
  </conditionalFormatting>
  <conditionalFormatting sqref="AD18">
    <cfRule type="cellIs" dxfId="3435" priority="40238" stopIfTrue="1" operator="notEqual">
      <formula>"yes"</formula>
    </cfRule>
  </conditionalFormatting>
  <conditionalFormatting sqref="AE18">
    <cfRule type="cellIs" dxfId="3434" priority="40239" stopIfTrue="1" operator="notEqual">
      <formula>"yes"</formula>
    </cfRule>
  </conditionalFormatting>
  <conditionalFormatting sqref="AF18">
    <cfRule type="cellIs" dxfId="3433" priority="40240" stopIfTrue="1" operator="notEqual">
      <formula>3.5</formula>
    </cfRule>
  </conditionalFormatting>
  <conditionalFormatting sqref="AG18">
    <cfRule type="cellIs" dxfId="3432" priority="40241" stopIfTrue="1" operator="notEqual">
      <formula>3.5</formula>
    </cfRule>
  </conditionalFormatting>
  <conditionalFormatting sqref="AH18">
    <cfRule type="cellIs" dxfId="3431" priority="40242" stopIfTrue="1" operator="notEqual">
      <formula>4.7</formula>
    </cfRule>
  </conditionalFormatting>
  <conditionalFormatting sqref="AI18">
    <cfRule type="expression" dxfId="3430" priority="40243" stopIfTrue="1">
      <formula>NOT(ISBLANK($AI$18))</formula>
    </cfRule>
  </conditionalFormatting>
  <conditionalFormatting sqref="AJ18">
    <cfRule type="expression" dxfId="3429" priority="40244" stopIfTrue="1">
      <formula>NOT(ISBLANK($AJ$18))</formula>
    </cfRule>
  </conditionalFormatting>
  <conditionalFormatting sqref="AK18">
    <cfRule type="expression" dxfId="3428" priority="40245" stopIfTrue="1">
      <formula>NOT(ISBLANK($AK$18))</formula>
    </cfRule>
  </conditionalFormatting>
  <conditionalFormatting sqref="AL18">
    <cfRule type="expression" dxfId="3427" priority="40246" stopIfTrue="1">
      <formula>NOT(ISBLANK($AL$18))</formula>
    </cfRule>
  </conditionalFormatting>
  <conditionalFormatting sqref="AM18">
    <cfRule type="expression" dxfId="3426" priority="40247" stopIfTrue="1">
      <formula>NOT(ISBLANK($AM$18))</formula>
    </cfRule>
  </conditionalFormatting>
  <conditionalFormatting sqref="AN18">
    <cfRule type="cellIs" dxfId="3425" priority="40248" stopIfTrue="1" operator="notEqual">
      <formula>24</formula>
    </cfRule>
  </conditionalFormatting>
  <conditionalFormatting sqref="AO18">
    <cfRule type="cellIs" dxfId="3424" priority="40249" stopIfTrue="1" operator="notEqual">
      <formula>36</formula>
    </cfRule>
  </conditionalFormatting>
  <conditionalFormatting sqref="AP18">
    <cfRule type="cellIs" dxfId="3423" priority="40250" stopIfTrue="1" operator="notEqual">
      <formula>"yes"</formula>
    </cfRule>
  </conditionalFormatting>
  <conditionalFormatting sqref="AQ18">
    <cfRule type="cellIs" dxfId="3422" priority="40251" stopIfTrue="1" operator="notEqual">
      <formula>"recycle"</formula>
    </cfRule>
  </conditionalFormatting>
  <conditionalFormatting sqref="AR18">
    <cfRule type="cellIs" dxfId="3421" priority="40252" stopIfTrue="1" operator="notEqual">
      <formula>"holding tank"</formula>
    </cfRule>
  </conditionalFormatting>
  <conditionalFormatting sqref="AS18">
    <cfRule type="cellIs" dxfId="3420" priority="40253" stopIfTrue="1" operator="notEqual">
      <formula>"none"</formula>
    </cfRule>
  </conditionalFormatting>
  <conditionalFormatting sqref="AT18">
    <cfRule type="cellIs" dxfId="3419" priority="40254" stopIfTrue="1" operator="notEqual">
      <formula>"non-hazardous"</formula>
    </cfRule>
  </conditionalFormatting>
  <conditionalFormatting sqref="AU18">
    <cfRule type="expression" dxfId="3418" priority="40255" stopIfTrue="1">
      <formula>NOT(ISBLANK($AU$18))</formula>
    </cfRule>
  </conditionalFormatting>
  <conditionalFormatting sqref="AV18">
    <cfRule type="expression" dxfId="3417" priority="40256" stopIfTrue="1">
      <formula>NOT(ISBLANK($AV$18))</formula>
    </cfRule>
  </conditionalFormatting>
  <conditionalFormatting sqref="AW18">
    <cfRule type="expression" dxfId="3416" priority="40257" stopIfTrue="1">
      <formula>NOT(ISBLANK($AW$18))</formula>
    </cfRule>
  </conditionalFormatting>
  <conditionalFormatting sqref="AX18">
    <cfRule type="expression" dxfId="3415" priority="40258" stopIfTrue="1">
      <formula>NOT(ISBLANK($AX$18))</formula>
    </cfRule>
  </conditionalFormatting>
  <conditionalFormatting sqref="AY18">
    <cfRule type="expression" dxfId="3414" priority="40259" stopIfTrue="1">
      <formula>NOT(ISBLANK($AY$18))</formula>
    </cfRule>
  </conditionalFormatting>
  <conditionalFormatting sqref="AZ18">
    <cfRule type="cellIs" dxfId="3413" priority="40260" stopIfTrue="1" operator="notEqual">
      <formula>"fully automated"</formula>
    </cfRule>
  </conditionalFormatting>
  <conditionalFormatting sqref="BA18">
    <cfRule type="expression" dxfId="3412" priority="40261" stopIfTrue="1">
      <formula>NOT(ISBLANK($BA$18))</formula>
    </cfRule>
  </conditionalFormatting>
  <conditionalFormatting sqref="BB18">
    <cfRule type="expression" dxfId="3411" priority="40262" stopIfTrue="1">
      <formula>NOT(ISBLANK($BB$18))</formula>
    </cfRule>
  </conditionalFormatting>
  <conditionalFormatting sqref="BC18">
    <cfRule type="expression" dxfId="3410" priority="40263" stopIfTrue="1">
      <formula>NOT(ISBLANK($BC$18))</formula>
    </cfRule>
  </conditionalFormatting>
  <conditionalFormatting sqref="A19">
    <cfRule type="cellIs" dxfId="3409" priority="40264" stopIfTrue="1" operator="notEqual">
      <formula>1</formula>
    </cfRule>
  </conditionalFormatting>
  <conditionalFormatting sqref="B19">
    <cfRule type="cellIs" dxfId="3408" priority="40265" stopIfTrue="1" operator="notEqual">
      <formula>2</formula>
    </cfRule>
  </conditionalFormatting>
  <conditionalFormatting sqref="C19">
    <cfRule type="cellIs" dxfId="3407" priority="40266" stopIfTrue="1" operator="notEqual">
      <formula>3</formula>
    </cfRule>
  </conditionalFormatting>
  <conditionalFormatting sqref="D19">
    <cfRule type="cellIs" dxfId="3406" priority="40267" stopIfTrue="1" operator="notEqual">
      <formula>0.305</formula>
    </cfRule>
  </conditionalFormatting>
  <conditionalFormatting sqref="E19">
    <cfRule type="cellIs" dxfId="3405" priority="40268" stopIfTrue="1" operator="notEqual">
      <formula>"MGD"</formula>
    </cfRule>
  </conditionalFormatting>
  <conditionalFormatting sqref="F19">
    <cfRule type="cellIs" dxfId="3404" priority="40269" stopIfTrue="1" operator="notEqual">
      <formula>0.094</formula>
    </cfRule>
  </conditionalFormatting>
  <conditionalFormatting sqref="G19">
    <cfRule type="cellIs" dxfId="3403" priority="40270" stopIfTrue="1" operator="notEqual">
      <formula>"MGD"</formula>
    </cfRule>
  </conditionalFormatting>
  <conditionalFormatting sqref="H19">
    <cfRule type="cellIs" dxfId="3402" priority="40271" stopIfTrue="1" operator="notEqual">
      <formula>"acetic acid"</formula>
    </cfRule>
  </conditionalFormatting>
  <conditionalFormatting sqref="I19">
    <cfRule type="cellIs" dxfId="3401" priority="40272" stopIfTrue="1" operator="notEqual">
      <formula>10</formula>
    </cfRule>
  </conditionalFormatting>
  <conditionalFormatting sqref="J19">
    <cfRule type="cellIs" dxfId="3400" priority="40273" stopIfTrue="1" operator="notEqual">
      <formula>8</formula>
    </cfRule>
  </conditionalFormatting>
  <conditionalFormatting sqref="K19">
    <cfRule type="expression" dxfId="3399" priority="40274" stopIfTrue="1">
      <formula>NOT(ISBLANK($K$19))</formula>
    </cfRule>
  </conditionalFormatting>
  <conditionalFormatting sqref="L19">
    <cfRule type="expression" dxfId="3398" priority="40275" stopIfTrue="1">
      <formula>NOT(ISBLANK($L$19))</formula>
    </cfRule>
  </conditionalFormatting>
  <conditionalFormatting sqref="M19">
    <cfRule type="expression" dxfId="3397" priority="40276" stopIfTrue="1">
      <formula>NOT(ISBLANK($M$19))</formula>
    </cfRule>
  </conditionalFormatting>
  <conditionalFormatting sqref="N19">
    <cfRule type="cellIs" dxfId="3396" priority="40277" stopIfTrue="1" operator="notEqual">
      <formula>"additional phosphorous required"</formula>
    </cfRule>
  </conditionalFormatting>
  <conditionalFormatting sqref="O19">
    <cfRule type="expression" dxfId="3395" priority="40278" stopIfTrue="1">
      <formula>NOT(ISBLANK($O$19))</formula>
    </cfRule>
  </conditionalFormatting>
  <conditionalFormatting sqref="P19">
    <cfRule type="cellIs" dxfId="3394" priority="40279" stopIfTrue="1" operator="notEqual">
      <formula>1</formula>
    </cfRule>
  </conditionalFormatting>
  <conditionalFormatting sqref="Q19">
    <cfRule type="cellIs" dxfId="3393" priority="40280" stopIfTrue="1" operator="notEqual">
      <formula>12</formula>
    </cfRule>
  </conditionalFormatting>
  <conditionalFormatting sqref="R19">
    <cfRule type="expression" dxfId="3392" priority="40281" stopIfTrue="1">
      <formula>NOT(ISBLANK($R$19))</formula>
    </cfRule>
  </conditionalFormatting>
  <conditionalFormatting sqref="S19">
    <cfRule type="expression" dxfId="3391" priority="40282" stopIfTrue="1">
      <formula>NOT(ISBLANK($S$19))</formula>
    </cfRule>
  </conditionalFormatting>
  <conditionalFormatting sqref="T19">
    <cfRule type="expression" dxfId="3390" priority="40283" stopIfTrue="1">
      <formula>NOT(ISBLANK($T$19))</formula>
    </cfRule>
  </conditionalFormatting>
  <conditionalFormatting sqref="U19">
    <cfRule type="expression" dxfId="3389" priority="40284" stopIfTrue="1">
      <formula>NOT(ISBLANK($U$19))</formula>
    </cfRule>
  </conditionalFormatting>
  <conditionalFormatting sqref="V19">
    <cfRule type="expression" dxfId="3388" priority="40285" stopIfTrue="1">
      <formula>NOT(ISBLANK($V$19))</formula>
    </cfRule>
  </conditionalFormatting>
  <conditionalFormatting sqref="W19">
    <cfRule type="cellIs" dxfId="3387" priority="40286" stopIfTrue="1" operator="notEqual">
      <formula>"yes"</formula>
    </cfRule>
  </conditionalFormatting>
  <conditionalFormatting sqref="X19">
    <cfRule type="expression" dxfId="3386" priority="40287" stopIfTrue="1">
      <formula>NOT(ISBLANK($X$19))</formula>
    </cfRule>
  </conditionalFormatting>
  <conditionalFormatting sqref="Y19">
    <cfRule type="expression" dxfId="3385" priority="40288" stopIfTrue="1">
      <formula>NOT(ISBLANK($Y$19))</formula>
    </cfRule>
  </conditionalFormatting>
  <conditionalFormatting sqref="Z19">
    <cfRule type="expression" dxfId="3384" priority="40289" stopIfTrue="1">
      <formula>NOT(ISBLANK($Z$19))</formula>
    </cfRule>
  </conditionalFormatting>
  <conditionalFormatting sqref="AA19">
    <cfRule type="cellIs" dxfId="3383" priority="40290" stopIfTrue="1" operator="notEqual">
      <formula>"aeration"</formula>
    </cfRule>
  </conditionalFormatting>
  <conditionalFormatting sqref="AB19">
    <cfRule type="cellIs" dxfId="3382" priority="40291" stopIfTrue="1" operator="notEqual">
      <formula>"yes"</formula>
    </cfRule>
  </conditionalFormatting>
  <conditionalFormatting sqref="AC19">
    <cfRule type="cellIs" dxfId="3381" priority="40292" stopIfTrue="1" operator="notEqual">
      <formula>"gravity basin"</formula>
    </cfRule>
  </conditionalFormatting>
  <conditionalFormatting sqref="AD19">
    <cfRule type="cellIs" dxfId="3380" priority="40293" stopIfTrue="1" operator="notEqual">
      <formula>"yes"</formula>
    </cfRule>
  </conditionalFormatting>
  <conditionalFormatting sqref="AE19">
    <cfRule type="cellIs" dxfId="3379" priority="40294" stopIfTrue="1" operator="notEqual">
      <formula>"yes"</formula>
    </cfRule>
  </conditionalFormatting>
  <conditionalFormatting sqref="AF19">
    <cfRule type="cellIs" dxfId="3378" priority="40295" stopIfTrue="1" operator="notEqual">
      <formula>5.5</formula>
    </cfRule>
  </conditionalFormatting>
  <conditionalFormatting sqref="AG19">
    <cfRule type="cellIs" dxfId="3377" priority="40296" stopIfTrue="1" operator="notEqual">
      <formula>5.5</formula>
    </cfRule>
  </conditionalFormatting>
  <conditionalFormatting sqref="AH19">
    <cfRule type="cellIs" dxfId="3376" priority="40297" stopIfTrue="1" operator="notEqual">
      <formula>4.7</formula>
    </cfRule>
  </conditionalFormatting>
  <conditionalFormatting sqref="AI19">
    <cfRule type="expression" dxfId="3375" priority="40298" stopIfTrue="1">
      <formula>NOT(ISBLANK($AI$19))</formula>
    </cfRule>
  </conditionalFormatting>
  <conditionalFormatting sqref="AJ19">
    <cfRule type="expression" dxfId="3374" priority="40299" stopIfTrue="1">
      <formula>NOT(ISBLANK($AJ$19))</formula>
    </cfRule>
  </conditionalFormatting>
  <conditionalFormatting sqref="AK19">
    <cfRule type="expression" dxfId="3373" priority="40300" stopIfTrue="1">
      <formula>NOT(ISBLANK($AK$19))</formula>
    </cfRule>
  </conditionalFormatting>
  <conditionalFormatting sqref="AL19">
    <cfRule type="expression" dxfId="3372" priority="40301" stopIfTrue="1">
      <formula>NOT(ISBLANK($AL$19))</formula>
    </cfRule>
  </conditionalFormatting>
  <conditionalFormatting sqref="AM19">
    <cfRule type="expression" dxfId="3371" priority="40302" stopIfTrue="1">
      <formula>NOT(ISBLANK($AM$19))</formula>
    </cfRule>
  </conditionalFormatting>
  <conditionalFormatting sqref="AN19">
    <cfRule type="cellIs" dxfId="3370" priority="40303" stopIfTrue="1" operator="notEqual">
      <formula>24</formula>
    </cfRule>
  </conditionalFormatting>
  <conditionalFormatting sqref="AO19">
    <cfRule type="cellIs" dxfId="3369" priority="40304" stopIfTrue="1" operator="notEqual">
      <formula>36</formula>
    </cfRule>
  </conditionalFormatting>
  <conditionalFormatting sqref="AP19">
    <cfRule type="cellIs" dxfId="3368" priority="40305" stopIfTrue="1" operator="notEqual">
      <formula>"yes"</formula>
    </cfRule>
  </conditionalFormatting>
  <conditionalFormatting sqref="AQ19">
    <cfRule type="cellIs" dxfId="3367" priority="40306" stopIfTrue="1" operator="notEqual">
      <formula>"recycle"</formula>
    </cfRule>
  </conditionalFormatting>
  <conditionalFormatting sqref="AR19">
    <cfRule type="cellIs" dxfId="3366" priority="40307" stopIfTrue="1" operator="notEqual">
      <formula>"holding tank"</formula>
    </cfRule>
  </conditionalFormatting>
  <conditionalFormatting sqref="AS19">
    <cfRule type="cellIs" dxfId="3365" priority="40308" stopIfTrue="1" operator="notEqual">
      <formula>"none"</formula>
    </cfRule>
  </conditionalFormatting>
  <conditionalFormatting sqref="AT19">
    <cfRule type="cellIs" dxfId="3364" priority="40309" stopIfTrue="1" operator="notEqual">
      <formula>"non-hazardous"</formula>
    </cfRule>
  </conditionalFormatting>
  <conditionalFormatting sqref="AU19">
    <cfRule type="expression" dxfId="3363" priority="40310" stopIfTrue="1">
      <formula>NOT(ISBLANK($AU$19))</formula>
    </cfRule>
  </conditionalFormatting>
  <conditionalFormatting sqref="AV19">
    <cfRule type="expression" dxfId="3362" priority="40311" stopIfTrue="1">
      <formula>NOT(ISBLANK($AV$19))</formula>
    </cfRule>
  </conditionalFormatting>
  <conditionalFormatting sqref="AW19">
    <cfRule type="expression" dxfId="3361" priority="40312" stopIfTrue="1">
      <formula>NOT(ISBLANK($AW$19))</formula>
    </cfRule>
  </conditionalFormatting>
  <conditionalFormatting sqref="AX19">
    <cfRule type="expression" dxfId="3360" priority="40313" stopIfTrue="1">
      <formula>NOT(ISBLANK($AX$19))</formula>
    </cfRule>
  </conditionalFormatting>
  <conditionalFormatting sqref="AY19">
    <cfRule type="expression" dxfId="3359" priority="40314" stopIfTrue="1">
      <formula>NOT(ISBLANK($AY$19))</formula>
    </cfRule>
  </conditionalFormatting>
  <conditionalFormatting sqref="AZ19">
    <cfRule type="cellIs" dxfId="3358" priority="40315" stopIfTrue="1" operator="notEqual">
      <formula>"fully automated"</formula>
    </cfRule>
  </conditionalFormatting>
  <conditionalFormatting sqref="BA19">
    <cfRule type="expression" dxfId="3357" priority="40316" stopIfTrue="1">
      <formula>NOT(ISBLANK($BA$19))</formula>
    </cfRule>
  </conditionalFormatting>
  <conditionalFormatting sqref="BB19">
    <cfRule type="expression" dxfId="3356" priority="40317" stopIfTrue="1">
      <formula>NOT(ISBLANK($BB$19))</formula>
    </cfRule>
  </conditionalFormatting>
  <conditionalFormatting sqref="BC19">
    <cfRule type="expression" dxfId="3355" priority="40318" stopIfTrue="1">
      <formula>NOT(ISBLANK($BC$19))</formula>
    </cfRule>
  </conditionalFormatting>
  <conditionalFormatting sqref="A20">
    <cfRule type="cellIs" dxfId="3354" priority="40319" stopIfTrue="1" operator="notEqual">
      <formula>1</formula>
    </cfRule>
  </conditionalFormatting>
  <conditionalFormatting sqref="B20">
    <cfRule type="cellIs" dxfId="3353" priority="40320" stopIfTrue="1" operator="notEqual">
      <formula>2</formula>
    </cfRule>
  </conditionalFormatting>
  <conditionalFormatting sqref="C20">
    <cfRule type="cellIs" dxfId="3352" priority="40321" stopIfTrue="1" operator="notEqual">
      <formula>4</formula>
    </cfRule>
  </conditionalFormatting>
  <conditionalFormatting sqref="D20">
    <cfRule type="cellIs" dxfId="3351" priority="40322" stopIfTrue="1" operator="notEqual">
      <formula>0.74</formula>
    </cfRule>
  </conditionalFormatting>
  <conditionalFormatting sqref="E20">
    <cfRule type="cellIs" dxfId="3350" priority="40323" stopIfTrue="1" operator="notEqual">
      <formula>"MGD"</formula>
    </cfRule>
  </conditionalFormatting>
  <conditionalFormatting sqref="F20">
    <cfRule type="cellIs" dxfId="3349" priority="40324" stopIfTrue="1" operator="notEqual">
      <formula>0.251</formula>
    </cfRule>
  </conditionalFormatting>
  <conditionalFormatting sqref="G20">
    <cfRule type="cellIs" dxfId="3348" priority="40325" stopIfTrue="1" operator="notEqual">
      <formula>"MGD"</formula>
    </cfRule>
  </conditionalFormatting>
  <conditionalFormatting sqref="H20">
    <cfRule type="cellIs" dxfId="3347" priority="40326" stopIfTrue="1" operator="notEqual">
      <formula>"acetic acid"</formula>
    </cfRule>
  </conditionalFormatting>
  <conditionalFormatting sqref="I20">
    <cfRule type="cellIs" dxfId="3346" priority="40327" stopIfTrue="1" operator="notEqual">
      <formula>10</formula>
    </cfRule>
  </conditionalFormatting>
  <conditionalFormatting sqref="J20">
    <cfRule type="cellIs" dxfId="3345" priority="40328" stopIfTrue="1" operator="notEqual">
      <formula>8</formula>
    </cfRule>
  </conditionalFormatting>
  <conditionalFormatting sqref="K20">
    <cfRule type="expression" dxfId="3344" priority="40329" stopIfTrue="1">
      <formula>NOT(ISBLANK($K$20))</formula>
    </cfRule>
  </conditionalFormatting>
  <conditionalFormatting sqref="L20">
    <cfRule type="expression" dxfId="3343" priority="40330" stopIfTrue="1">
      <formula>NOT(ISBLANK($L$20))</formula>
    </cfRule>
  </conditionalFormatting>
  <conditionalFormatting sqref="M20">
    <cfRule type="expression" dxfId="3342" priority="40331" stopIfTrue="1">
      <formula>NOT(ISBLANK($M$20))</formula>
    </cfRule>
  </conditionalFormatting>
  <conditionalFormatting sqref="N20">
    <cfRule type="cellIs" dxfId="3341" priority="40332" stopIfTrue="1" operator="notEqual">
      <formula>"additional phosphorous required"</formula>
    </cfRule>
  </conditionalFormatting>
  <conditionalFormatting sqref="O20">
    <cfRule type="expression" dxfId="3340" priority="40333" stopIfTrue="1">
      <formula>NOT(ISBLANK($O$20))</formula>
    </cfRule>
  </conditionalFormatting>
  <conditionalFormatting sqref="P20">
    <cfRule type="cellIs" dxfId="3339" priority="40334" stopIfTrue="1" operator="notEqual">
      <formula>1</formula>
    </cfRule>
  </conditionalFormatting>
  <conditionalFormatting sqref="Q20">
    <cfRule type="cellIs" dxfId="3338" priority="40335" stopIfTrue="1" operator="notEqual">
      <formula>12</formula>
    </cfRule>
  </conditionalFormatting>
  <conditionalFormatting sqref="R20">
    <cfRule type="expression" dxfId="3337" priority="40336" stopIfTrue="1">
      <formula>NOT(ISBLANK($R$20))</formula>
    </cfRule>
  </conditionalFormatting>
  <conditionalFormatting sqref="S20">
    <cfRule type="expression" dxfId="3336" priority="40337" stopIfTrue="1">
      <formula>NOT(ISBLANK($S$20))</formula>
    </cfRule>
  </conditionalFormatting>
  <conditionalFormatting sqref="T20">
    <cfRule type="expression" dxfId="3335" priority="40338" stopIfTrue="1">
      <formula>NOT(ISBLANK($T$20))</formula>
    </cfRule>
  </conditionalFormatting>
  <conditionalFormatting sqref="U20">
    <cfRule type="expression" dxfId="3334" priority="40339" stopIfTrue="1">
      <formula>NOT(ISBLANK($U$20))</formula>
    </cfRule>
  </conditionalFormatting>
  <conditionalFormatting sqref="V20">
    <cfRule type="expression" dxfId="3333" priority="40340" stopIfTrue="1">
      <formula>NOT(ISBLANK($V$20))</formula>
    </cfRule>
  </conditionalFormatting>
  <conditionalFormatting sqref="W20">
    <cfRule type="cellIs" dxfId="3332" priority="40341" stopIfTrue="1" operator="notEqual">
      <formula>"yes"</formula>
    </cfRule>
  </conditionalFormatting>
  <conditionalFormatting sqref="X20">
    <cfRule type="expression" dxfId="3331" priority="40342" stopIfTrue="1">
      <formula>NOT(ISBLANK($X$20))</formula>
    </cfRule>
  </conditionalFormatting>
  <conditionalFormatting sqref="Y20">
    <cfRule type="expression" dxfId="3330" priority="40343" stopIfTrue="1">
      <formula>NOT(ISBLANK($Y$20))</formula>
    </cfRule>
  </conditionalFormatting>
  <conditionalFormatting sqref="Z20">
    <cfRule type="expression" dxfId="3329" priority="40344" stopIfTrue="1">
      <formula>NOT(ISBLANK($Z$20))</formula>
    </cfRule>
  </conditionalFormatting>
  <conditionalFormatting sqref="AA20">
    <cfRule type="cellIs" dxfId="3328" priority="40345" stopIfTrue="1" operator="notEqual">
      <formula>"aeration"</formula>
    </cfRule>
  </conditionalFormatting>
  <conditionalFormatting sqref="AB20">
    <cfRule type="cellIs" dxfId="3327" priority="40346" stopIfTrue="1" operator="notEqual">
      <formula>"yes"</formula>
    </cfRule>
  </conditionalFormatting>
  <conditionalFormatting sqref="AC20">
    <cfRule type="cellIs" dxfId="3326" priority="40347" stopIfTrue="1" operator="notEqual">
      <formula>"gravity basin"</formula>
    </cfRule>
  </conditionalFormatting>
  <conditionalFormatting sqref="AD20">
    <cfRule type="cellIs" dxfId="3325" priority="40348" stopIfTrue="1" operator="notEqual">
      <formula>"yes"</formula>
    </cfRule>
  </conditionalFormatting>
  <conditionalFormatting sqref="AE20">
    <cfRule type="cellIs" dxfId="3324" priority="40349" stopIfTrue="1" operator="notEqual">
      <formula>"yes"</formula>
    </cfRule>
  </conditionalFormatting>
  <conditionalFormatting sqref="AF20">
    <cfRule type="cellIs" dxfId="3323" priority="40350" stopIfTrue="1" operator="notEqual">
      <formula>8.5</formula>
    </cfRule>
  </conditionalFormatting>
  <conditionalFormatting sqref="AG20">
    <cfRule type="cellIs" dxfId="3322" priority="40351" stopIfTrue="1" operator="notEqual">
      <formula>8.5</formula>
    </cfRule>
  </conditionalFormatting>
  <conditionalFormatting sqref="AH20">
    <cfRule type="cellIs" dxfId="3321" priority="40352" stopIfTrue="1" operator="notEqual">
      <formula>4.8</formula>
    </cfRule>
  </conditionalFormatting>
  <conditionalFormatting sqref="AI20">
    <cfRule type="expression" dxfId="3320" priority="40353" stopIfTrue="1">
      <formula>NOT(ISBLANK($AI$20))</formula>
    </cfRule>
  </conditionalFormatting>
  <conditionalFormatting sqref="AJ20">
    <cfRule type="expression" dxfId="3319" priority="40354" stopIfTrue="1">
      <formula>NOT(ISBLANK($AJ$20))</formula>
    </cfRule>
  </conditionalFormatting>
  <conditionalFormatting sqref="AK20">
    <cfRule type="expression" dxfId="3318" priority="40355" stopIfTrue="1">
      <formula>NOT(ISBLANK($AK$20))</formula>
    </cfRule>
  </conditionalFormatting>
  <conditionalFormatting sqref="AL20">
    <cfRule type="expression" dxfId="3317" priority="40356" stopIfTrue="1">
      <formula>NOT(ISBLANK($AL$20))</formula>
    </cfRule>
  </conditionalFormatting>
  <conditionalFormatting sqref="AM20">
    <cfRule type="expression" dxfId="3316" priority="40357" stopIfTrue="1">
      <formula>NOT(ISBLANK($AM$20))</formula>
    </cfRule>
  </conditionalFormatting>
  <conditionalFormatting sqref="AN20">
    <cfRule type="cellIs" dxfId="3315" priority="40358" stopIfTrue="1" operator="notEqual">
      <formula>24</formula>
    </cfRule>
  </conditionalFormatting>
  <conditionalFormatting sqref="AO20">
    <cfRule type="cellIs" dxfId="3314" priority="40359" stopIfTrue="1" operator="notEqual">
      <formula>36</formula>
    </cfRule>
  </conditionalFormatting>
  <conditionalFormatting sqref="AP20">
    <cfRule type="cellIs" dxfId="3313" priority="40360" stopIfTrue="1" operator="notEqual">
      <formula>"yes"</formula>
    </cfRule>
  </conditionalFormatting>
  <conditionalFormatting sqref="AQ20">
    <cfRule type="cellIs" dxfId="3312" priority="40361" stopIfTrue="1" operator="notEqual">
      <formula>"recycle"</formula>
    </cfRule>
  </conditionalFormatting>
  <conditionalFormatting sqref="AR20">
    <cfRule type="cellIs" dxfId="3311" priority="40362" stopIfTrue="1" operator="notEqual">
      <formula>"holding tank"</formula>
    </cfRule>
  </conditionalFormatting>
  <conditionalFormatting sqref="AS20">
    <cfRule type="cellIs" dxfId="3310" priority="40363" stopIfTrue="1" operator="notEqual">
      <formula>"none"</formula>
    </cfRule>
  </conditionalFormatting>
  <conditionalFormatting sqref="AT20">
    <cfRule type="cellIs" dxfId="3309" priority="40364" stopIfTrue="1" operator="notEqual">
      <formula>"non-hazardous"</formula>
    </cfRule>
  </conditionalFormatting>
  <conditionalFormatting sqref="AU20">
    <cfRule type="expression" dxfId="3308" priority="40365" stopIfTrue="1">
      <formula>NOT(ISBLANK($AU$20))</formula>
    </cfRule>
  </conditionalFormatting>
  <conditionalFormatting sqref="AV20">
    <cfRule type="expression" dxfId="3307" priority="40366" stopIfTrue="1">
      <formula>NOT(ISBLANK($AV$20))</formula>
    </cfRule>
  </conditionalFormatting>
  <conditionalFormatting sqref="AW20">
    <cfRule type="expression" dxfId="3306" priority="40367" stopIfTrue="1">
      <formula>NOT(ISBLANK($AW$20))</formula>
    </cfRule>
  </conditionalFormatting>
  <conditionalFormatting sqref="AX20">
    <cfRule type="expression" dxfId="3305" priority="40368" stopIfTrue="1">
      <formula>NOT(ISBLANK($AX$20))</formula>
    </cfRule>
  </conditionalFormatting>
  <conditionalFormatting sqref="AY20">
    <cfRule type="expression" dxfId="3304" priority="40369" stopIfTrue="1">
      <formula>NOT(ISBLANK($AY$20))</formula>
    </cfRule>
  </conditionalFormatting>
  <conditionalFormatting sqref="AZ20">
    <cfRule type="cellIs" dxfId="3303" priority="40370" stopIfTrue="1" operator="notEqual">
      <formula>"fully automated"</formula>
    </cfRule>
  </conditionalFormatting>
  <conditionalFormatting sqref="BA20">
    <cfRule type="expression" dxfId="3302" priority="40371" stopIfTrue="1">
      <formula>NOT(ISBLANK($BA$20))</formula>
    </cfRule>
  </conditionalFormatting>
  <conditionalFormatting sqref="BB20">
    <cfRule type="expression" dxfId="3301" priority="40372" stopIfTrue="1">
      <formula>NOT(ISBLANK($BB$20))</formula>
    </cfRule>
  </conditionalFormatting>
  <conditionalFormatting sqref="BC20">
    <cfRule type="expression" dxfId="3300" priority="40373" stopIfTrue="1">
      <formula>NOT(ISBLANK($BC$20))</formula>
    </cfRule>
  </conditionalFormatting>
  <conditionalFormatting sqref="A21">
    <cfRule type="cellIs" dxfId="3299" priority="40374" stopIfTrue="1" operator="notEqual">
      <formula>1</formula>
    </cfRule>
  </conditionalFormatting>
  <conditionalFormatting sqref="B21">
    <cfRule type="cellIs" dxfId="3298" priority="40375" stopIfTrue="1" operator="notEqual">
      <formula>2</formula>
    </cfRule>
  </conditionalFormatting>
  <conditionalFormatting sqref="C21">
    <cfRule type="cellIs" dxfId="3297" priority="40376" stopIfTrue="1" operator="notEqual">
      <formula>5</formula>
    </cfRule>
  </conditionalFormatting>
  <conditionalFormatting sqref="D21">
    <cfRule type="cellIs" dxfId="3296" priority="40377" stopIfTrue="1" operator="notEqual">
      <formula>2.152</formula>
    </cfRule>
  </conditionalFormatting>
  <conditionalFormatting sqref="E21">
    <cfRule type="cellIs" dxfId="3295" priority="40378" stopIfTrue="1" operator="notEqual">
      <formula>"MGD"</formula>
    </cfRule>
  </conditionalFormatting>
  <conditionalFormatting sqref="F21">
    <cfRule type="cellIs" dxfId="3294" priority="40379" stopIfTrue="1" operator="notEqual">
      <formula>0.819</formula>
    </cfRule>
  </conditionalFormatting>
  <conditionalFormatting sqref="G21">
    <cfRule type="cellIs" dxfId="3293" priority="40380" stopIfTrue="1" operator="notEqual">
      <formula>"MGD"</formula>
    </cfRule>
  </conditionalFormatting>
  <conditionalFormatting sqref="H21">
    <cfRule type="cellIs" dxfId="3292" priority="40381" stopIfTrue="1" operator="notEqual">
      <formula>"acetic acid"</formula>
    </cfRule>
  </conditionalFormatting>
  <conditionalFormatting sqref="I21">
    <cfRule type="cellIs" dxfId="3291" priority="40382" stopIfTrue="1" operator="notEqual">
      <formula>10</formula>
    </cfRule>
  </conditionalFormatting>
  <conditionalFormatting sqref="J21">
    <cfRule type="cellIs" dxfId="3290" priority="40383" stopIfTrue="1" operator="notEqual">
      <formula>8</formula>
    </cfRule>
  </conditionalFormatting>
  <conditionalFormatting sqref="K21">
    <cfRule type="expression" dxfId="3289" priority="40384" stopIfTrue="1">
      <formula>NOT(ISBLANK($K$21))</formula>
    </cfRule>
  </conditionalFormatting>
  <conditionalFormatting sqref="L21">
    <cfRule type="expression" dxfId="3288" priority="40385" stopIfTrue="1">
      <formula>NOT(ISBLANK($L$21))</formula>
    </cfRule>
  </conditionalFormatting>
  <conditionalFormatting sqref="M21">
    <cfRule type="expression" dxfId="3287" priority="40386" stopIfTrue="1">
      <formula>NOT(ISBLANK($M$21))</formula>
    </cfRule>
  </conditionalFormatting>
  <conditionalFormatting sqref="N21">
    <cfRule type="cellIs" dxfId="3286" priority="40387" stopIfTrue="1" operator="notEqual">
      <formula>"additional phosphorous required"</formula>
    </cfRule>
  </conditionalFormatting>
  <conditionalFormatting sqref="O21">
    <cfRule type="expression" dxfId="3285" priority="40388" stopIfTrue="1">
      <formula>NOT(ISBLANK($O$21))</formula>
    </cfRule>
  </conditionalFormatting>
  <conditionalFormatting sqref="P21">
    <cfRule type="cellIs" dxfId="3284" priority="40389" stopIfTrue="1" operator="notEqual">
      <formula>1</formula>
    </cfRule>
  </conditionalFormatting>
  <conditionalFormatting sqref="Q21">
    <cfRule type="cellIs" dxfId="3283" priority="40390" stopIfTrue="1" operator="notEqual">
      <formula>12</formula>
    </cfRule>
  </conditionalFormatting>
  <conditionalFormatting sqref="R21">
    <cfRule type="expression" dxfId="3282" priority="40391" stopIfTrue="1">
      <formula>NOT(ISBLANK($R$21))</formula>
    </cfRule>
  </conditionalFormatting>
  <conditionalFormatting sqref="S21">
    <cfRule type="expression" dxfId="3281" priority="40392" stopIfTrue="1">
      <formula>NOT(ISBLANK($S$21))</formula>
    </cfRule>
  </conditionalFormatting>
  <conditionalFormatting sqref="T21">
    <cfRule type="expression" dxfId="3280" priority="40393" stopIfTrue="1">
      <formula>NOT(ISBLANK($T$21))</formula>
    </cfRule>
  </conditionalFormatting>
  <conditionalFormatting sqref="U21">
    <cfRule type="expression" dxfId="3279" priority="40394" stopIfTrue="1">
      <formula>NOT(ISBLANK($U$21))</formula>
    </cfRule>
  </conditionalFormatting>
  <conditionalFormatting sqref="V21">
    <cfRule type="expression" dxfId="3278" priority="40395" stopIfTrue="1">
      <formula>NOT(ISBLANK($V$21))</formula>
    </cfRule>
  </conditionalFormatting>
  <conditionalFormatting sqref="W21">
    <cfRule type="cellIs" dxfId="3277" priority="40396" stopIfTrue="1" operator="notEqual">
      <formula>"yes"</formula>
    </cfRule>
  </conditionalFormatting>
  <conditionalFormatting sqref="X21">
    <cfRule type="expression" dxfId="3276" priority="40397" stopIfTrue="1">
      <formula>NOT(ISBLANK($X$21))</formula>
    </cfRule>
  </conditionalFormatting>
  <conditionalFormatting sqref="Y21">
    <cfRule type="expression" dxfId="3275" priority="40398" stopIfTrue="1">
      <formula>NOT(ISBLANK($Y$21))</formula>
    </cfRule>
  </conditionalFormatting>
  <conditionalFormatting sqref="Z21">
    <cfRule type="expression" dxfId="3274" priority="40399" stopIfTrue="1">
      <formula>NOT(ISBLANK($Z$21))</formula>
    </cfRule>
  </conditionalFormatting>
  <conditionalFormatting sqref="AA21">
    <cfRule type="cellIs" dxfId="3273" priority="40400" stopIfTrue="1" operator="notEqual">
      <formula>"aeration"</formula>
    </cfRule>
  </conditionalFormatting>
  <conditionalFormatting sqref="AB21">
    <cfRule type="cellIs" dxfId="3272" priority="40401" stopIfTrue="1" operator="notEqual">
      <formula>"yes"</formula>
    </cfRule>
  </conditionalFormatting>
  <conditionalFormatting sqref="AC21">
    <cfRule type="cellIs" dxfId="3271" priority="40402" stopIfTrue="1" operator="notEqual">
      <formula>"gravity basin"</formula>
    </cfRule>
  </conditionalFormatting>
  <conditionalFormatting sqref="AD21">
    <cfRule type="cellIs" dxfId="3270" priority="40403" stopIfTrue="1" operator="notEqual">
      <formula>"yes"</formula>
    </cfRule>
  </conditionalFormatting>
  <conditionalFormatting sqref="AE21">
    <cfRule type="cellIs" dxfId="3269" priority="40404" stopIfTrue="1" operator="notEqual">
      <formula>"yes"</formula>
    </cfRule>
  </conditionalFormatting>
  <conditionalFormatting sqref="AF21">
    <cfRule type="cellIs" dxfId="3268" priority="40405" stopIfTrue="1" operator="notEqual">
      <formula>8.5</formula>
    </cfRule>
  </conditionalFormatting>
  <conditionalFormatting sqref="AG21">
    <cfRule type="cellIs" dxfId="3267" priority="40406" stopIfTrue="1" operator="notEqual">
      <formula>8.5</formula>
    </cfRule>
  </conditionalFormatting>
  <conditionalFormatting sqref="AH21">
    <cfRule type="cellIs" dxfId="3266" priority="40407" stopIfTrue="1" operator="notEqual">
      <formula>7</formula>
    </cfRule>
  </conditionalFormatting>
  <conditionalFormatting sqref="AI21">
    <cfRule type="expression" dxfId="3265" priority="40408" stopIfTrue="1">
      <formula>NOT(ISBLANK($AI$21))</formula>
    </cfRule>
  </conditionalFormatting>
  <conditionalFormatting sqref="AJ21">
    <cfRule type="expression" dxfId="3264" priority="40409" stopIfTrue="1">
      <formula>NOT(ISBLANK($AJ$21))</formula>
    </cfRule>
  </conditionalFormatting>
  <conditionalFormatting sqref="AK21">
    <cfRule type="expression" dxfId="3263" priority="40410" stopIfTrue="1">
      <formula>NOT(ISBLANK($AK$21))</formula>
    </cfRule>
  </conditionalFormatting>
  <conditionalFormatting sqref="AL21">
    <cfRule type="expression" dxfId="3262" priority="40411" stopIfTrue="1">
      <formula>NOT(ISBLANK($AL$21))</formula>
    </cfRule>
  </conditionalFormatting>
  <conditionalFormatting sqref="AM21">
    <cfRule type="expression" dxfId="3261" priority="40412" stopIfTrue="1">
      <formula>NOT(ISBLANK($AM$21))</formula>
    </cfRule>
  </conditionalFormatting>
  <conditionalFormatting sqref="AN21">
    <cfRule type="cellIs" dxfId="3260" priority="40413" stopIfTrue="1" operator="notEqual">
      <formula>24</formula>
    </cfRule>
  </conditionalFormatting>
  <conditionalFormatting sqref="AO21">
    <cfRule type="cellIs" dxfId="3259" priority="40414" stopIfTrue="1" operator="notEqual">
      <formula>36</formula>
    </cfRule>
  </conditionalFormatting>
  <conditionalFormatting sqref="AP21">
    <cfRule type="cellIs" dxfId="3258" priority="40415" stopIfTrue="1" operator="notEqual">
      <formula>"yes"</formula>
    </cfRule>
  </conditionalFormatting>
  <conditionalFormatting sqref="AQ21">
    <cfRule type="cellIs" dxfId="3257" priority="40416" stopIfTrue="1" operator="notEqual">
      <formula>"recycle"</formula>
    </cfRule>
  </conditionalFormatting>
  <conditionalFormatting sqref="AR21">
    <cfRule type="cellIs" dxfId="3256" priority="40417" stopIfTrue="1" operator="notEqual">
      <formula>"holding tank"</formula>
    </cfRule>
  </conditionalFormatting>
  <conditionalFormatting sqref="AS21">
    <cfRule type="cellIs" dxfId="3255" priority="40418" stopIfTrue="1" operator="notEqual">
      <formula>"none"</formula>
    </cfRule>
  </conditionalFormatting>
  <conditionalFormatting sqref="AT21">
    <cfRule type="cellIs" dxfId="3254" priority="40419" stopIfTrue="1" operator="notEqual">
      <formula>"non-hazardous"</formula>
    </cfRule>
  </conditionalFormatting>
  <conditionalFormatting sqref="AU21">
    <cfRule type="expression" dxfId="3253" priority="40420" stopIfTrue="1">
      <formula>NOT(ISBLANK($AU$21))</formula>
    </cfRule>
  </conditionalFormatting>
  <conditionalFormatting sqref="AV21">
    <cfRule type="expression" dxfId="3252" priority="40421" stopIfTrue="1">
      <formula>NOT(ISBLANK($AV$21))</formula>
    </cfRule>
  </conditionalFormatting>
  <conditionalFormatting sqref="AW21">
    <cfRule type="expression" dxfId="3251" priority="40422" stopIfTrue="1">
      <formula>NOT(ISBLANK($AW$21))</formula>
    </cfRule>
  </conditionalFormatting>
  <conditionalFormatting sqref="AX21">
    <cfRule type="expression" dxfId="3250" priority="40423" stopIfTrue="1">
      <formula>NOT(ISBLANK($AX$21))</formula>
    </cfRule>
  </conditionalFormatting>
  <conditionalFormatting sqref="AY21">
    <cfRule type="expression" dxfId="3249" priority="40424" stopIfTrue="1">
      <formula>NOT(ISBLANK($AY$21))</formula>
    </cfRule>
  </conditionalFormatting>
  <conditionalFormatting sqref="AZ21">
    <cfRule type="cellIs" dxfId="3248" priority="40425" stopIfTrue="1" operator="notEqual">
      <formula>"fully automated"</formula>
    </cfRule>
  </conditionalFormatting>
  <conditionalFormatting sqref="BA21">
    <cfRule type="expression" dxfId="3247" priority="40426" stopIfTrue="1">
      <formula>NOT(ISBLANK($BA$21))</formula>
    </cfRule>
  </conditionalFormatting>
  <conditionalFormatting sqref="BB21">
    <cfRule type="expression" dxfId="3246" priority="40427" stopIfTrue="1">
      <formula>NOT(ISBLANK($BB$21))</formula>
    </cfRule>
  </conditionalFormatting>
  <conditionalFormatting sqref="BC21">
    <cfRule type="expression" dxfId="3245" priority="40428" stopIfTrue="1">
      <formula>NOT(ISBLANK($BC$21))</formula>
    </cfRule>
  </conditionalFormatting>
  <conditionalFormatting sqref="A22">
    <cfRule type="cellIs" dxfId="3244" priority="40429" stopIfTrue="1" operator="notEqual">
      <formula>1</formula>
    </cfRule>
  </conditionalFormatting>
  <conditionalFormatting sqref="B22">
    <cfRule type="cellIs" dxfId="3243" priority="40430" stopIfTrue="1" operator="notEqual">
      <formula>2</formula>
    </cfRule>
  </conditionalFormatting>
  <conditionalFormatting sqref="C22">
    <cfRule type="cellIs" dxfId="3242" priority="40431" stopIfTrue="1" operator="notEqual">
      <formula>6</formula>
    </cfRule>
  </conditionalFormatting>
  <conditionalFormatting sqref="D22">
    <cfRule type="cellIs" dxfId="3241" priority="40432" stopIfTrue="1" operator="notEqual">
      <formula>7.365</formula>
    </cfRule>
  </conditionalFormatting>
  <conditionalFormatting sqref="E22">
    <cfRule type="cellIs" dxfId="3240" priority="40433" stopIfTrue="1" operator="notEqual">
      <formula>"MGD"</formula>
    </cfRule>
  </conditionalFormatting>
  <conditionalFormatting sqref="F22">
    <cfRule type="cellIs" dxfId="3239" priority="40434" stopIfTrue="1" operator="notEqual">
      <formula>3.2</formula>
    </cfRule>
  </conditionalFormatting>
  <conditionalFormatting sqref="G22">
    <cfRule type="cellIs" dxfId="3238" priority="40435" stopIfTrue="1" operator="notEqual">
      <formula>"MGD"</formula>
    </cfRule>
  </conditionalFormatting>
  <conditionalFormatting sqref="H22">
    <cfRule type="cellIs" dxfId="3237" priority="40436" stopIfTrue="1" operator="notEqual">
      <formula>"acetic acid"</formula>
    </cfRule>
  </conditionalFormatting>
  <conditionalFormatting sqref="I22">
    <cfRule type="cellIs" dxfId="3236" priority="40437" stopIfTrue="1" operator="notEqual">
      <formula>10</formula>
    </cfRule>
  </conditionalFormatting>
  <conditionalFormatting sqref="J22">
    <cfRule type="cellIs" dxfId="3235" priority="40438" stopIfTrue="1" operator="notEqual">
      <formula>8</formula>
    </cfRule>
  </conditionalFormatting>
  <conditionalFormatting sqref="K22">
    <cfRule type="expression" dxfId="3234" priority="40439" stopIfTrue="1">
      <formula>NOT(ISBLANK($K$22))</formula>
    </cfRule>
  </conditionalFormatting>
  <conditionalFormatting sqref="L22">
    <cfRule type="expression" dxfId="3233" priority="40440" stopIfTrue="1">
      <formula>NOT(ISBLANK($L$22))</formula>
    </cfRule>
  </conditionalFormatting>
  <conditionalFormatting sqref="M22">
    <cfRule type="expression" dxfId="3232" priority="40441" stopIfTrue="1">
      <formula>NOT(ISBLANK($M$22))</formula>
    </cfRule>
  </conditionalFormatting>
  <conditionalFormatting sqref="N22">
    <cfRule type="cellIs" dxfId="3231" priority="40442" stopIfTrue="1" operator="notEqual">
      <formula>"additional phosphorous required"</formula>
    </cfRule>
  </conditionalFormatting>
  <conditionalFormatting sqref="O22">
    <cfRule type="expression" dxfId="3230" priority="40443" stopIfTrue="1">
      <formula>NOT(ISBLANK($O$22))</formula>
    </cfRule>
  </conditionalFormatting>
  <conditionalFormatting sqref="P22">
    <cfRule type="cellIs" dxfId="3229" priority="40444" stopIfTrue="1" operator="notEqual">
      <formula>1</formula>
    </cfRule>
  </conditionalFormatting>
  <conditionalFormatting sqref="Q22">
    <cfRule type="cellIs" dxfId="3228" priority="40445" stopIfTrue="1" operator="notEqual">
      <formula>12</formula>
    </cfRule>
  </conditionalFormatting>
  <conditionalFormatting sqref="R22">
    <cfRule type="expression" dxfId="3227" priority="40446" stopIfTrue="1">
      <formula>NOT(ISBLANK($R$22))</formula>
    </cfRule>
  </conditionalFormatting>
  <conditionalFormatting sqref="S22">
    <cfRule type="expression" dxfId="3226" priority="40447" stopIfTrue="1">
      <formula>NOT(ISBLANK($S$22))</formula>
    </cfRule>
  </conditionalFormatting>
  <conditionalFormatting sqref="T22">
    <cfRule type="expression" dxfId="3225" priority="40448" stopIfTrue="1">
      <formula>NOT(ISBLANK($T$22))</formula>
    </cfRule>
  </conditionalFormatting>
  <conditionalFormatting sqref="U22">
    <cfRule type="expression" dxfId="3224" priority="40449" stopIfTrue="1">
      <formula>NOT(ISBLANK($U$22))</formula>
    </cfRule>
  </conditionalFormatting>
  <conditionalFormatting sqref="V22">
    <cfRule type="expression" dxfId="3223" priority="40450" stopIfTrue="1">
      <formula>NOT(ISBLANK($V$22))</formula>
    </cfRule>
  </conditionalFormatting>
  <conditionalFormatting sqref="W22">
    <cfRule type="cellIs" dxfId="3222" priority="40451" stopIfTrue="1" operator="notEqual">
      <formula>"yes"</formula>
    </cfRule>
  </conditionalFormatting>
  <conditionalFormatting sqref="X22">
    <cfRule type="expression" dxfId="3221" priority="40452" stopIfTrue="1">
      <formula>NOT(ISBLANK($X$22))</formula>
    </cfRule>
  </conditionalFormatting>
  <conditionalFormatting sqref="Y22">
    <cfRule type="expression" dxfId="3220" priority="40453" stopIfTrue="1">
      <formula>NOT(ISBLANK($Y$22))</formula>
    </cfRule>
  </conditionalFormatting>
  <conditionalFormatting sqref="Z22">
    <cfRule type="expression" dxfId="3219" priority="40454" stopIfTrue="1">
      <formula>NOT(ISBLANK($Z$22))</formula>
    </cfRule>
  </conditionalFormatting>
  <conditionalFormatting sqref="AA22">
    <cfRule type="cellIs" dxfId="3218" priority="40455" stopIfTrue="1" operator="notEqual">
      <formula>"aeration"</formula>
    </cfRule>
  </conditionalFormatting>
  <conditionalFormatting sqref="AB22">
    <cfRule type="cellIs" dxfId="3217" priority="40456" stopIfTrue="1" operator="notEqual">
      <formula>"yes"</formula>
    </cfRule>
  </conditionalFormatting>
  <conditionalFormatting sqref="AC22">
    <cfRule type="cellIs" dxfId="3216" priority="40457" stopIfTrue="1" operator="notEqual">
      <formula>"gravity basin"</formula>
    </cfRule>
  </conditionalFormatting>
  <conditionalFormatting sqref="AD22">
    <cfRule type="cellIs" dxfId="3215" priority="40458" stopIfTrue="1" operator="notEqual">
      <formula>"yes"</formula>
    </cfRule>
  </conditionalFormatting>
  <conditionalFormatting sqref="AE22">
    <cfRule type="cellIs" dxfId="3214" priority="40459" stopIfTrue="1" operator="notEqual">
      <formula>"yes"</formula>
    </cfRule>
  </conditionalFormatting>
  <conditionalFormatting sqref="AF22">
    <cfRule type="cellIs" dxfId="3213" priority="40460" stopIfTrue="1" operator="notEqual">
      <formula>14</formula>
    </cfRule>
  </conditionalFormatting>
  <conditionalFormatting sqref="AG22">
    <cfRule type="cellIs" dxfId="3212" priority="40461" stopIfTrue="1" operator="notEqual">
      <formula>14</formula>
    </cfRule>
  </conditionalFormatting>
  <conditionalFormatting sqref="AH22">
    <cfRule type="cellIs" dxfId="3211" priority="40462" stopIfTrue="1" operator="notEqual">
      <formula>7</formula>
    </cfRule>
  </conditionalFormatting>
  <conditionalFormatting sqref="AI22">
    <cfRule type="expression" dxfId="3210" priority="40463" stopIfTrue="1">
      <formula>NOT(ISBLANK($AI$22))</formula>
    </cfRule>
  </conditionalFormatting>
  <conditionalFormatting sqref="AJ22">
    <cfRule type="expression" dxfId="3209" priority="40464" stopIfTrue="1">
      <formula>NOT(ISBLANK($AJ$22))</formula>
    </cfRule>
  </conditionalFormatting>
  <conditionalFormatting sqref="AK22">
    <cfRule type="expression" dxfId="3208" priority="40465" stopIfTrue="1">
      <formula>NOT(ISBLANK($AK$22))</formula>
    </cfRule>
  </conditionalFormatting>
  <conditionalFormatting sqref="AL22">
    <cfRule type="expression" dxfId="3207" priority="40466" stopIfTrue="1">
      <formula>NOT(ISBLANK($AL$22))</formula>
    </cfRule>
  </conditionalFormatting>
  <conditionalFormatting sqref="AM22">
    <cfRule type="expression" dxfId="3206" priority="40467" stopIfTrue="1">
      <formula>NOT(ISBLANK($AM$22))</formula>
    </cfRule>
  </conditionalFormatting>
  <conditionalFormatting sqref="AN22">
    <cfRule type="cellIs" dxfId="3205" priority="40468" stopIfTrue="1" operator="notEqual">
      <formula>24</formula>
    </cfRule>
  </conditionalFormatting>
  <conditionalFormatting sqref="AO22">
    <cfRule type="cellIs" dxfId="3204" priority="40469" stopIfTrue="1" operator="notEqual">
      <formula>36</formula>
    </cfRule>
  </conditionalFormatting>
  <conditionalFormatting sqref="AP22">
    <cfRule type="cellIs" dxfId="3203" priority="40470" stopIfTrue="1" operator="notEqual">
      <formula>"yes"</formula>
    </cfRule>
  </conditionalFormatting>
  <conditionalFormatting sqref="AQ22">
    <cfRule type="cellIs" dxfId="3202" priority="40471" stopIfTrue="1" operator="notEqual">
      <formula>"recycle"</formula>
    </cfRule>
  </conditionalFormatting>
  <conditionalFormatting sqref="AR22">
    <cfRule type="cellIs" dxfId="3201" priority="40472" stopIfTrue="1" operator="notEqual">
      <formula>"holding tank"</formula>
    </cfRule>
  </conditionalFormatting>
  <conditionalFormatting sqref="AS22">
    <cfRule type="cellIs" dxfId="3200" priority="40473" stopIfTrue="1" operator="notEqual">
      <formula>"none"</formula>
    </cfRule>
  </conditionalFormatting>
  <conditionalFormatting sqref="AT22">
    <cfRule type="cellIs" dxfId="3199" priority="40474" stopIfTrue="1" operator="notEqual">
      <formula>"non-hazardous"</formula>
    </cfRule>
  </conditionalFormatting>
  <conditionalFormatting sqref="AU22">
    <cfRule type="expression" dxfId="3198" priority="40475" stopIfTrue="1">
      <formula>NOT(ISBLANK($AU$22))</formula>
    </cfRule>
  </conditionalFormatting>
  <conditionalFormatting sqref="AV22">
    <cfRule type="expression" dxfId="3197" priority="40476" stopIfTrue="1">
      <formula>NOT(ISBLANK($AV$22))</formula>
    </cfRule>
  </conditionalFormatting>
  <conditionalFormatting sqref="AW22">
    <cfRule type="expression" dxfId="3196" priority="40477" stopIfTrue="1">
      <formula>NOT(ISBLANK($AW$22))</formula>
    </cfRule>
  </conditionalFormatting>
  <conditionalFormatting sqref="AX22">
    <cfRule type="expression" dxfId="3195" priority="40478" stopIfTrue="1">
      <formula>NOT(ISBLANK($AX$22))</formula>
    </cfRule>
  </conditionalFormatting>
  <conditionalFormatting sqref="AY22">
    <cfRule type="expression" dxfId="3194" priority="40479" stopIfTrue="1">
      <formula>NOT(ISBLANK($AY$22))</formula>
    </cfRule>
  </conditionalFormatting>
  <conditionalFormatting sqref="AZ22">
    <cfRule type="cellIs" dxfId="3193" priority="40480" stopIfTrue="1" operator="notEqual">
      <formula>"fully automated"</formula>
    </cfRule>
  </conditionalFormatting>
  <conditionalFormatting sqref="BA22">
    <cfRule type="expression" dxfId="3192" priority="40481" stopIfTrue="1">
      <formula>NOT(ISBLANK($BA$22))</formula>
    </cfRule>
  </conditionalFormatting>
  <conditionalFormatting sqref="BB22">
    <cfRule type="expression" dxfId="3191" priority="40482" stopIfTrue="1">
      <formula>NOT(ISBLANK($BB$22))</formula>
    </cfRule>
  </conditionalFormatting>
  <conditionalFormatting sqref="BC22">
    <cfRule type="expression" dxfId="3190" priority="40483" stopIfTrue="1">
      <formula>NOT(ISBLANK($BC$22))</formula>
    </cfRule>
  </conditionalFormatting>
  <conditionalFormatting sqref="A23">
    <cfRule type="cellIs" dxfId="3189" priority="40484" stopIfTrue="1" operator="notEqual">
      <formula>1</formula>
    </cfRule>
  </conditionalFormatting>
  <conditionalFormatting sqref="B23">
    <cfRule type="cellIs" dxfId="3188" priority="40485" stopIfTrue="1" operator="notEqual">
      <formula>2</formula>
    </cfRule>
  </conditionalFormatting>
  <conditionalFormatting sqref="C23">
    <cfRule type="cellIs" dxfId="3187" priority="40486" stopIfTrue="1" operator="notEqual">
      <formula>7</formula>
    </cfRule>
  </conditionalFormatting>
  <conditionalFormatting sqref="D23">
    <cfRule type="cellIs" dxfId="3186" priority="40487" stopIfTrue="1" operator="notEqual">
      <formula>22.614</formula>
    </cfRule>
  </conditionalFormatting>
  <conditionalFormatting sqref="E23">
    <cfRule type="cellIs" dxfId="3185" priority="40488" stopIfTrue="1" operator="notEqual">
      <formula>"MGD"</formula>
    </cfRule>
  </conditionalFormatting>
  <conditionalFormatting sqref="F23">
    <cfRule type="cellIs" dxfId="3184" priority="40489" stopIfTrue="1" operator="notEqual">
      <formula>11.066</formula>
    </cfRule>
  </conditionalFormatting>
  <conditionalFormatting sqref="G23">
    <cfRule type="cellIs" dxfId="3183" priority="40490" stopIfTrue="1" operator="notEqual">
      <formula>"MGD"</formula>
    </cfRule>
  </conditionalFormatting>
  <conditionalFormatting sqref="H23">
    <cfRule type="cellIs" dxfId="3182" priority="40491" stopIfTrue="1" operator="notEqual">
      <formula>"acetic acid"</formula>
    </cfRule>
  </conditionalFormatting>
  <conditionalFormatting sqref="I23">
    <cfRule type="cellIs" dxfId="3181" priority="40492" stopIfTrue="1" operator="notEqual">
      <formula>10</formula>
    </cfRule>
  </conditionalFormatting>
  <conditionalFormatting sqref="J23">
    <cfRule type="cellIs" dxfId="3180" priority="40493" stopIfTrue="1" operator="notEqual">
      <formula>8</formula>
    </cfRule>
  </conditionalFormatting>
  <conditionalFormatting sqref="K23">
    <cfRule type="expression" dxfId="3179" priority="40494" stopIfTrue="1">
      <formula>NOT(ISBLANK($K$23))</formula>
    </cfRule>
  </conditionalFormatting>
  <conditionalFormatting sqref="L23">
    <cfRule type="expression" dxfId="3178" priority="40495" stopIfTrue="1">
      <formula>NOT(ISBLANK($L$23))</formula>
    </cfRule>
  </conditionalFormatting>
  <conditionalFormatting sqref="M23">
    <cfRule type="expression" dxfId="3177" priority="40496" stopIfTrue="1">
      <formula>NOT(ISBLANK($M$23))</formula>
    </cfRule>
  </conditionalFormatting>
  <conditionalFormatting sqref="N23">
    <cfRule type="cellIs" dxfId="3176" priority="40497" stopIfTrue="1" operator="notEqual">
      <formula>"additional phosphorous required"</formula>
    </cfRule>
  </conditionalFormatting>
  <conditionalFormatting sqref="O23">
    <cfRule type="expression" dxfId="3175" priority="40498" stopIfTrue="1">
      <formula>NOT(ISBLANK($O$23))</formula>
    </cfRule>
  </conditionalFormatting>
  <conditionalFormatting sqref="P23">
    <cfRule type="cellIs" dxfId="3174" priority="40499" stopIfTrue="1" operator="notEqual">
      <formula>1</formula>
    </cfRule>
  </conditionalFormatting>
  <conditionalFormatting sqref="Q23">
    <cfRule type="cellIs" dxfId="3173" priority="40500" stopIfTrue="1" operator="notEqual">
      <formula>12</formula>
    </cfRule>
  </conditionalFormatting>
  <conditionalFormatting sqref="R23">
    <cfRule type="expression" dxfId="3172" priority="40501" stopIfTrue="1">
      <formula>NOT(ISBLANK($R$23))</formula>
    </cfRule>
  </conditionalFormatting>
  <conditionalFormatting sqref="S23">
    <cfRule type="expression" dxfId="3171" priority="40502" stopIfTrue="1">
      <formula>NOT(ISBLANK($S$23))</formula>
    </cfRule>
  </conditionalFormatting>
  <conditionalFormatting sqref="T23">
    <cfRule type="expression" dxfId="3170" priority="40503" stopIfTrue="1">
      <formula>NOT(ISBLANK($T$23))</formula>
    </cfRule>
  </conditionalFormatting>
  <conditionalFormatting sqref="U23">
    <cfRule type="expression" dxfId="3169" priority="40504" stopIfTrue="1">
      <formula>NOT(ISBLANK($U$23))</formula>
    </cfRule>
  </conditionalFormatting>
  <conditionalFormatting sqref="V23">
    <cfRule type="expression" dxfId="3168" priority="40505" stopIfTrue="1">
      <formula>NOT(ISBLANK($V$23))</formula>
    </cfRule>
  </conditionalFormatting>
  <conditionalFormatting sqref="W23">
    <cfRule type="cellIs" dxfId="3167" priority="40506" stopIfTrue="1" operator="notEqual">
      <formula>"yes"</formula>
    </cfRule>
  </conditionalFormatting>
  <conditionalFormatting sqref="X23">
    <cfRule type="expression" dxfId="3166" priority="40507" stopIfTrue="1">
      <formula>NOT(ISBLANK($X$23))</formula>
    </cfRule>
  </conditionalFormatting>
  <conditionalFormatting sqref="Y23">
    <cfRule type="expression" dxfId="3165" priority="40508" stopIfTrue="1">
      <formula>NOT(ISBLANK($Y$23))</formula>
    </cfRule>
  </conditionalFormatting>
  <conditionalFormatting sqref="Z23">
    <cfRule type="expression" dxfId="3164" priority="40509" stopIfTrue="1">
      <formula>NOT(ISBLANK($Z$23))</formula>
    </cfRule>
  </conditionalFormatting>
  <conditionalFormatting sqref="AA23">
    <cfRule type="cellIs" dxfId="3163" priority="40510" stopIfTrue="1" operator="notEqual">
      <formula>"aeration"</formula>
    </cfRule>
  </conditionalFormatting>
  <conditionalFormatting sqref="AB23">
    <cfRule type="cellIs" dxfId="3162" priority="40511" stopIfTrue="1" operator="notEqual">
      <formula>"yes"</formula>
    </cfRule>
  </conditionalFormatting>
  <conditionalFormatting sqref="AC23">
    <cfRule type="cellIs" dxfId="3161" priority="40512" stopIfTrue="1" operator="notEqual">
      <formula>"gravity basin"</formula>
    </cfRule>
  </conditionalFormatting>
  <conditionalFormatting sqref="AD23">
    <cfRule type="cellIs" dxfId="3160" priority="40513" stopIfTrue="1" operator="notEqual">
      <formula>"yes"</formula>
    </cfRule>
  </conditionalFormatting>
  <conditionalFormatting sqref="AE23">
    <cfRule type="cellIs" dxfId="3159" priority="40514" stopIfTrue="1" operator="notEqual">
      <formula>"yes"</formula>
    </cfRule>
  </conditionalFormatting>
  <conditionalFormatting sqref="AF23">
    <cfRule type="cellIs" dxfId="3158" priority="40515" stopIfTrue="1" operator="notEqual">
      <formula>18.5</formula>
    </cfRule>
  </conditionalFormatting>
  <conditionalFormatting sqref="AG23">
    <cfRule type="cellIs" dxfId="3157" priority="40516" stopIfTrue="1" operator="notEqual">
      <formula>18.5</formula>
    </cfRule>
  </conditionalFormatting>
  <conditionalFormatting sqref="AH23">
    <cfRule type="cellIs" dxfId="3156" priority="40517" stopIfTrue="1" operator="notEqual">
      <formula>8.8</formula>
    </cfRule>
  </conditionalFormatting>
  <conditionalFormatting sqref="AI23">
    <cfRule type="expression" dxfId="3155" priority="40518" stopIfTrue="1">
      <formula>NOT(ISBLANK($AI$23))</formula>
    </cfRule>
  </conditionalFormatting>
  <conditionalFormatting sqref="AJ23">
    <cfRule type="expression" dxfId="3154" priority="40519" stopIfTrue="1">
      <formula>NOT(ISBLANK($AJ$23))</formula>
    </cfRule>
  </conditionalFormatting>
  <conditionalFormatting sqref="AK23">
    <cfRule type="expression" dxfId="3153" priority="40520" stopIfTrue="1">
      <formula>NOT(ISBLANK($AK$23))</formula>
    </cfRule>
  </conditionalFormatting>
  <conditionalFormatting sqref="AL23">
    <cfRule type="expression" dxfId="3152" priority="40521" stopIfTrue="1">
      <formula>NOT(ISBLANK($AL$23))</formula>
    </cfRule>
  </conditionalFormatting>
  <conditionalFormatting sqref="AM23">
    <cfRule type="expression" dxfId="3151" priority="40522" stopIfTrue="1">
      <formula>NOT(ISBLANK($AM$23))</formula>
    </cfRule>
  </conditionalFormatting>
  <conditionalFormatting sqref="AN23">
    <cfRule type="cellIs" dxfId="3150" priority="40523" stopIfTrue="1" operator="notEqual">
      <formula>24</formula>
    </cfRule>
  </conditionalFormatting>
  <conditionalFormatting sqref="AO23">
    <cfRule type="cellIs" dxfId="3149" priority="40524" stopIfTrue="1" operator="notEqual">
      <formula>36</formula>
    </cfRule>
  </conditionalFormatting>
  <conditionalFormatting sqref="AP23">
    <cfRule type="cellIs" dxfId="3148" priority="40525" stopIfTrue="1" operator="notEqual">
      <formula>"yes"</formula>
    </cfRule>
  </conditionalFormatting>
  <conditionalFormatting sqref="AQ23">
    <cfRule type="cellIs" dxfId="3147" priority="40526" stopIfTrue="1" operator="notEqual">
      <formula>"recycle"</formula>
    </cfRule>
  </conditionalFormatting>
  <conditionalFormatting sqref="AR23">
    <cfRule type="cellIs" dxfId="3146" priority="40527" stopIfTrue="1" operator="notEqual">
      <formula>"holding tank"</formula>
    </cfRule>
  </conditionalFormatting>
  <conditionalFormatting sqref="AS23">
    <cfRule type="cellIs" dxfId="3145" priority="40528" stopIfTrue="1" operator="notEqual">
      <formula>"none"</formula>
    </cfRule>
  </conditionalFormatting>
  <conditionalFormatting sqref="AT23">
    <cfRule type="cellIs" dxfId="3144" priority="40529" stopIfTrue="1" operator="notEqual">
      <formula>"non-hazardous"</formula>
    </cfRule>
  </conditionalFormatting>
  <conditionalFormatting sqref="AU23">
    <cfRule type="expression" dxfId="3143" priority="40530" stopIfTrue="1">
      <formula>NOT(ISBLANK($AU$23))</formula>
    </cfRule>
  </conditionalFormatting>
  <conditionalFormatting sqref="AV23">
    <cfRule type="expression" dxfId="3142" priority="40531" stopIfTrue="1">
      <formula>NOT(ISBLANK($AV$23))</formula>
    </cfRule>
  </conditionalFormatting>
  <conditionalFormatting sqref="AW23">
    <cfRule type="expression" dxfId="3141" priority="40532" stopIfTrue="1">
      <formula>NOT(ISBLANK($AW$23))</formula>
    </cfRule>
  </conditionalFormatting>
  <conditionalFormatting sqref="AX23">
    <cfRule type="expression" dxfId="3140" priority="40533" stopIfTrue="1">
      <formula>NOT(ISBLANK($AX$23))</formula>
    </cfRule>
  </conditionalFormatting>
  <conditionalFormatting sqref="AY23">
    <cfRule type="expression" dxfId="3139" priority="40534" stopIfTrue="1">
      <formula>NOT(ISBLANK($AY$23))</formula>
    </cfRule>
  </conditionalFormatting>
  <conditionalFormatting sqref="AZ23">
    <cfRule type="cellIs" dxfId="3138" priority="40535" stopIfTrue="1" operator="notEqual">
      <formula>"fully automated"</formula>
    </cfRule>
  </conditionalFormatting>
  <conditionalFormatting sqref="BA23">
    <cfRule type="expression" dxfId="3137" priority="40536" stopIfTrue="1">
      <formula>NOT(ISBLANK($BA$23))</formula>
    </cfRule>
  </conditionalFormatting>
  <conditionalFormatting sqref="BB23">
    <cfRule type="expression" dxfId="3136" priority="40537" stopIfTrue="1">
      <formula>NOT(ISBLANK($BB$23))</formula>
    </cfRule>
  </conditionalFormatting>
  <conditionalFormatting sqref="BC23">
    <cfRule type="expression" dxfId="3135" priority="40538" stopIfTrue="1">
      <formula>NOT(ISBLANK($BC$23))</formula>
    </cfRule>
  </conditionalFormatting>
  <conditionalFormatting sqref="A24">
    <cfRule type="cellIs" dxfId="3134" priority="40539" stopIfTrue="1" operator="notEqual">
      <formula>1</formula>
    </cfRule>
  </conditionalFormatting>
  <conditionalFormatting sqref="B24">
    <cfRule type="cellIs" dxfId="3133" priority="40540" stopIfTrue="1" operator="notEqual">
      <formula>2</formula>
    </cfRule>
  </conditionalFormatting>
  <conditionalFormatting sqref="C24">
    <cfRule type="cellIs" dxfId="3132" priority="40541" stopIfTrue="1" operator="notEqual">
      <formula>8</formula>
    </cfRule>
  </conditionalFormatting>
  <conditionalFormatting sqref="D24">
    <cfRule type="cellIs" dxfId="3131" priority="40542" stopIfTrue="1" operator="notEqual">
      <formula>75.072</formula>
    </cfRule>
  </conditionalFormatting>
  <conditionalFormatting sqref="E24">
    <cfRule type="cellIs" dxfId="3130" priority="40543" stopIfTrue="1" operator="notEqual">
      <formula>"MGD"</formula>
    </cfRule>
  </conditionalFormatting>
  <conditionalFormatting sqref="F24">
    <cfRule type="cellIs" dxfId="3129" priority="40544" stopIfTrue="1" operator="notEqual">
      <formula>37.536</formula>
    </cfRule>
  </conditionalFormatting>
  <conditionalFormatting sqref="G24">
    <cfRule type="cellIs" dxfId="3128" priority="40545" stopIfTrue="1" operator="notEqual">
      <formula>"MGD"</formula>
    </cfRule>
  </conditionalFormatting>
  <conditionalFormatting sqref="H24">
    <cfRule type="cellIs" dxfId="3127" priority="40546" stopIfTrue="1" operator="notEqual">
      <formula>"acetic acid"</formula>
    </cfRule>
  </conditionalFormatting>
  <conditionalFormatting sqref="I24">
    <cfRule type="cellIs" dxfId="3126" priority="40547" stopIfTrue="1" operator="notEqual">
      <formula>10</formula>
    </cfRule>
  </conditionalFormatting>
  <conditionalFormatting sqref="J24">
    <cfRule type="cellIs" dxfId="3125" priority="40548" stopIfTrue="1" operator="notEqual">
      <formula>8</formula>
    </cfRule>
  </conditionalFormatting>
  <conditionalFormatting sqref="K24">
    <cfRule type="expression" dxfId="3124" priority="40549" stopIfTrue="1">
      <formula>NOT(ISBLANK($K$24))</formula>
    </cfRule>
  </conditionalFormatting>
  <conditionalFormatting sqref="L24">
    <cfRule type="expression" dxfId="3123" priority="40550" stopIfTrue="1">
      <formula>NOT(ISBLANK($L$24))</formula>
    </cfRule>
  </conditionalFormatting>
  <conditionalFormatting sqref="M24">
    <cfRule type="expression" dxfId="3122" priority="40551" stopIfTrue="1">
      <formula>NOT(ISBLANK($M$24))</formula>
    </cfRule>
  </conditionalFormatting>
  <conditionalFormatting sqref="N24">
    <cfRule type="cellIs" dxfId="3121" priority="40552" stopIfTrue="1" operator="notEqual">
      <formula>"additional phosphorous required"</formula>
    </cfRule>
  </conditionalFormatting>
  <conditionalFormatting sqref="O24">
    <cfRule type="expression" dxfId="3120" priority="40553" stopIfTrue="1">
      <formula>NOT(ISBLANK($O$24))</formula>
    </cfRule>
  </conditionalFormatting>
  <conditionalFormatting sqref="P24">
    <cfRule type="cellIs" dxfId="3119" priority="40554" stopIfTrue="1" operator="notEqual">
      <formula>1</formula>
    </cfRule>
  </conditionalFormatting>
  <conditionalFormatting sqref="Q24">
    <cfRule type="cellIs" dxfId="3118" priority="40555" stopIfTrue="1" operator="notEqual">
      <formula>12</formula>
    </cfRule>
  </conditionalFormatting>
  <conditionalFormatting sqref="R24">
    <cfRule type="expression" dxfId="3117" priority="40556" stopIfTrue="1">
      <formula>NOT(ISBLANK($R$24))</formula>
    </cfRule>
  </conditionalFormatting>
  <conditionalFormatting sqref="S24">
    <cfRule type="expression" dxfId="3116" priority="40557" stopIfTrue="1">
      <formula>NOT(ISBLANK($S$24))</formula>
    </cfRule>
  </conditionalFormatting>
  <conditionalFormatting sqref="T24">
    <cfRule type="expression" dxfId="3115" priority="40558" stopIfTrue="1">
      <formula>NOT(ISBLANK($T$24))</formula>
    </cfRule>
  </conditionalFormatting>
  <conditionalFormatting sqref="U24">
    <cfRule type="expression" dxfId="3114" priority="40559" stopIfTrue="1">
      <formula>NOT(ISBLANK($U$24))</formula>
    </cfRule>
  </conditionalFormatting>
  <conditionalFormatting sqref="V24">
    <cfRule type="expression" dxfId="3113" priority="40560" stopIfTrue="1">
      <formula>NOT(ISBLANK($V$24))</formula>
    </cfRule>
  </conditionalFormatting>
  <conditionalFormatting sqref="W24">
    <cfRule type="cellIs" dxfId="3112" priority="40561" stopIfTrue="1" operator="notEqual">
      <formula>"yes"</formula>
    </cfRule>
  </conditionalFormatting>
  <conditionalFormatting sqref="X24">
    <cfRule type="expression" dxfId="3111" priority="40562" stopIfTrue="1">
      <formula>NOT(ISBLANK($X$24))</formula>
    </cfRule>
  </conditionalFormatting>
  <conditionalFormatting sqref="Y24">
    <cfRule type="expression" dxfId="3110" priority="40563" stopIfTrue="1">
      <formula>NOT(ISBLANK($Y$24))</formula>
    </cfRule>
  </conditionalFormatting>
  <conditionalFormatting sqref="Z24">
    <cfRule type="expression" dxfId="3109" priority="40564" stopIfTrue="1">
      <formula>NOT(ISBLANK($Z$24))</formula>
    </cfRule>
  </conditionalFormatting>
  <conditionalFormatting sqref="AA24">
    <cfRule type="cellIs" dxfId="3108" priority="40565" stopIfTrue="1" operator="notEqual">
      <formula>"aeration"</formula>
    </cfRule>
  </conditionalFormatting>
  <conditionalFormatting sqref="AB24">
    <cfRule type="cellIs" dxfId="3107" priority="40566" stopIfTrue="1" operator="notEqual">
      <formula>"yes"</formula>
    </cfRule>
  </conditionalFormatting>
  <conditionalFormatting sqref="AC24">
    <cfRule type="cellIs" dxfId="3106" priority="40567" stopIfTrue="1" operator="notEqual">
      <formula>"gravity basin"</formula>
    </cfRule>
  </conditionalFormatting>
  <conditionalFormatting sqref="AD24">
    <cfRule type="cellIs" dxfId="3105" priority="40568" stopIfTrue="1" operator="notEqual">
      <formula>"yes"</formula>
    </cfRule>
  </conditionalFormatting>
  <conditionalFormatting sqref="AE24">
    <cfRule type="cellIs" dxfId="3104" priority="40569" stopIfTrue="1" operator="notEqual">
      <formula>"yes"</formula>
    </cfRule>
  </conditionalFormatting>
  <conditionalFormatting sqref="AF24">
    <cfRule type="cellIs" dxfId="3103" priority="40570" stopIfTrue="1" operator="notEqual">
      <formula>24.5</formula>
    </cfRule>
  </conditionalFormatting>
  <conditionalFormatting sqref="AG24">
    <cfRule type="cellIs" dxfId="3102" priority="40571" stopIfTrue="1" operator="notEqual">
      <formula>24.5</formula>
    </cfRule>
  </conditionalFormatting>
  <conditionalFormatting sqref="AH24">
    <cfRule type="cellIs" dxfId="3101" priority="40572" stopIfTrue="1" operator="notEqual">
      <formula>9</formula>
    </cfRule>
  </conditionalFormatting>
  <conditionalFormatting sqref="AI24">
    <cfRule type="expression" dxfId="3100" priority="40573" stopIfTrue="1">
      <formula>NOT(ISBLANK($AI$24))</formula>
    </cfRule>
  </conditionalFormatting>
  <conditionalFormatting sqref="AJ24">
    <cfRule type="expression" dxfId="3099" priority="40574" stopIfTrue="1">
      <formula>NOT(ISBLANK($AJ$24))</formula>
    </cfRule>
  </conditionalFormatting>
  <conditionalFormatting sqref="AK24">
    <cfRule type="expression" dxfId="3098" priority="40575" stopIfTrue="1">
      <formula>NOT(ISBLANK($AK$24))</formula>
    </cfRule>
  </conditionalFormatting>
  <conditionalFormatting sqref="AL24">
    <cfRule type="expression" dxfId="3097" priority="40576" stopIfTrue="1">
      <formula>NOT(ISBLANK($AL$24))</formula>
    </cfRule>
  </conditionalFormatting>
  <conditionalFormatting sqref="AM24">
    <cfRule type="expression" dxfId="3096" priority="40577" stopIfTrue="1">
      <formula>NOT(ISBLANK($AM$24))</formula>
    </cfRule>
  </conditionalFormatting>
  <conditionalFormatting sqref="AN24">
    <cfRule type="cellIs" dxfId="3095" priority="40578" stopIfTrue="1" operator="notEqual">
      <formula>24</formula>
    </cfRule>
  </conditionalFormatting>
  <conditionalFormatting sqref="AO24">
    <cfRule type="cellIs" dxfId="3094" priority="40579" stopIfTrue="1" operator="notEqual">
      <formula>36</formula>
    </cfRule>
  </conditionalFormatting>
  <conditionalFormatting sqref="AP24">
    <cfRule type="cellIs" dxfId="3093" priority="40580" stopIfTrue="1" operator="notEqual">
      <formula>"yes"</formula>
    </cfRule>
  </conditionalFormatting>
  <conditionalFormatting sqref="AQ24">
    <cfRule type="cellIs" dxfId="3092" priority="40581" stopIfTrue="1" operator="notEqual">
      <formula>"recycle"</formula>
    </cfRule>
  </conditionalFormatting>
  <conditionalFormatting sqref="AR24">
    <cfRule type="cellIs" dxfId="3091" priority="40582" stopIfTrue="1" operator="notEqual">
      <formula>"holding tank"</formula>
    </cfRule>
  </conditionalFormatting>
  <conditionalFormatting sqref="AS24">
    <cfRule type="cellIs" dxfId="3090" priority="40583" stopIfTrue="1" operator="notEqual">
      <formula>"none"</formula>
    </cfRule>
  </conditionalFormatting>
  <conditionalFormatting sqref="AT24">
    <cfRule type="cellIs" dxfId="3089" priority="40584" stopIfTrue="1" operator="notEqual">
      <formula>"non-hazardous"</formula>
    </cfRule>
  </conditionalFormatting>
  <conditionalFormatting sqref="AU24">
    <cfRule type="expression" dxfId="3088" priority="40585" stopIfTrue="1">
      <formula>NOT(ISBLANK($AU$24))</formula>
    </cfRule>
  </conditionalFormatting>
  <conditionalFormatting sqref="AV24">
    <cfRule type="expression" dxfId="3087" priority="40586" stopIfTrue="1">
      <formula>NOT(ISBLANK($AV$24))</formula>
    </cfRule>
  </conditionalFormatting>
  <conditionalFormatting sqref="AW24">
    <cfRule type="expression" dxfId="3086" priority="40587" stopIfTrue="1">
      <formula>NOT(ISBLANK($AW$24))</formula>
    </cfRule>
  </conditionalFormatting>
  <conditionalFormatting sqref="AX24">
    <cfRule type="expression" dxfId="3085" priority="40588" stopIfTrue="1">
      <formula>NOT(ISBLANK($AX$24))</formula>
    </cfRule>
  </conditionalFormatting>
  <conditionalFormatting sqref="AY24">
    <cfRule type="expression" dxfId="3084" priority="40589" stopIfTrue="1">
      <formula>NOT(ISBLANK($AY$24))</formula>
    </cfRule>
  </conditionalFormatting>
  <conditionalFormatting sqref="AZ24">
    <cfRule type="cellIs" dxfId="3083" priority="40590" stopIfTrue="1" operator="notEqual">
      <formula>"fully automated"</formula>
    </cfRule>
  </conditionalFormatting>
  <conditionalFormatting sqref="BA24">
    <cfRule type="expression" dxfId="3082" priority="40591" stopIfTrue="1">
      <formula>NOT(ISBLANK($BA$24))</formula>
    </cfRule>
  </conditionalFormatting>
  <conditionalFormatting sqref="BB24">
    <cfRule type="expression" dxfId="3081" priority="40592" stopIfTrue="1">
      <formula>NOT(ISBLANK($BB$24))</formula>
    </cfRule>
  </conditionalFormatting>
  <conditionalFormatting sqref="BC24">
    <cfRule type="expression" dxfId="3080" priority="40593" stopIfTrue="1">
      <formula>NOT(ISBLANK($BC$24))</formula>
    </cfRule>
  </conditionalFormatting>
  <conditionalFormatting sqref="A25">
    <cfRule type="cellIs" dxfId="3079" priority="40594" stopIfTrue="1" operator="notEqual">
      <formula>1</formula>
    </cfRule>
  </conditionalFormatting>
  <conditionalFormatting sqref="B25">
    <cfRule type="cellIs" dxfId="3078" priority="40595" stopIfTrue="1" operator="notEqual">
      <formula>3</formula>
    </cfRule>
  </conditionalFormatting>
  <conditionalFormatting sqref="C25">
    <cfRule type="cellIs" dxfId="3077" priority="40596" stopIfTrue="1" operator="notEqual">
      <formula>1</formula>
    </cfRule>
  </conditionalFormatting>
  <conditionalFormatting sqref="D25">
    <cfRule type="cellIs" dxfId="3076" priority="40597" stopIfTrue="1" operator="notEqual">
      <formula>0.03</formula>
    </cfRule>
  </conditionalFormatting>
  <conditionalFormatting sqref="E25">
    <cfRule type="cellIs" dxfId="3075" priority="40598" stopIfTrue="1" operator="notEqual">
      <formula>"MGD"</formula>
    </cfRule>
  </conditionalFormatting>
  <conditionalFormatting sqref="F25">
    <cfRule type="cellIs" dxfId="3074" priority="40599" stopIfTrue="1" operator="notEqual">
      <formula>0.007</formula>
    </cfRule>
  </conditionalFormatting>
  <conditionalFormatting sqref="G25">
    <cfRule type="cellIs" dxfId="3073" priority="40600" stopIfTrue="1" operator="notEqual">
      <formula>"MGD"</formula>
    </cfRule>
  </conditionalFormatting>
  <conditionalFormatting sqref="H25">
    <cfRule type="cellIs" dxfId="3072" priority="40601" stopIfTrue="1" operator="notEqual">
      <formula>"acetic acid"</formula>
    </cfRule>
  </conditionalFormatting>
  <conditionalFormatting sqref="I25">
    <cfRule type="cellIs" dxfId="3071" priority="40602" stopIfTrue="1" operator="notEqual">
      <formula>10</formula>
    </cfRule>
  </conditionalFormatting>
  <conditionalFormatting sqref="J25">
    <cfRule type="cellIs" dxfId="3070" priority="40603" stopIfTrue="1" operator="notEqual">
      <formula>8</formula>
    </cfRule>
  </conditionalFormatting>
  <conditionalFormatting sqref="K25">
    <cfRule type="expression" dxfId="3069" priority="40604" stopIfTrue="1">
      <formula>NOT(ISBLANK($K$25))</formula>
    </cfRule>
  </conditionalFormatting>
  <conditionalFormatting sqref="L25">
    <cfRule type="expression" dxfId="3068" priority="40605" stopIfTrue="1">
      <formula>NOT(ISBLANK($L$25))</formula>
    </cfRule>
  </conditionalFormatting>
  <conditionalFormatting sqref="M25">
    <cfRule type="expression" dxfId="3067" priority="40606" stopIfTrue="1">
      <formula>NOT(ISBLANK($M$25))</formula>
    </cfRule>
  </conditionalFormatting>
  <conditionalFormatting sqref="N25">
    <cfRule type="cellIs" dxfId="3066" priority="40607" stopIfTrue="1" operator="notEqual">
      <formula>"additional phosphorous required"</formula>
    </cfRule>
  </conditionalFormatting>
  <conditionalFormatting sqref="O25">
    <cfRule type="expression" dxfId="3065" priority="40608" stopIfTrue="1">
      <formula>NOT(ISBLANK($O$25))</formula>
    </cfRule>
  </conditionalFormatting>
  <conditionalFormatting sqref="P25">
    <cfRule type="cellIs" dxfId="3064" priority="40609" stopIfTrue="1" operator="notEqual">
      <formula>1</formula>
    </cfRule>
  </conditionalFormatting>
  <conditionalFormatting sqref="Q25">
    <cfRule type="cellIs" dxfId="3063" priority="40610" stopIfTrue="1" operator="notEqual">
      <formula>12</formula>
    </cfRule>
  </conditionalFormatting>
  <conditionalFormatting sqref="R25">
    <cfRule type="cellIs" dxfId="3062" priority="40611" stopIfTrue="1" operator="notEqual">
      <formula>"yes"</formula>
    </cfRule>
  </conditionalFormatting>
  <conditionalFormatting sqref="S25">
    <cfRule type="expression" dxfId="3061" priority="40612" stopIfTrue="1">
      <formula>NOT(ISBLANK($S$25))</formula>
    </cfRule>
  </conditionalFormatting>
  <conditionalFormatting sqref="T25">
    <cfRule type="expression" dxfId="3060" priority="40613" stopIfTrue="1">
      <formula>NOT(ISBLANK($T$25))</formula>
    </cfRule>
  </conditionalFormatting>
  <conditionalFormatting sqref="U25">
    <cfRule type="expression" dxfId="3059" priority="40614" stopIfTrue="1">
      <formula>NOT(ISBLANK($U$25))</formula>
    </cfRule>
  </conditionalFormatting>
  <conditionalFormatting sqref="V25">
    <cfRule type="expression" dxfId="3058" priority="40615" stopIfTrue="1">
      <formula>NOT(ISBLANK($V$25))</formula>
    </cfRule>
  </conditionalFormatting>
  <conditionalFormatting sqref="W25">
    <cfRule type="expression" dxfId="3057" priority="40616" stopIfTrue="1">
      <formula>NOT(ISBLANK($W$25))</formula>
    </cfRule>
  </conditionalFormatting>
  <conditionalFormatting sqref="X25">
    <cfRule type="expression" dxfId="3056" priority="40617" stopIfTrue="1">
      <formula>NOT(ISBLANK($X$25))</formula>
    </cfRule>
  </conditionalFormatting>
  <conditionalFormatting sqref="Y25">
    <cfRule type="expression" dxfId="3055" priority="40618" stopIfTrue="1">
      <formula>NOT(ISBLANK($Y$25))</formula>
    </cfRule>
  </conditionalFormatting>
  <conditionalFormatting sqref="Z25">
    <cfRule type="expression" dxfId="3054" priority="40619" stopIfTrue="1">
      <formula>NOT(ISBLANK($Z$25))</formula>
    </cfRule>
  </conditionalFormatting>
  <conditionalFormatting sqref="AA25">
    <cfRule type="cellIs" dxfId="3053" priority="40620" stopIfTrue="1" operator="notEqual">
      <formula>"aeration"</formula>
    </cfRule>
  </conditionalFormatting>
  <conditionalFormatting sqref="AB25">
    <cfRule type="cellIs" dxfId="3052" priority="40621" stopIfTrue="1" operator="notEqual">
      <formula>"yes"</formula>
    </cfRule>
  </conditionalFormatting>
  <conditionalFormatting sqref="AC25">
    <cfRule type="cellIs" dxfId="3051" priority="40622" stopIfTrue="1" operator="notEqual">
      <formula>"pressure vessel"</formula>
    </cfRule>
  </conditionalFormatting>
  <conditionalFormatting sqref="AD25">
    <cfRule type="cellIs" dxfId="3050" priority="40623" stopIfTrue="1" operator="notEqual">
      <formula>"yes"</formula>
    </cfRule>
  </conditionalFormatting>
  <conditionalFormatting sqref="AE25">
    <cfRule type="expression" dxfId="3049" priority="40624" stopIfTrue="1">
      <formula>NOT(ISBLANK($AE$25))</formula>
    </cfRule>
  </conditionalFormatting>
  <conditionalFormatting sqref="AF25">
    <cfRule type="expression" dxfId="3048" priority="40625" stopIfTrue="1">
      <formula>NOT(ISBLANK($AF$25))</formula>
    </cfRule>
  </conditionalFormatting>
  <conditionalFormatting sqref="AG25">
    <cfRule type="expression" dxfId="3047" priority="40626" stopIfTrue="1">
      <formula>NOT(ISBLANK($AG$25))</formula>
    </cfRule>
  </conditionalFormatting>
  <conditionalFormatting sqref="AH25">
    <cfRule type="expression" dxfId="3046" priority="40627" stopIfTrue="1">
      <formula>NOT(ISBLANK($AH$25))</formula>
    </cfRule>
  </conditionalFormatting>
  <conditionalFormatting sqref="AI25">
    <cfRule type="cellIs" dxfId="3045" priority="40628" stopIfTrue="1" operator="notEqual">
      <formula>"yes"</formula>
    </cfRule>
  </conditionalFormatting>
  <conditionalFormatting sqref="AJ25">
    <cfRule type="cellIs" dxfId="3044" priority="40629" stopIfTrue="1" operator="notEqual">
      <formula>3</formula>
    </cfRule>
  </conditionalFormatting>
  <conditionalFormatting sqref="AK25">
    <cfRule type="cellIs" dxfId="3043" priority="40630" stopIfTrue="1" operator="notEqual">
      <formula>"upright"</formula>
    </cfRule>
  </conditionalFormatting>
  <conditionalFormatting sqref="AL25">
    <cfRule type="cellIs" dxfId="3042" priority="40631" stopIfTrue="1" operator="notEqual">
      <formula>5.5</formula>
    </cfRule>
  </conditionalFormatting>
  <conditionalFormatting sqref="AM25">
    <cfRule type="cellIs" dxfId="3041" priority="40632" stopIfTrue="1" operator="notEqual">
      <formula>2</formula>
    </cfRule>
  </conditionalFormatting>
  <conditionalFormatting sqref="AN25">
    <cfRule type="expression" dxfId="3040" priority="40633" stopIfTrue="1">
      <formula>NOT(ISBLANK($AN$25))</formula>
    </cfRule>
  </conditionalFormatting>
  <conditionalFormatting sqref="AO25">
    <cfRule type="cellIs" dxfId="3039" priority="40634" stopIfTrue="1" operator="notEqual">
      <formula>36</formula>
    </cfRule>
  </conditionalFormatting>
  <conditionalFormatting sqref="AP25">
    <cfRule type="cellIs" dxfId="3038" priority="40635" stopIfTrue="1" operator="notEqual">
      <formula>"yes"</formula>
    </cfRule>
  </conditionalFormatting>
  <conditionalFormatting sqref="AQ25">
    <cfRule type="cellIs" dxfId="3037" priority="40636" stopIfTrue="1" operator="notEqual">
      <formula>"recycle"</formula>
    </cfRule>
  </conditionalFormatting>
  <conditionalFormatting sqref="AR25">
    <cfRule type="cellIs" dxfId="3036" priority="40637" stopIfTrue="1" operator="notEqual">
      <formula>"holding tank"</formula>
    </cfRule>
  </conditionalFormatting>
  <conditionalFormatting sqref="AS25">
    <cfRule type="cellIs" dxfId="3035" priority="40638" stopIfTrue="1" operator="notEqual">
      <formula>"none"</formula>
    </cfRule>
  </conditionalFormatting>
  <conditionalFormatting sqref="AT25">
    <cfRule type="cellIs" dxfId="3034" priority="40639" stopIfTrue="1" operator="notEqual">
      <formula>"non-hazardous"</formula>
    </cfRule>
  </conditionalFormatting>
  <conditionalFormatting sqref="AU25">
    <cfRule type="expression" dxfId="3033" priority="40640" stopIfTrue="1">
      <formula>NOT(ISBLANK($AU$25))</formula>
    </cfRule>
  </conditionalFormatting>
  <conditionalFormatting sqref="AV25">
    <cfRule type="expression" dxfId="3032" priority="40641" stopIfTrue="1">
      <formula>NOT(ISBLANK($AV$25))</formula>
    </cfRule>
  </conditionalFormatting>
  <conditionalFormatting sqref="AW25">
    <cfRule type="expression" dxfId="3031" priority="40642" stopIfTrue="1">
      <formula>NOT(ISBLANK($AW$25))</formula>
    </cfRule>
  </conditionalFormatting>
  <conditionalFormatting sqref="AX25">
    <cfRule type="expression" dxfId="3030" priority="40643" stopIfTrue="1">
      <formula>NOT(ISBLANK($AX$25))</formula>
    </cfRule>
  </conditionalFormatting>
  <conditionalFormatting sqref="AY25">
    <cfRule type="expression" dxfId="3029" priority="40644" stopIfTrue="1">
      <formula>NOT(ISBLANK($AY$25))</formula>
    </cfRule>
  </conditionalFormatting>
  <conditionalFormatting sqref="AZ25">
    <cfRule type="cellIs" dxfId="3028" priority="40645" stopIfTrue="1" operator="notEqual">
      <formula>"fully automated"</formula>
    </cfRule>
  </conditionalFormatting>
  <conditionalFormatting sqref="BA25">
    <cfRule type="expression" dxfId="3027" priority="40646" stopIfTrue="1">
      <formula>NOT(ISBLANK($BA$25))</formula>
    </cfRule>
  </conditionalFormatting>
  <conditionalFormatting sqref="BB25">
    <cfRule type="expression" dxfId="3026" priority="40647" stopIfTrue="1">
      <formula>NOT(ISBLANK($BB$25))</formula>
    </cfRule>
  </conditionalFormatting>
  <conditionalFormatting sqref="BC25">
    <cfRule type="expression" dxfId="3025" priority="40648" stopIfTrue="1">
      <formula>NOT(ISBLANK($BC$25))</formula>
    </cfRule>
  </conditionalFormatting>
  <conditionalFormatting sqref="A26">
    <cfRule type="cellIs" dxfId="3024" priority="40649" stopIfTrue="1" operator="notEqual">
      <formula>1</formula>
    </cfRule>
  </conditionalFormatting>
  <conditionalFormatting sqref="B26">
    <cfRule type="cellIs" dxfId="3023" priority="40650" stopIfTrue="1" operator="notEqual">
      <formula>3</formula>
    </cfRule>
  </conditionalFormatting>
  <conditionalFormatting sqref="C26">
    <cfRule type="cellIs" dxfId="3022" priority="40651" stopIfTrue="1" operator="notEqual">
      <formula>2</formula>
    </cfRule>
  </conditionalFormatting>
  <conditionalFormatting sqref="D26">
    <cfRule type="cellIs" dxfId="3021" priority="40652" stopIfTrue="1" operator="notEqual">
      <formula>0.124</formula>
    </cfRule>
  </conditionalFormatting>
  <conditionalFormatting sqref="E26">
    <cfRule type="cellIs" dxfId="3020" priority="40653" stopIfTrue="1" operator="notEqual">
      <formula>"MGD"</formula>
    </cfRule>
  </conditionalFormatting>
  <conditionalFormatting sqref="F26">
    <cfRule type="cellIs" dxfId="3019" priority="40654" stopIfTrue="1" operator="notEqual">
      <formula>0.035</formula>
    </cfRule>
  </conditionalFormatting>
  <conditionalFormatting sqref="G26">
    <cfRule type="cellIs" dxfId="3018" priority="40655" stopIfTrue="1" operator="notEqual">
      <formula>"MGD"</formula>
    </cfRule>
  </conditionalFormatting>
  <conditionalFormatting sqref="H26">
    <cfRule type="cellIs" dxfId="3017" priority="40656" stopIfTrue="1" operator="notEqual">
      <formula>"acetic acid"</formula>
    </cfRule>
  </conditionalFormatting>
  <conditionalFormatting sqref="I26">
    <cfRule type="cellIs" dxfId="3016" priority="40657" stopIfTrue="1" operator="notEqual">
      <formula>10</formula>
    </cfRule>
  </conditionalFormatting>
  <conditionalFormatting sqref="J26">
    <cfRule type="cellIs" dxfId="3015" priority="40658" stopIfTrue="1" operator="notEqual">
      <formula>8</formula>
    </cfRule>
  </conditionalFormatting>
  <conditionalFormatting sqref="K26">
    <cfRule type="expression" dxfId="3014" priority="40659" stopIfTrue="1">
      <formula>NOT(ISBLANK($K$26))</formula>
    </cfRule>
  </conditionalFormatting>
  <conditionalFormatting sqref="L26">
    <cfRule type="expression" dxfId="3013" priority="40660" stopIfTrue="1">
      <formula>NOT(ISBLANK($L$26))</formula>
    </cfRule>
  </conditionalFormatting>
  <conditionalFormatting sqref="M26">
    <cfRule type="expression" dxfId="3012" priority="40661" stopIfTrue="1">
      <formula>NOT(ISBLANK($M$26))</formula>
    </cfRule>
  </conditionalFormatting>
  <conditionalFormatting sqref="N26">
    <cfRule type="cellIs" dxfId="3011" priority="40662" stopIfTrue="1" operator="notEqual">
      <formula>"additional phosphorous required"</formula>
    </cfRule>
  </conditionalFormatting>
  <conditionalFormatting sqref="O26">
    <cfRule type="expression" dxfId="3010" priority="40663" stopIfTrue="1">
      <formula>NOT(ISBLANK($O$26))</formula>
    </cfRule>
  </conditionalFormatting>
  <conditionalFormatting sqref="P26">
    <cfRule type="cellIs" dxfId="3009" priority="40664" stopIfTrue="1" operator="notEqual">
      <formula>1</formula>
    </cfRule>
  </conditionalFormatting>
  <conditionalFormatting sqref="Q26">
    <cfRule type="cellIs" dxfId="3008" priority="40665" stopIfTrue="1" operator="notEqual">
      <formula>12</formula>
    </cfRule>
  </conditionalFormatting>
  <conditionalFormatting sqref="R26">
    <cfRule type="cellIs" dxfId="3007" priority="40666" stopIfTrue="1" operator="notEqual">
      <formula>"yes"</formula>
    </cfRule>
  </conditionalFormatting>
  <conditionalFormatting sqref="S26">
    <cfRule type="expression" dxfId="3006" priority="40667" stopIfTrue="1">
      <formula>NOT(ISBLANK($S$26))</formula>
    </cfRule>
  </conditionalFormatting>
  <conditionalFormatting sqref="T26">
    <cfRule type="expression" dxfId="3005" priority="40668" stopIfTrue="1">
      <formula>NOT(ISBLANK($T$26))</formula>
    </cfRule>
  </conditionalFormatting>
  <conditionalFormatting sqref="U26">
    <cfRule type="expression" dxfId="3004" priority="40669" stopIfTrue="1">
      <formula>NOT(ISBLANK($U$26))</formula>
    </cfRule>
  </conditionalFormatting>
  <conditionalFormatting sqref="V26">
    <cfRule type="expression" dxfId="3003" priority="40670" stopIfTrue="1">
      <formula>NOT(ISBLANK($V$26))</formula>
    </cfRule>
  </conditionalFormatting>
  <conditionalFormatting sqref="W26">
    <cfRule type="expression" dxfId="3002" priority="40671" stopIfTrue="1">
      <formula>NOT(ISBLANK($W$26))</formula>
    </cfRule>
  </conditionalFormatting>
  <conditionalFormatting sqref="X26">
    <cfRule type="expression" dxfId="3001" priority="40672" stopIfTrue="1">
      <formula>NOT(ISBLANK($X$26))</formula>
    </cfRule>
  </conditionalFormatting>
  <conditionalFormatting sqref="Y26">
    <cfRule type="expression" dxfId="3000" priority="40673" stopIfTrue="1">
      <formula>NOT(ISBLANK($Y$26))</formula>
    </cfRule>
  </conditionalFormatting>
  <conditionalFormatting sqref="Z26">
    <cfRule type="expression" dxfId="2999" priority="40674" stopIfTrue="1">
      <formula>NOT(ISBLANK($Z$26))</formula>
    </cfRule>
  </conditionalFormatting>
  <conditionalFormatting sqref="AA26">
    <cfRule type="cellIs" dxfId="2998" priority="40675" stopIfTrue="1" operator="notEqual">
      <formula>"aeration"</formula>
    </cfRule>
  </conditionalFormatting>
  <conditionalFormatting sqref="AB26">
    <cfRule type="cellIs" dxfId="2997" priority="40676" stopIfTrue="1" operator="notEqual">
      <formula>"yes"</formula>
    </cfRule>
  </conditionalFormatting>
  <conditionalFormatting sqref="AC26">
    <cfRule type="cellIs" dxfId="2996" priority="40677" stopIfTrue="1" operator="notEqual">
      <formula>"pressure vessel"</formula>
    </cfRule>
  </conditionalFormatting>
  <conditionalFormatting sqref="AD26">
    <cfRule type="cellIs" dxfId="2995" priority="40678" stopIfTrue="1" operator="notEqual">
      <formula>"yes"</formula>
    </cfRule>
  </conditionalFormatting>
  <conditionalFormatting sqref="AE26">
    <cfRule type="expression" dxfId="2994" priority="40679" stopIfTrue="1">
      <formula>NOT(ISBLANK($AE$26))</formula>
    </cfRule>
  </conditionalFormatting>
  <conditionalFormatting sqref="AF26">
    <cfRule type="expression" dxfId="2993" priority="40680" stopIfTrue="1">
      <formula>NOT(ISBLANK($AF$26))</formula>
    </cfRule>
  </conditionalFormatting>
  <conditionalFormatting sqref="AG26">
    <cfRule type="expression" dxfId="2992" priority="40681" stopIfTrue="1">
      <formula>NOT(ISBLANK($AG$26))</formula>
    </cfRule>
  </conditionalFormatting>
  <conditionalFormatting sqref="AH26">
    <cfRule type="expression" dxfId="2991" priority="40682" stopIfTrue="1">
      <formula>NOT(ISBLANK($AH$26))</formula>
    </cfRule>
  </conditionalFormatting>
  <conditionalFormatting sqref="AI26">
    <cfRule type="cellIs" dxfId="2990" priority="40683" stopIfTrue="1" operator="notEqual">
      <formula>"yes"</formula>
    </cfRule>
  </conditionalFormatting>
  <conditionalFormatting sqref="AJ26">
    <cfRule type="cellIs" dxfId="2989" priority="40684" stopIfTrue="1" operator="notEqual">
      <formula>4.6</formula>
    </cfRule>
  </conditionalFormatting>
  <conditionalFormatting sqref="AK26">
    <cfRule type="cellIs" dxfId="2988" priority="40685" stopIfTrue="1" operator="notEqual">
      <formula>"upright"</formula>
    </cfRule>
  </conditionalFormatting>
  <conditionalFormatting sqref="AL26">
    <cfRule type="cellIs" dxfId="2987" priority="40686" stopIfTrue="1" operator="notEqual">
      <formula>8</formula>
    </cfRule>
  </conditionalFormatting>
  <conditionalFormatting sqref="AM26">
    <cfRule type="cellIs" dxfId="2986" priority="40687" stopIfTrue="1" operator="notEqual">
      <formula>4</formula>
    </cfRule>
  </conditionalFormatting>
  <conditionalFormatting sqref="AN26">
    <cfRule type="expression" dxfId="2985" priority="40688" stopIfTrue="1">
      <formula>NOT(ISBLANK($AN$26))</formula>
    </cfRule>
  </conditionalFormatting>
  <conditionalFormatting sqref="AO26">
    <cfRule type="cellIs" dxfId="2984" priority="40689" stopIfTrue="1" operator="notEqual">
      <formula>36</formula>
    </cfRule>
  </conditionalFormatting>
  <conditionalFormatting sqref="AP26">
    <cfRule type="cellIs" dxfId="2983" priority="40690" stopIfTrue="1" operator="notEqual">
      <formula>"yes"</formula>
    </cfRule>
  </conditionalFormatting>
  <conditionalFormatting sqref="AQ26">
    <cfRule type="cellIs" dxfId="2982" priority="40691" stopIfTrue="1" operator="notEqual">
      <formula>"recycle"</formula>
    </cfRule>
  </conditionalFormatting>
  <conditionalFormatting sqref="AR26">
    <cfRule type="cellIs" dxfId="2981" priority="40692" stopIfTrue="1" operator="notEqual">
      <formula>"holding tank"</formula>
    </cfRule>
  </conditionalFormatting>
  <conditionalFormatting sqref="AS26">
    <cfRule type="cellIs" dxfId="2980" priority="40693" stopIfTrue="1" operator="notEqual">
      <formula>"none"</formula>
    </cfRule>
  </conditionalFormatting>
  <conditionalFormatting sqref="AT26">
    <cfRule type="cellIs" dxfId="2979" priority="40694" stopIfTrue="1" operator="notEqual">
      <formula>"non-hazardous"</formula>
    </cfRule>
  </conditionalFormatting>
  <conditionalFormatting sqref="AU26">
    <cfRule type="expression" dxfId="2978" priority="40695" stopIfTrue="1">
      <formula>NOT(ISBLANK($AU$26))</formula>
    </cfRule>
  </conditionalFormatting>
  <conditionalFormatting sqref="AV26">
    <cfRule type="expression" dxfId="2977" priority="40696" stopIfTrue="1">
      <formula>NOT(ISBLANK($AV$26))</formula>
    </cfRule>
  </conditionalFormatting>
  <conditionalFormatting sqref="AW26">
    <cfRule type="expression" dxfId="2976" priority="40697" stopIfTrue="1">
      <formula>NOT(ISBLANK($AW$26))</formula>
    </cfRule>
  </conditionalFormatting>
  <conditionalFormatting sqref="AX26">
    <cfRule type="expression" dxfId="2975" priority="40698" stopIfTrue="1">
      <formula>NOT(ISBLANK($AX$26))</formula>
    </cfRule>
  </conditionalFormatting>
  <conditionalFormatting sqref="AY26">
    <cfRule type="expression" dxfId="2974" priority="40699" stopIfTrue="1">
      <formula>NOT(ISBLANK($AY$26))</formula>
    </cfRule>
  </conditionalFormatting>
  <conditionalFormatting sqref="AZ26">
    <cfRule type="cellIs" dxfId="2973" priority="40700" stopIfTrue="1" operator="notEqual">
      <formula>"fully automated"</formula>
    </cfRule>
  </conditionalFormatting>
  <conditionalFormatting sqref="BA26">
    <cfRule type="expression" dxfId="2972" priority="40701" stopIfTrue="1">
      <formula>NOT(ISBLANK($BA$26))</formula>
    </cfRule>
  </conditionalFormatting>
  <conditionalFormatting sqref="BB26">
    <cfRule type="expression" dxfId="2971" priority="40702" stopIfTrue="1">
      <formula>NOT(ISBLANK($BB$26))</formula>
    </cfRule>
  </conditionalFormatting>
  <conditionalFormatting sqref="BC26">
    <cfRule type="expression" dxfId="2970" priority="40703" stopIfTrue="1">
      <formula>NOT(ISBLANK($BC$26))</formula>
    </cfRule>
  </conditionalFormatting>
  <conditionalFormatting sqref="A27">
    <cfRule type="cellIs" dxfId="2969" priority="40704" stopIfTrue="1" operator="notEqual">
      <formula>1</formula>
    </cfRule>
  </conditionalFormatting>
  <conditionalFormatting sqref="B27">
    <cfRule type="cellIs" dxfId="2968" priority="40705" stopIfTrue="1" operator="notEqual">
      <formula>3</formula>
    </cfRule>
  </conditionalFormatting>
  <conditionalFormatting sqref="C27">
    <cfRule type="cellIs" dxfId="2967" priority="40706" stopIfTrue="1" operator="notEqual">
      <formula>3</formula>
    </cfRule>
  </conditionalFormatting>
  <conditionalFormatting sqref="D27">
    <cfRule type="cellIs" dxfId="2966" priority="40707" stopIfTrue="1" operator="notEqual">
      <formula>0.305</formula>
    </cfRule>
  </conditionalFormatting>
  <conditionalFormatting sqref="E27">
    <cfRule type="cellIs" dxfId="2965" priority="40708" stopIfTrue="1" operator="notEqual">
      <formula>"MGD"</formula>
    </cfRule>
  </conditionalFormatting>
  <conditionalFormatting sqref="F27">
    <cfRule type="cellIs" dxfId="2964" priority="40709" stopIfTrue="1" operator="notEqual">
      <formula>0.094</formula>
    </cfRule>
  </conditionalFormatting>
  <conditionalFormatting sqref="G27">
    <cfRule type="cellIs" dxfId="2963" priority="40710" stopIfTrue="1" operator="notEqual">
      <formula>"MGD"</formula>
    </cfRule>
  </conditionalFormatting>
  <conditionalFormatting sqref="H27">
    <cfRule type="cellIs" dxfId="2962" priority="40711" stopIfTrue="1" operator="notEqual">
      <formula>"acetic acid"</formula>
    </cfRule>
  </conditionalFormatting>
  <conditionalFormatting sqref="I27">
    <cfRule type="cellIs" dxfId="2961" priority="40712" stopIfTrue="1" operator="notEqual">
      <formula>10</formula>
    </cfRule>
  </conditionalFormatting>
  <conditionalFormatting sqref="J27">
    <cfRule type="cellIs" dxfId="2960" priority="40713" stopIfTrue="1" operator="notEqual">
      <formula>8</formula>
    </cfRule>
  </conditionalFormatting>
  <conditionalFormatting sqref="K27">
    <cfRule type="expression" dxfId="2959" priority="40714" stopIfTrue="1">
      <formula>NOT(ISBLANK($K$27))</formula>
    </cfRule>
  </conditionalFormatting>
  <conditionalFormatting sqref="L27">
    <cfRule type="expression" dxfId="2958" priority="40715" stopIfTrue="1">
      <formula>NOT(ISBLANK($L$27))</formula>
    </cfRule>
  </conditionalFormatting>
  <conditionalFormatting sqref="M27">
    <cfRule type="expression" dxfId="2957" priority="40716" stopIfTrue="1">
      <formula>NOT(ISBLANK($M$27))</formula>
    </cfRule>
  </conditionalFormatting>
  <conditionalFormatting sqref="N27">
    <cfRule type="cellIs" dxfId="2956" priority="40717" stopIfTrue="1" operator="notEqual">
      <formula>"additional phosphorous required"</formula>
    </cfRule>
  </conditionalFormatting>
  <conditionalFormatting sqref="O27">
    <cfRule type="expression" dxfId="2955" priority="40718" stopIfTrue="1">
      <formula>NOT(ISBLANK($O$27))</formula>
    </cfRule>
  </conditionalFormatting>
  <conditionalFormatting sqref="P27">
    <cfRule type="cellIs" dxfId="2954" priority="40719" stopIfTrue="1" operator="notEqual">
      <formula>1</formula>
    </cfRule>
  </conditionalFormatting>
  <conditionalFormatting sqref="Q27">
    <cfRule type="cellIs" dxfId="2953" priority="40720" stopIfTrue="1" operator="notEqual">
      <formula>12</formula>
    </cfRule>
  </conditionalFormatting>
  <conditionalFormatting sqref="R27">
    <cfRule type="cellIs" dxfId="2952" priority="40721" stopIfTrue="1" operator="notEqual">
      <formula>"yes"</formula>
    </cfRule>
  </conditionalFormatting>
  <conditionalFormatting sqref="S27">
    <cfRule type="expression" dxfId="2951" priority="40722" stopIfTrue="1">
      <formula>NOT(ISBLANK($S$27))</formula>
    </cfRule>
  </conditionalFormatting>
  <conditionalFormatting sqref="T27">
    <cfRule type="expression" dxfId="2950" priority="40723" stopIfTrue="1">
      <formula>NOT(ISBLANK($T$27))</formula>
    </cfRule>
  </conditionalFormatting>
  <conditionalFormatting sqref="U27">
    <cfRule type="expression" dxfId="2949" priority="40724" stopIfTrue="1">
      <formula>NOT(ISBLANK($U$27))</formula>
    </cfRule>
  </conditionalFormatting>
  <conditionalFormatting sqref="V27">
    <cfRule type="expression" dxfId="2948" priority="40725" stopIfTrue="1">
      <formula>NOT(ISBLANK($V$27))</formula>
    </cfRule>
  </conditionalFormatting>
  <conditionalFormatting sqref="W27">
    <cfRule type="expression" dxfId="2947" priority="40726" stopIfTrue="1">
      <formula>NOT(ISBLANK($W$27))</formula>
    </cfRule>
  </conditionalFormatting>
  <conditionalFormatting sqref="X27">
    <cfRule type="expression" dxfId="2946" priority="40727" stopIfTrue="1">
      <formula>NOT(ISBLANK($X$27))</formula>
    </cfRule>
  </conditionalFormatting>
  <conditionalFormatting sqref="Y27">
    <cfRule type="expression" dxfId="2945" priority="40728" stopIfTrue="1">
      <formula>NOT(ISBLANK($Y$27))</formula>
    </cfRule>
  </conditionalFormatting>
  <conditionalFormatting sqref="Z27">
    <cfRule type="expression" dxfId="2944" priority="40729" stopIfTrue="1">
      <formula>NOT(ISBLANK($Z$27))</formula>
    </cfRule>
  </conditionalFormatting>
  <conditionalFormatting sqref="AA27">
    <cfRule type="cellIs" dxfId="2943" priority="40730" stopIfTrue="1" operator="notEqual">
      <formula>"aeration"</formula>
    </cfRule>
  </conditionalFormatting>
  <conditionalFormatting sqref="AB27">
    <cfRule type="cellIs" dxfId="2942" priority="40731" stopIfTrue="1" operator="notEqual">
      <formula>"yes"</formula>
    </cfRule>
  </conditionalFormatting>
  <conditionalFormatting sqref="AC27">
    <cfRule type="cellIs" dxfId="2941" priority="40732" stopIfTrue="1" operator="notEqual">
      <formula>"pressure vessel"</formula>
    </cfRule>
  </conditionalFormatting>
  <conditionalFormatting sqref="AD27">
    <cfRule type="cellIs" dxfId="2940" priority="40733" stopIfTrue="1" operator="notEqual">
      <formula>"yes"</formula>
    </cfRule>
  </conditionalFormatting>
  <conditionalFormatting sqref="AE27">
    <cfRule type="expression" dxfId="2939" priority="40734" stopIfTrue="1">
      <formula>NOT(ISBLANK($AE$27))</formula>
    </cfRule>
  </conditionalFormatting>
  <conditionalFormatting sqref="AF27">
    <cfRule type="expression" dxfId="2938" priority="40735" stopIfTrue="1">
      <formula>NOT(ISBLANK($AF$27))</formula>
    </cfRule>
  </conditionalFormatting>
  <conditionalFormatting sqref="AG27">
    <cfRule type="expression" dxfId="2937" priority="40736" stopIfTrue="1">
      <formula>NOT(ISBLANK($AG$27))</formula>
    </cfRule>
  </conditionalFormatting>
  <conditionalFormatting sqref="AH27">
    <cfRule type="expression" dxfId="2936" priority="40737" stopIfTrue="1">
      <formula>NOT(ISBLANK($AH$27))</formula>
    </cfRule>
  </conditionalFormatting>
  <conditionalFormatting sqref="AI27">
    <cfRule type="cellIs" dxfId="2935" priority="40738" stopIfTrue="1" operator="notEqual">
      <formula>"yes"</formula>
    </cfRule>
  </conditionalFormatting>
  <conditionalFormatting sqref="AJ27">
    <cfRule type="cellIs" dxfId="2934" priority="40739" stopIfTrue="1" operator="notEqual">
      <formula>4.3</formula>
    </cfRule>
  </conditionalFormatting>
  <conditionalFormatting sqref="AK27">
    <cfRule type="cellIs" dxfId="2933" priority="40740" stopIfTrue="1" operator="notEqual">
      <formula>"upright"</formula>
    </cfRule>
  </conditionalFormatting>
  <conditionalFormatting sqref="AL27">
    <cfRule type="cellIs" dxfId="2932" priority="40741" stopIfTrue="1" operator="notEqual">
      <formula>7.5</formula>
    </cfRule>
  </conditionalFormatting>
  <conditionalFormatting sqref="AM27">
    <cfRule type="cellIs" dxfId="2931" priority="40742" stopIfTrue="1" operator="notEqual">
      <formula>6.5</formula>
    </cfRule>
  </conditionalFormatting>
  <conditionalFormatting sqref="AN27">
    <cfRule type="expression" dxfId="2930" priority="40743" stopIfTrue="1">
      <formula>NOT(ISBLANK($AN$27))</formula>
    </cfRule>
  </conditionalFormatting>
  <conditionalFormatting sqref="AO27">
    <cfRule type="cellIs" dxfId="2929" priority="40744" stopIfTrue="1" operator="notEqual">
      <formula>36</formula>
    </cfRule>
  </conditionalFormatting>
  <conditionalFormatting sqref="AP27">
    <cfRule type="cellIs" dxfId="2928" priority="40745" stopIfTrue="1" operator="notEqual">
      <formula>"yes"</formula>
    </cfRule>
  </conditionalFormatting>
  <conditionalFormatting sqref="AQ27">
    <cfRule type="cellIs" dxfId="2927" priority="40746" stopIfTrue="1" operator="notEqual">
      <formula>"recycle"</formula>
    </cfRule>
  </conditionalFormatting>
  <conditionalFormatting sqref="AR27">
    <cfRule type="cellIs" dxfId="2926" priority="40747" stopIfTrue="1" operator="notEqual">
      <formula>"holding tank"</formula>
    </cfRule>
  </conditionalFormatting>
  <conditionalFormatting sqref="AS27">
    <cfRule type="cellIs" dxfId="2925" priority="40748" stopIfTrue="1" operator="notEqual">
      <formula>"none"</formula>
    </cfRule>
  </conditionalFormatting>
  <conditionalFormatting sqref="AT27">
    <cfRule type="cellIs" dxfId="2924" priority="40749" stopIfTrue="1" operator="notEqual">
      <formula>"non-hazardous"</formula>
    </cfRule>
  </conditionalFormatting>
  <conditionalFormatting sqref="AU27">
    <cfRule type="expression" dxfId="2923" priority="40750" stopIfTrue="1">
      <formula>NOT(ISBLANK($AU$27))</formula>
    </cfRule>
  </conditionalFormatting>
  <conditionalFormatting sqref="AV27">
    <cfRule type="expression" dxfId="2922" priority="40751" stopIfTrue="1">
      <formula>NOT(ISBLANK($AV$27))</formula>
    </cfRule>
  </conditionalFormatting>
  <conditionalFormatting sqref="AW27">
    <cfRule type="expression" dxfId="2921" priority="40752" stopIfTrue="1">
      <formula>NOT(ISBLANK($AW$27))</formula>
    </cfRule>
  </conditionalFormatting>
  <conditionalFormatting sqref="AX27">
    <cfRule type="expression" dxfId="2920" priority="40753" stopIfTrue="1">
      <formula>NOT(ISBLANK($AX$27))</formula>
    </cfRule>
  </conditionalFormatting>
  <conditionalFormatting sqref="AY27">
    <cfRule type="expression" dxfId="2919" priority="40754" stopIfTrue="1">
      <formula>NOT(ISBLANK($AY$27))</formula>
    </cfRule>
  </conditionalFormatting>
  <conditionalFormatting sqref="AZ27">
    <cfRule type="cellIs" dxfId="2918" priority="40755" stopIfTrue="1" operator="notEqual">
      <formula>"fully automated"</formula>
    </cfRule>
  </conditionalFormatting>
  <conditionalFormatting sqref="BA27">
    <cfRule type="expression" dxfId="2917" priority="40756" stopIfTrue="1">
      <formula>NOT(ISBLANK($BA$27))</formula>
    </cfRule>
  </conditionalFormatting>
  <conditionalFormatting sqref="BB27">
    <cfRule type="expression" dxfId="2916" priority="40757" stopIfTrue="1">
      <formula>NOT(ISBLANK($BB$27))</formula>
    </cfRule>
  </conditionalFormatting>
  <conditionalFormatting sqref="BC27">
    <cfRule type="expression" dxfId="2915" priority="40758" stopIfTrue="1">
      <formula>NOT(ISBLANK($BC$27))</formula>
    </cfRule>
  </conditionalFormatting>
  <conditionalFormatting sqref="A28">
    <cfRule type="cellIs" dxfId="2914" priority="40759" stopIfTrue="1" operator="notEqual">
      <formula>1</formula>
    </cfRule>
  </conditionalFormatting>
  <conditionalFormatting sqref="B28">
    <cfRule type="cellIs" dxfId="2913" priority="40760" stopIfTrue="1" operator="notEqual">
      <formula>3</formula>
    </cfRule>
  </conditionalFormatting>
  <conditionalFormatting sqref="C28">
    <cfRule type="cellIs" dxfId="2912" priority="40761" stopIfTrue="1" operator="notEqual">
      <formula>4</formula>
    </cfRule>
  </conditionalFormatting>
  <conditionalFormatting sqref="D28">
    <cfRule type="cellIs" dxfId="2911" priority="40762" stopIfTrue="1" operator="notEqual">
      <formula>0.74</formula>
    </cfRule>
  </conditionalFormatting>
  <conditionalFormatting sqref="E28">
    <cfRule type="cellIs" dxfId="2910" priority="40763" stopIfTrue="1" operator="notEqual">
      <formula>"MGD"</formula>
    </cfRule>
  </conditionalFormatting>
  <conditionalFormatting sqref="F28">
    <cfRule type="cellIs" dxfId="2909" priority="40764" stopIfTrue="1" operator="notEqual">
      <formula>0.251</formula>
    </cfRule>
  </conditionalFormatting>
  <conditionalFormatting sqref="G28">
    <cfRule type="cellIs" dxfId="2908" priority="40765" stopIfTrue="1" operator="notEqual">
      <formula>"MGD"</formula>
    </cfRule>
  </conditionalFormatting>
  <conditionalFormatting sqref="H28">
    <cfRule type="cellIs" dxfId="2907" priority="40766" stopIfTrue="1" operator="notEqual">
      <formula>"acetic acid"</formula>
    </cfRule>
  </conditionalFormatting>
  <conditionalFormatting sqref="I28">
    <cfRule type="cellIs" dxfId="2906" priority="40767" stopIfTrue="1" operator="notEqual">
      <formula>10</formula>
    </cfRule>
  </conditionalFormatting>
  <conditionalFormatting sqref="J28">
    <cfRule type="cellIs" dxfId="2905" priority="40768" stopIfTrue="1" operator="notEqual">
      <formula>8</formula>
    </cfRule>
  </conditionalFormatting>
  <conditionalFormatting sqref="K28">
    <cfRule type="expression" dxfId="2904" priority="40769" stopIfTrue="1">
      <formula>NOT(ISBLANK($K$28))</formula>
    </cfRule>
  </conditionalFormatting>
  <conditionalFormatting sqref="L28">
    <cfRule type="expression" dxfId="2903" priority="40770" stopIfTrue="1">
      <formula>NOT(ISBLANK($L$28))</formula>
    </cfRule>
  </conditionalFormatting>
  <conditionalFormatting sqref="M28">
    <cfRule type="expression" dxfId="2902" priority="40771" stopIfTrue="1">
      <formula>NOT(ISBLANK($M$28))</formula>
    </cfRule>
  </conditionalFormatting>
  <conditionalFormatting sqref="N28">
    <cfRule type="cellIs" dxfId="2901" priority="40772" stopIfTrue="1" operator="notEqual">
      <formula>"additional phosphorous required"</formula>
    </cfRule>
  </conditionalFormatting>
  <conditionalFormatting sqref="O28">
    <cfRule type="expression" dxfId="2900" priority="40773" stopIfTrue="1">
      <formula>NOT(ISBLANK($O$28))</formula>
    </cfRule>
  </conditionalFormatting>
  <conditionalFormatting sqref="P28">
    <cfRule type="cellIs" dxfId="2899" priority="40774" stopIfTrue="1" operator="notEqual">
      <formula>1</formula>
    </cfRule>
  </conditionalFormatting>
  <conditionalFormatting sqref="Q28">
    <cfRule type="cellIs" dxfId="2898" priority="40775" stopIfTrue="1" operator="notEqual">
      <formula>12</formula>
    </cfRule>
  </conditionalFormatting>
  <conditionalFormatting sqref="R28">
    <cfRule type="cellIs" dxfId="2897" priority="40776" stopIfTrue="1" operator="notEqual">
      <formula>"yes"</formula>
    </cfRule>
  </conditionalFormatting>
  <conditionalFormatting sqref="S28">
    <cfRule type="expression" dxfId="2896" priority="40777" stopIfTrue="1">
      <formula>NOT(ISBLANK($S$28))</formula>
    </cfRule>
  </conditionalFormatting>
  <conditionalFormatting sqref="T28">
    <cfRule type="expression" dxfId="2895" priority="40778" stopIfTrue="1">
      <formula>NOT(ISBLANK($T$28))</formula>
    </cfRule>
  </conditionalFormatting>
  <conditionalFormatting sqref="U28">
    <cfRule type="expression" dxfId="2894" priority="40779" stopIfTrue="1">
      <formula>NOT(ISBLANK($U$28))</formula>
    </cfRule>
  </conditionalFormatting>
  <conditionalFormatting sqref="V28">
    <cfRule type="expression" dxfId="2893" priority="40780" stopIfTrue="1">
      <formula>NOT(ISBLANK($V$28))</formula>
    </cfRule>
  </conditionalFormatting>
  <conditionalFormatting sqref="W28">
    <cfRule type="expression" dxfId="2892" priority="40781" stopIfTrue="1">
      <formula>NOT(ISBLANK($W$28))</formula>
    </cfRule>
  </conditionalFormatting>
  <conditionalFormatting sqref="X28">
    <cfRule type="expression" dxfId="2891" priority="40782" stopIfTrue="1">
      <formula>NOT(ISBLANK($X$28))</formula>
    </cfRule>
  </conditionalFormatting>
  <conditionalFormatting sqref="Y28">
    <cfRule type="expression" dxfId="2890" priority="40783" stopIfTrue="1">
      <formula>NOT(ISBLANK($Y$28))</formula>
    </cfRule>
  </conditionalFormatting>
  <conditionalFormatting sqref="Z28">
    <cfRule type="expression" dxfId="2889" priority="40784" stopIfTrue="1">
      <formula>NOT(ISBLANK($Z$28))</formula>
    </cfRule>
  </conditionalFormatting>
  <conditionalFormatting sqref="AA28">
    <cfRule type="cellIs" dxfId="2888" priority="40785" stopIfTrue="1" operator="notEqual">
      <formula>"aeration"</formula>
    </cfRule>
  </conditionalFormatting>
  <conditionalFormatting sqref="AB28">
    <cfRule type="cellIs" dxfId="2887" priority="40786" stopIfTrue="1" operator="notEqual">
      <formula>"yes"</formula>
    </cfRule>
  </conditionalFormatting>
  <conditionalFormatting sqref="AC28">
    <cfRule type="cellIs" dxfId="2886" priority="40787" stopIfTrue="1" operator="notEqual">
      <formula>"pressure vessel"</formula>
    </cfRule>
  </conditionalFormatting>
  <conditionalFormatting sqref="AD28">
    <cfRule type="cellIs" dxfId="2885" priority="40788" stopIfTrue="1" operator="notEqual">
      <formula>"yes"</formula>
    </cfRule>
  </conditionalFormatting>
  <conditionalFormatting sqref="AE28">
    <cfRule type="expression" dxfId="2884" priority="40789" stopIfTrue="1">
      <formula>NOT(ISBLANK($AE$28))</formula>
    </cfRule>
  </conditionalFormatting>
  <conditionalFormatting sqref="AF28">
    <cfRule type="expression" dxfId="2883" priority="40790" stopIfTrue="1">
      <formula>NOT(ISBLANK($AF$28))</formula>
    </cfRule>
  </conditionalFormatting>
  <conditionalFormatting sqref="AG28">
    <cfRule type="expression" dxfId="2882" priority="40791" stopIfTrue="1">
      <formula>NOT(ISBLANK($AG$28))</formula>
    </cfRule>
  </conditionalFormatting>
  <conditionalFormatting sqref="AH28">
    <cfRule type="expression" dxfId="2881" priority="40792" stopIfTrue="1">
      <formula>NOT(ISBLANK($AH$28))</formula>
    </cfRule>
  </conditionalFormatting>
  <conditionalFormatting sqref="AI28">
    <cfRule type="cellIs" dxfId="2880" priority="40793" stopIfTrue="1" operator="notEqual">
      <formula>"yes"</formula>
    </cfRule>
  </conditionalFormatting>
  <conditionalFormatting sqref="AJ28">
    <cfRule type="cellIs" dxfId="2879" priority="40794" stopIfTrue="1" operator="notEqual">
      <formula>4.9</formula>
    </cfRule>
  </conditionalFormatting>
  <conditionalFormatting sqref="AK28">
    <cfRule type="cellIs" dxfId="2878" priority="40795" stopIfTrue="1" operator="notEqual">
      <formula>"upright"</formula>
    </cfRule>
  </conditionalFormatting>
  <conditionalFormatting sqref="AL28">
    <cfRule type="cellIs" dxfId="2877" priority="40796" stopIfTrue="1" operator="notEqual">
      <formula>8.5</formula>
    </cfRule>
  </conditionalFormatting>
  <conditionalFormatting sqref="AM28">
    <cfRule type="cellIs" dxfId="2876" priority="40797" stopIfTrue="1" operator="notEqual">
      <formula>9.5</formula>
    </cfRule>
  </conditionalFormatting>
  <conditionalFormatting sqref="AN28">
    <cfRule type="expression" dxfId="2875" priority="40798" stopIfTrue="1">
      <formula>NOT(ISBLANK($AN$28))</formula>
    </cfRule>
  </conditionalFormatting>
  <conditionalFormatting sqref="AO28">
    <cfRule type="cellIs" dxfId="2874" priority="40799" stopIfTrue="1" operator="notEqual">
      <formula>36</formula>
    </cfRule>
  </conditionalFormatting>
  <conditionalFormatting sqref="AP28">
    <cfRule type="cellIs" dxfId="2873" priority="40800" stopIfTrue="1" operator="notEqual">
      <formula>"yes"</formula>
    </cfRule>
  </conditionalFormatting>
  <conditionalFormatting sqref="AQ28">
    <cfRule type="cellIs" dxfId="2872" priority="40801" stopIfTrue="1" operator="notEqual">
      <formula>"recycle"</formula>
    </cfRule>
  </conditionalFormatting>
  <conditionalFormatting sqref="AR28">
    <cfRule type="cellIs" dxfId="2871" priority="40802" stopIfTrue="1" operator="notEqual">
      <formula>"holding tank"</formula>
    </cfRule>
  </conditionalFormatting>
  <conditionalFormatting sqref="AS28">
    <cfRule type="cellIs" dxfId="2870" priority="40803" stopIfTrue="1" operator="notEqual">
      <formula>"none"</formula>
    </cfRule>
  </conditionalFormatting>
  <conditionalFormatting sqref="AT28">
    <cfRule type="cellIs" dxfId="2869" priority="40804" stopIfTrue="1" operator="notEqual">
      <formula>"non-hazardous"</formula>
    </cfRule>
  </conditionalFormatting>
  <conditionalFormatting sqref="AU28">
    <cfRule type="expression" dxfId="2868" priority="40805" stopIfTrue="1">
      <formula>NOT(ISBLANK($AU$28))</formula>
    </cfRule>
  </conditionalFormatting>
  <conditionalFormatting sqref="AV28">
    <cfRule type="expression" dxfId="2867" priority="40806" stopIfTrue="1">
      <formula>NOT(ISBLANK($AV$28))</formula>
    </cfRule>
  </conditionalFormatting>
  <conditionalFormatting sqref="AW28">
    <cfRule type="expression" dxfId="2866" priority="40807" stopIfTrue="1">
      <formula>NOT(ISBLANK($AW$28))</formula>
    </cfRule>
  </conditionalFormatting>
  <conditionalFormatting sqref="AX28">
    <cfRule type="expression" dxfId="2865" priority="40808" stopIfTrue="1">
      <formula>NOT(ISBLANK($AX$28))</formula>
    </cfRule>
  </conditionalFormatting>
  <conditionalFormatting sqref="AY28">
    <cfRule type="expression" dxfId="2864" priority="40809" stopIfTrue="1">
      <formula>NOT(ISBLANK($AY$28))</formula>
    </cfRule>
  </conditionalFormatting>
  <conditionalFormatting sqref="AZ28">
    <cfRule type="cellIs" dxfId="2863" priority="40810" stopIfTrue="1" operator="notEqual">
      <formula>"fully automated"</formula>
    </cfRule>
  </conditionalFormatting>
  <conditionalFormatting sqref="BA28">
    <cfRule type="expression" dxfId="2862" priority="40811" stopIfTrue="1">
      <formula>NOT(ISBLANK($BA$28))</formula>
    </cfRule>
  </conditionalFormatting>
  <conditionalFormatting sqref="BB28">
    <cfRule type="expression" dxfId="2861" priority="40812" stopIfTrue="1">
      <formula>NOT(ISBLANK($BB$28))</formula>
    </cfRule>
  </conditionalFormatting>
  <conditionalFormatting sqref="BC28">
    <cfRule type="expression" dxfId="2860" priority="40813" stopIfTrue="1">
      <formula>NOT(ISBLANK($BC$28))</formula>
    </cfRule>
  </conditionalFormatting>
  <conditionalFormatting sqref="A29">
    <cfRule type="cellIs" dxfId="2859" priority="40814" stopIfTrue="1" operator="notEqual">
      <formula>1</formula>
    </cfRule>
  </conditionalFormatting>
  <conditionalFormatting sqref="B29">
    <cfRule type="cellIs" dxfId="2858" priority="40815" stopIfTrue="1" operator="notEqual">
      <formula>3</formula>
    </cfRule>
  </conditionalFormatting>
  <conditionalFormatting sqref="C29">
    <cfRule type="cellIs" dxfId="2857" priority="40816" stopIfTrue="1" operator="notEqual">
      <formula>5</formula>
    </cfRule>
  </conditionalFormatting>
  <conditionalFormatting sqref="D29">
    <cfRule type="cellIs" dxfId="2856" priority="40817" stopIfTrue="1" operator="notEqual">
      <formula>2.152</formula>
    </cfRule>
  </conditionalFormatting>
  <conditionalFormatting sqref="E29">
    <cfRule type="cellIs" dxfId="2855" priority="40818" stopIfTrue="1" operator="notEqual">
      <formula>"MGD"</formula>
    </cfRule>
  </conditionalFormatting>
  <conditionalFormatting sqref="F29">
    <cfRule type="cellIs" dxfId="2854" priority="40819" stopIfTrue="1" operator="notEqual">
      <formula>0.819</formula>
    </cfRule>
  </conditionalFormatting>
  <conditionalFormatting sqref="G29">
    <cfRule type="cellIs" dxfId="2853" priority="40820" stopIfTrue="1" operator="notEqual">
      <formula>"MGD"</formula>
    </cfRule>
  </conditionalFormatting>
  <conditionalFormatting sqref="H29">
    <cfRule type="cellIs" dxfId="2852" priority="40821" stopIfTrue="1" operator="notEqual">
      <formula>"acetic acid"</formula>
    </cfRule>
  </conditionalFormatting>
  <conditionalFormatting sqref="I29">
    <cfRule type="cellIs" dxfId="2851" priority="40822" stopIfTrue="1" operator="notEqual">
      <formula>10</formula>
    </cfRule>
  </conditionalFormatting>
  <conditionalFormatting sqref="J29">
    <cfRule type="cellIs" dxfId="2850" priority="40823" stopIfTrue="1" operator="notEqual">
      <formula>8</formula>
    </cfRule>
  </conditionalFormatting>
  <conditionalFormatting sqref="K29">
    <cfRule type="expression" dxfId="2849" priority="40824" stopIfTrue="1">
      <formula>NOT(ISBLANK($K$29))</formula>
    </cfRule>
  </conditionalFormatting>
  <conditionalFormatting sqref="L29">
    <cfRule type="expression" dxfId="2848" priority="40825" stopIfTrue="1">
      <formula>NOT(ISBLANK($L$29))</formula>
    </cfRule>
  </conditionalFormatting>
  <conditionalFormatting sqref="M29">
    <cfRule type="expression" dxfId="2847" priority="40826" stopIfTrue="1">
      <formula>NOT(ISBLANK($M$29))</formula>
    </cfRule>
  </conditionalFormatting>
  <conditionalFormatting sqref="N29">
    <cfRule type="cellIs" dxfId="2846" priority="40827" stopIfTrue="1" operator="notEqual">
      <formula>"additional phosphorous required"</formula>
    </cfRule>
  </conditionalFormatting>
  <conditionalFormatting sqref="O29">
    <cfRule type="expression" dxfId="2845" priority="40828" stopIfTrue="1">
      <formula>NOT(ISBLANK($O$29))</formula>
    </cfRule>
  </conditionalFormatting>
  <conditionalFormatting sqref="P29">
    <cfRule type="cellIs" dxfId="2844" priority="40829" stopIfTrue="1" operator="notEqual">
      <formula>1</formula>
    </cfRule>
  </conditionalFormatting>
  <conditionalFormatting sqref="Q29">
    <cfRule type="cellIs" dxfId="2843" priority="40830" stopIfTrue="1" operator="notEqual">
      <formula>12</formula>
    </cfRule>
  </conditionalFormatting>
  <conditionalFormatting sqref="R29">
    <cfRule type="cellIs" dxfId="2842" priority="40831" stopIfTrue="1" operator="notEqual">
      <formula>"yes"</formula>
    </cfRule>
  </conditionalFormatting>
  <conditionalFormatting sqref="S29">
    <cfRule type="expression" dxfId="2841" priority="40832" stopIfTrue="1">
      <formula>NOT(ISBLANK($S$29))</formula>
    </cfRule>
  </conditionalFormatting>
  <conditionalFormatting sqref="T29">
    <cfRule type="expression" dxfId="2840" priority="40833" stopIfTrue="1">
      <formula>NOT(ISBLANK($T$29))</formula>
    </cfRule>
  </conditionalFormatting>
  <conditionalFormatting sqref="U29">
    <cfRule type="expression" dxfId="2839" priority="40834" stopIfTrue="1">
      <formula>NOT(ISBLANK($U$29))</formula>
    </cfRule>
  </conditionalFormatting>
  <conditionalFormatting sqref="V29">
    <cfRule type="expression" dxfId="2838" priority="40835" stopIfTrue="1">
      <formula>NOT(ISBLANK($V$29))</formula>
    </cfRule>
  </conditionalFormatting>
  <conditionalFormatting sqref="W29">
    <cfRule type="expression" dxfId="2837" priority="40836" stopIfTrue="1">
      <formula>NOT(ISBLANK($W$29))</formula>
    </cfRule>
  </conditionalFormatting>
  <conditionalFormatting sqref="X29">
    <cfRule type="expression" dxfId="2836" priority="40837" stopIfTrue="1">
      <formula>NOT(ISBLANK($X$29))</formula>
    </cfRule>
  </conditionalFormatting>
  <conditionalFormatting sqref="Y29">
    <cfRule type="expression" dxfId="2835" priority="40838" stopIfTrue="1">
      <formula>NOT(ISBLANK($Y$29))</formula>
    </cfRule>
  </conditionalFormatting>
  <conditionalFormatting sqref="Z29">
    <cfRule type="expression" dxfId="2834" priority="40839" stopIfTrue="1">
      <formula>NOT(ISBLANK($Z$29))</formula>
    </cfRule>
  </conditionalFormatting>
  <conditionalFormatting sqref="AA29">
    <cfRule type="cellIs" dxfId="2833" priority="40840" stopIfTrue="1" operator="notEqual">
      <formula>"aeration"</formula>
    </cfRule>
  </conditionalFormatting>
  <conditionalFormatting sqref="AB29">
    <cfRule type="cellIs" dxfId="2832" priority="40841" stopIfTrue="1" operator="notEqual">
      <formula>"yes"</formula>
    </cfRule>
  </conditionalFormatting>
  <conditionalFormatting sqref="AC29">
    <cfRule type="cellIs" dxfId="2831" priority="40842" stopIfTrue="1" operator="notEqual">
      <formula>"gravity basin"</formula>
    </cfRule>
  </conditionalFormatting>
  <conditionalFormatting sqref="AD29">
    <cfRule type="cellIs" dxfId="2830" priority="40843" stopIfTrue="1" operator="notEqual">
      <formula>"yes"</formula>
    </cfRule>
  </conditionalFormatting>
  <conditionalFormatting sqref="AE29">
    <cfRule type="cellIs" dxfId="2829" priority="40844" stopIfTrue="1" operator="notEqual">
      <formula>"yes"</formula>
    </cfRule>
  </conditionalFormatting>
  <conditionalFormatting sqref="AF29">
    <cfRule type="cellIs" dxfId="2828" priority="40845" stopIfTrue="1" operator="notEqual">
      <formula>8.5</formula>
    </cfRule>
  </conditionalFormatting>
  <conditionalFormatting sqref="AG29">
    <cfRule type="cellIs" dxfId="2827" priority="40846" stopIfTrue="1" operator="notEqual">
      <formula>8.5</formula>
    </cfRule>
  </conditionalFormatting>
  <conditionalFormatting sqref="AH29">
    <cfRule type="cellIs" dxfId="2826" priority="40847" stopIfTrue="1" operator="notEqual">
      <formula>7</formula>
    </cfRule>
  </conditionalFormatting>
  <conditionalFormatting sqref="AI29">
    <cfRule type="expression" dxfId="2825" priority="40848" stopIfTrue="1">
      <formula>NOT(ISBLANK($AI$29))</formula>
    </cfRule>
  </conditionalFormatting>
  <conditionalFormatting sqref="AJ29">
    <cfRule type="expression" dxfId="2824" priority="40849" stopIfTrue="1">
      <formula>NOT(ISBLANK($AJ$29))</formula>
    </cfRule>
  </conditionalFormatting>
  <conditionalFormatting sqref="AK29">
    <cfRule type="expression" dxfId="2823" priority="40850" stopIfTrue="1">
      <formula>NOT(ISBLANK($AK$29))</formula>
    </cfRule>
  </conditionalFormatting>
  <conditionalFormatting sqref="AL29">
    <cfRule type="expression" dxfId="2822" priority="40851" stopIfTrue="1">
      <formula>NOT(ISBLANK($AL$29))</formula>
    </cfRule>
  </conditionalFormatting>
  <conditionalFormatting sqref="AM29">
    <cfRule type="expression" dxfId="2821" priority="40852" stopIfTrue="1">
      <formula>NOT(ISBLANK($AM$29))</formula>
    </cfRule>
  </conditionalFormatting>
  <conditionalFormatting sqref="AN29">
    <cfRule type="expression" dxfId="2820" priority="40853" stopIfTrue="1">
      <formula>NOT(ISBLANK($AN$29))</formula>
    </cfRule>
  </conditionalFormatting>
  <conditionalFormatting sqref="AO29">
    <cfRule type="cellIs" dxfId="2819" priority="40854" stopIfTrue="1" operator="notEqual">
      <formula>36</formula>
    </cfRule>
  </conditionalFormatting>
  <conditionalFormatting sqref="AP29">
    <cfRule type="cellIs" dxfId="2818" priority="40855" stopIfTrue="1" operator="notEqual">
      <formula>"yes"</formula>
    </cfRule>
  </conditionalFormatting>
  <conditionalFormatting sqref="AQ29">
    <cfRule type="cellIs" dxfId="2817" priority="40856" stopIfTrue="1" operator="notEqual">
      <formula>"recycle"</formula>
    </cfRule>
  </conditionalFormatting>
  <conditionalFormatting sqref="AR29">
    <cfRule type="cellIs" dxfId="2816" priority="40857" stopIfTrue="1" operator="notEqual">
      <formula>"holding tank"</formula>
    </cfRule>
  </conditionalFormatting>
  <conditionalFormatting sqref="AS29">
    <cfRule type="cellIs" dxfId="2815" priority="40858" stopIfTrue="1" operator="notEqual">
      <formula>"none"</formula>
    </cfRule>
  </conditionalFormatting>
  <conditionalFormatting sqref="AT29">
    <cfRule type="cellIs" dxfId="2814" priority="40859" stopIfTrue="1" operator="notEqual">
      <formula>"non-hazardous"</formula>
    </cfRule>
  </conditionalFormatting>
  <conditionalFormatting sqref="AU29">
    <cfRule type="expression" dxfId="2813" priority="40860" stopIfTrue="1">
      <formula>NOT(ISBLANK($AU$29))</formula>
    </cfRule>
  </conditionalFormatting>
  <conditionalFormatting sqref="AV29">
    <cfRule type="expression" dxfId="2812" priority="40861" stopIfTrue="1">
      <formula>NOT(ISBLANK($AV$29))</formula>
    </cfRule>
  </conditionalFormatting>
  <conditionalFormatting sqref="AW29">
    <cfRule type="expression" dxfId="2811" priority="40862" stopIfTrue="1">
      <formula>NOT(ISBLANK($AW$29))</formula>
    </cfRule>
  </conditionalFormatting>
  <conditionalFormatting sqref="AX29">
    <cfRule type="expression" dxfId="2810" priority="40863" stopIfTrue="1">
      <formula>NOT(ISBLANK($AX$29))</formula>
    </cfRule>
  </conditionalFormatting>
  <conditionalFormatting sqref="AY29">
    <cfRule type="expression" dxfId="2809" priority="40864" stopIfTrue="1">
      <formula>NOT(ISBLANK($AY$29))</formula>
    </cfRule>
  </conditionalFormatting>
  <conditionalFormatting sqref="AZ29">
    <cfRule type="cellIs" dxfId="2808" priority="40865" stopIfTrue="1" operator="notEqual">
      <formula>"fully automated"</formula>
    </cfRule>
  </conditionalFormatting>
  <conditionalFormatting sqref="BA29">
    <cfRule type="expression" dxfId="2807" priority="40866" stopIfTrue="1">
      <formula>NOT(ISBLANK($BA$29))</formula>
    </cfRule>
  </conditionalFormatting>
  <conditionalFormatting sqref="BB29">
    <cfRule type="expression" dxfId="2806" priority="40867" stopIfTrue="1">
      <formula>NOT(ISBLANK($BB$29))</formula>
    </cfRule>
  </conditionalFormatting>
  <conditionalFormatting sqref="BC29">
    <cfRule type="expression" dxfId="2805" priority="40868" stopIfTrue="1">
      <formula>NOT(ISBLANK($BC$29))</formula>
    </cfRule>
  </conditionalFormatting>
  <conditionalFormatting sqref="A30">
    <cfRule type="cellIs" dxfId="2804" priority="40869" stopIfTrue="1" operator="notEqual">
      <formula>1</formula>
    </cfRule>
  </conditionalFormatting>
  <conditionalFormatting sqref="B30">
    <cfRule type="cellIs" dxfId="2803" priority="40870" stopIfTrue="1" operator="notEqual">
      <formula>3</formula>
    </cfRule>
  </conditionalFormatting>
  <conditionalFormatting sqref="C30">
    <cfRule type="cellIs" dxfId="2802" priority="40871" stopIfTrue="1" operator="notEqual">
      <formula>6</formula>
    </cfRule>
  </conditionalFormatting>
  <conditionalFormatting sqref="D30">
    <cfRule type="cellIs" dxfId="2801" priority="40872" stopIfTrue="1" operator="notEqual">
      <formula>7.365</formula>
    </cfRule>
  </conditionalFormatting>
  <conditionalFormatting sqref="E30">
    <cfRule type="cellIs" dxfId="2800" priority="40873" stopIfTrue="1" operator="notEqual">
      <formula>"MGD"</formula>
    </cfRule>
  </conditionalFormatting>
  <conditionalFormatting sqref="F30">
    <cfRule type="cellIs" dxfId="2799" priority="40874" stopIfTrue="1" operator="notEqual">
      <formula>3.2</formula>
    </cfRule>
  </conditionalFormatting>
  <conditionalFormatting sqref="G30">
    <cfRule type="cellIs" dxfId="2798" priority="40875" stopIfTrue="1" operator="notEqual">
      <formula>"MGD"</formula>
    </cfRule>
  </conditionalFormatting>
  <conditionalFormatting sqref="H30">
    <cfRule type="cellIs" dxfId="2797" priority="40876" stopIfTrue="1" operator="notEqual">
      <formula>"acetic acid"</formula>
    </cfRule>
  </conditionalFormatting>
  <conditionalFormatting sqref="I30">
    <cfRule type="cellIs" dxfId="2796" priority="40877" stopIfTrue="1" operator="notEqual">
      <formula>10</formula>
    </cfRule>
  </conditionalFormatting>
  <conditionalFormatting sqref="J30">
    <cfRule type="cellIs" dxfId="2795" priority="40878" stopIfTrue="1" operator="notEqual">
      <formula>8</formula>
    </cfRule>
  </conditionalFormatting>
  <conditionalFormatting sqref="K30">
    <cfRule type="expression" dxfId="2794" priority="40879" stopIfTrue="1">
      <formula>NOT(ISBLANK($K$30))</formula>
    </cfRule>
  </conditionalFormatting>
  <conditionalFormatting sqref="L30">
    <cfRule type="expression" dxfId="2793" priority="40880" stopIfTrue="1">
      <formula>NOT(ISBLANK($L$30))</formula>
    </cfRule>
  </conditionalFormatting>
  <conditionalFormatting sqref="M30">
    <cfRule type="expression" dxfId="2792" priority="40881" stopIfTrue="1">
      <formula>NOT(ISBLANK($M$30))</formula>
    </cfRule>
  </conditionalFormatting>
  <conditionalFormatting sqref="N30">
    <cfRule type="cellIs" dxfId="2791" priority="40882" stopIfTrue="1" operator="notEqual">
      <formula>"additional phosphorous required"</formula>
    </cfRule>
  </conditionalFormatting>
  <conditionalFormatting sqref="O30">
    <cfRule type="expression" dxfId="2790" priority="40883" stopIfTrue="1">
      <formula>NOT(ISBLANK($O$30))</formula>
    </cfRule>
  </conditionalFormatting>
  <conditionalFormatting sqref="P30">
    <cfRule type="cellIs" dxfId="2789" priority="40884" stopIfTrue="1" operator="notEqual">
      <formula>1</formula>
    </cfRule>
  </conditionalFormatting>
  <conditionalFormatting sqref="Q30">
    <cfRule type="cellIs" dxfId="2788" priority="40885" stopIfTrue="1" operator="notEqual">
      <formula>12</formula>
    </cfRule>
  </conditionalFormatting>
  <conditionalFormatting sqref="R30">
    <cfRule type="cellIs" dxfId="2787" priority="40886" stopIfTrue="1" operator="notEqual">
      <formula>"yes"</formula>
    </cfRule>
  </conditionalFormatting>
  <conditionalFormatting sqref="S30">
    <cfRule type="expression" dxfId="2786" priority="40887" stopIfTrue="1">
      <formula>NOT(ISBLANK($S$30))</formula>
    </cfRule>
  </conditionalFormatting>
  <conditionalFormatting sqref="T30">
    <cfRule type="expression" dxfId="2785" priority="40888" stopIfTrue="1">
      <formula>NOT(ISBLANK($T$30))</formula>
    </cfRule>
  </conditionalFormatting>
  <conditionalFormatting sqref="U30">
    <cfRule type="expression" dxfId="2784" priority="40889" stopIfTrue="1">
      <formula>NOT(ISBLANK($U$30))</formula>
    </cfRule>
  </conditionalFormatting>
  <conditionalFormatting sqref="V30">
    <cfRule type="expression" dxfId="2783" priority="40890" stopIfTrue="1">
      <formula>NOT(ISBLANK($V$30))</formula>
    </cfRule>
  </conditionalFormatting>
  <conditionalFormatting sqref="W30">
    <cfRule type="expression" dxfId="2782" priority="40891" stopIfTrue="1">
      <formula>NOT(ISBLANK($W$30))</formula>
    </cfRule>
  </conditionalFormatting>
  <conditionalFormatting sqref="X30">
    <cfRule type="expression" dxfId="2781" priority="40892" stopIfTrue="1">
      <formula>NOT(ISBLANK($X$30))</formula>
    </cfRule>
  </conditionalFormatting>
  <conditionalFormatting sqref="Y30">
    <cfRule type="expression" dxfId="2780" priority="40893" stopIfTrue="1">
      <formula>NOT(ISBLANK($Y$30))</formula>
    </cfRule>
  </conditionalFormatting>
  <conditionalFormatting sqref="Z30">
    <cfRule type="expression" dxfId="2779" priority="40894" stopIfTrue="1">
      <formula>NOT(ISBLANK($Z$30))</formula>
    </cfRule>
  </conditionalFormatting>
  <conditionalFormatting sqref="AA30">
    <cfRule type="cellIs" dxfId="2778" priority="40895" stopIfTrue="1" operator="notEqual">
      <formula>"aeration"</formula>
    </cfRule>
  </conditionalFormatting>
  <conditionalFormatting sqref="AB30">
    <cfRule type="cellIs" dxfId="2777" priority="40896" stopIfTrue="1" operator="notEqual">
      <formula>"yes"</formula>
    </cfRule>
  </conditionalFormatting>
  <conditionalFormatting sqref="AC30">
    <cfRule type="cellIs" dxfId="2776" priority="40897" stopIfTrue="1" operator="notEqual">
      <formula>"gravity basin"</formula>
    </cfRule>
  </conditionalFormatting>
  <conditionalFormatting sqref="AD30">
    <cfRule type="cellIs" dxfId="2775" priority="40898" stopIfTrue="1" operator="notEqual">
      <formula>"yes"</formula>
    </cfRule>
  </conditionalFormatting>
  <conditionalFormatting sqref="AE30">
    <cfRule type="cellIs" dxfId="2774" priority="40899" stopIfTrue="1" operator="notEqual">
      <formula>"yes"</formula>
    </cfRule>
  </conditionalFormatting>
  <conditionalFormatting sqref="AF30">
    <cfRule type="cellIs" dxfId="2773" priority="40900" stopIfTrue="1" operator="notEqual">
      <formula>13</formula>
    </cfRule>
  </conditionalFormatting>
  <conditionalFormatting sqref="AG30">
    <cfRule type="cellIs" dxfId="2772" priority="40901" stopIfTrue="1" operator="notEqual">
      <formula>13</formula>
    </cfRule>
  </conditionalFormatting>
  <conditionalFormatting sqref="AH30">
    <cfRule type="cellIs" dxfId="2771" priority="40902" stopIfTrue="1" operator="notEqual">
      <formula>6.8</formula>
    </cfRule>
  </conditionalFormatting>
  <conditionalFormatting sqref="AI30">
    <cfRule type="expression" dxfId="2770" priority="40903" stopIfTrue="1">
      <formula>NOT(ISBLANK($AI$30))</formula>
    </cfRule>
  </conditionalFormatting>
  <conditionalFormatting sqref="AJ30">
    <cfRule type="expression" dxfId="2769" priority="40904" stopIfTrue="1">
      <formula>NOT(ISBLANK($AJ$30))</formula>
    </cfRule>
  </conditionalFormatting>
  <conditionalFormatting sqref="AK30">
    <cfRule type="expression" dxfId="2768" priority="40905" stopIfTrue="1">
      <formula>NOT(ISBLANK($AK$30))</formula>
    </cfRule>
  </conditionalFormatting>
  <conditionalFormatting sqref="AL30">
    <cfRule type="expression" dxfId="2767" priority="40906" stopIfTrue="1">
      <formula>NOT(ISBLANK($AL$30))</formula>
    </cfRule>
  </conditionalFormatting>
  <conditionalFormatting sqref="AM30">
    <cfRule type="expression" dxfId="2766" priority="40907" stopIfTrue="1">
      <formula>NOT(ISBLANK($AM$30))</formula>
    </cfRule>
  </conditionalFormatting>
  <conditionalFormatting sqref="AN30">
    <cfRule type="expression" dxfId="2765" priority="40908" stopIfTrue="1">
      <formula>NOT(ISBLANK($AN$30))</formula>
    </cfRule>
  </conditionalFormatting>
  <conditionalFormatting sqref="AO30">
    <cfRule type="cellIs" dxfId="2764" priority="40909" stopIfTrue="1" operator="notEqual">
      <formula>36</formula>
    </cfRule>
  </conditionalFormatting>
  <conditionalFormatting sqref="AP30">
    <cfRule type="cellIs" dxfId="2763" priority="40910" stopIfTrue="1" operator="notEqual">
      <formula>"yes"</formula>
    </cfRule>
  </conditionalFormatting>
  <conditionalFormatting sqref="AQ30">
    <cfRule type="cellIs" dxfId="2762" priority="40911" stopIfTrue="1" operator="notEqual">
      <formula>"recycle"</formula>
    </cfRule>
  </conditionalFormatting>
  <conditionalFormatting sqref="AR30">
    <cfRule type="cellIs" dxfId="2761" priority="40912" stopIfTrue="1" operator="notEqual">
      <formula>"holding tank"</formula>
    </cfRule>
  </conditionalFormatting>
  <conditionalFormatting sqref="AS30">
    <cfRule type="cellIs" dxfId="2760" priority="40913" stopIfTrue="1" operator="notEqual">
      <formula>"none"</formula>
    </cfRule>
  </conditionalFormatting>
  <conditionalFormatting sqref="AT30">
    <cfRule type="cellIs" dxfId="2759" priority="40914" stopIfTrue="1" operator="notEqual">
      <formula>"non-hazardous"</formula>
    </cfRule>
  </conditionalFormatting>
  <conditionalFormatting sqref="AU30">
    <cfRule type="expression" dxfId="2758" priority="40915" stopIfTrue="1">
      <formula>NOT(ISBLANK($AU$30))</formula>
    </cfRule>
  </conditionalFormatting>
  <conditionalFormatting sqref="AV30">
    <cfRule type="expression" dxfId="2757" priority="40916" stopIfTrue="1">
      <formula>NOT(ISBLANK($AV$30))</formula>
    </cfRule>
  </conditionalFormatting>
  <conditionalFormatting sqref="AW30">
    <cfRule type="expression" dxfId="2756" priority="40917" stopIfTrue="1">
      <formula>NOT(ISBLANK($AW$30))</formula>
    </cfRule>
  </conditionalFormatting>
  <conditionalFormatting sqref="AX30">
    <cfRule type="expression" dxfId="2755" priority="40918" stopIfTrue="1">
      <formula>NOT(ISBLANK($AX$30))</formula>
    </cfRule>
  </conditionalFormatting>
  <conditionalFormatting sqref="AY30">
    <cfRule type="expression" dxfId="2754" priority="40919" stopIfTrue="1">
      <formula>NOT(ISBLANK($AY$30))</formula>
    </cfRule>
  </conditionalFormatting>
  <conditionalFormatting sqref="AZ30">
    <cfRule type="cellIs" dxfId="2753" priority="40920" stopIfTrue="1" operator="notEqual">
      <formula>"fully automated"</formula>
    </cfRule>
  </conditionalFormatting>
  <conditionalFormatting sqref="BA30">
    <cfRule type="expression" dxfId="2752" priority="40921" stopIfTrue="1">
      <formula>NOT(ISBLANK($BA$30))</formula>
    </cfRule>
  </conditionalFormatting>
  <conditionalFormatting sqref="BB30">
    <cfRule type="expression" dxfId="2751" priority="40922" stopIfTrue="1">
      <formula>NOT(ISBLANK($BB$30))</formula>
    </cfRule>
  </conditionalFormatting>
  <conditionalFormatting sqref="BC30">
    <cfRule type="expression" dxfId="2750" priority="40923" stopIfTrue="1">
      <formula>NOT(ISBLANK($BC$30))</formula>
    </cfRule>
  </conditionalFormatting>
  <conditionalFormatting sqref="A31">
    <cfRule type="cellIs" dxfId="2749" priority="40924" stopIfTrue="1" operator="notEqual">
      <formula>1</formula>
    </cfRule>
  </conditionalFormatting>
  <conditionalFormatting sqref="B31">
    <cfRule type="cellIs" dxfId="2748" priority="40925" stopIfTrue="1" operator="notEqual">
      <formula>3</formula>
    </cfRule>
  </conditionalFormatting>
  <conditionalFormatting sqref="C31">
    <cfRule type="cellIs" dxfId="2747" priority="40926" stopIfTrue="1" operator="notEqual">
      <formula>7</formula>
    </cfRule>
  </conditionalFormatting>
  <conditionalFormatting sqref="D31">
    <cfRule type="cellIs" dxfId="2746" priority="40927" stopIfTrue="1" operator="notEqual">
      <formula>22.614</formula>
    </cfRule>
  </conditionalFormatting>
  <conditionalFormatting sqref="E31">
    <cfRule type="cellIs" dxfId="2745" priority="40928" stopIfTrue="1" operator="notEqual">
      <formula>"MGD"</formula>
    </cfRule>
  </conditionalFormatting>
  <conditionalFormatting sqref="F31">
    <cfRule type="cellIs" dxfId="2744" priority="40929" stopIfTrue="1" operator="notEqual">
      <formula>11.066</formula>
    </cfRule>
  </conditionalFormatting>
  <conditionalFormatting sqref="G31">
    <cfRule type="cellIs" dxfId="2743" priority="40930" stopIfTrue="1" operator="notEqual">
      <formula>"MGD"</formula>
    </cfRule>
  </conditionalFormatting>
  <conditionalFormatting sqref="H31">
    <cfRule type="cellIs" dxfId="2742" priority="40931" stopIfTrue="1" operator="notEqual">
      <formula>"acetic acid"</formula>
    </cfRule>
  </conditionalFormatting>
  <conditionalFormatting sqref="I31">
    <cfRule type="cellIs" dxfId="2741" priority="40932" stopIfTrue="1" operator="notEqual">
      <formula>10</formula>
    </cfRule>
  </conditionalFormatting>
  <conditionalFormatting sqref="J31">
    <cfRule type="cellIs" dxfId="2740" priority="40933" stopIfTrue="1" operator="notEqual">
      <formula>8</formula>
    </cfRule>
  </conditionalFormatting>
  <conditionalFormatting sqref="K31">
    <cfRule type="expression" dxfId="2739" priority="40934" stopIfTrue="1">
      <formula>NOT(ISBLANK($K$31))</formula>
    </cfRule>
  </conditionalFormatting>
  <conditionalFormatting sqref="L31">
    <cfRule type="expression" dxfId="2738" priority="40935" stopIfTrue="1">
      <formula>NOT(ISBLANK($L$31))</formula>
    </cfRule>
  </conditionalFormatting>
  <conditionalFormatting sqref="M31">
    <cfRule type="expression" dxfId="2737" priority="40936" stopIfTrue="1">
      <formula>NOT(ISBLANK($M$31))</formula>
    </cfRule>
  </conditionalFormatting>
  <conditionalFormatting sqref="N31">
    <cfRule type="cellIs" dxfId="2736" priority="40937" stopIfTrue="1" operator="notEqual">
      <formula>"additional phosphorous required"</formula>
    </cfRule>
  </conditionalFormatting>
  <conditionalFormatting sqref="O31">
    <cfRule type="expression" dxfId="2735" priority="40938" stopIfTrue="1">
      <formula>NOT(ISBLANK($O$31))</formula>
    </cfRule>
  </conditionalFormatting>
  <conditionalFormatting sqref="P31">
    <cfRule type="cellIs" dxfId="2734" priority="40939" stopIfTrue="1" operator="notEqual">
      <formula>1</formula>
    </cfRule>
  </conditionalFormatting>
  <conditionalFormatting sqref="Q31">
    <cfRule type="cellIs" dxfId="2733" priority="40940" stopIfTrue="1" operator="notEqual">
      <formula>12</formula>
    </cfRule>
  </conditionalFormatting>
  <conditionalFormatting sqref="R31">
    <cfRule type="cellIs" dxfId="2732" priority="40941" stopIfTrue="1" operator="notEqual">
      <formula>"yes"</formula>
    </cfRule>
  </conditionalFormatting>
  <conditionalFormatting sqref="S31">
    <cfRule type="expression" dxfId="2731" priority="40942" stopIfTrue="1">
      <formula>NOT(ISBLANK($S$31))</formula>
    </cfRule>
  </conditionalFormatting>
  <conditionalFormatting sqref="T31">
    <cfRule type="expression" dxfId="2730" priority="40943" stopIfTrue="1">
      <formula>NOT(ISBLANK($T$31))</formula>
    </cfRule>
  </conditionalFormatting>
  <conditionalFormatting sqref="U31">
    <cfRule type="expression" dxfId="2729" priority="40944" stopIfTrue="1">
      <formula>NOT(ISBLANK($U$31))</formula>
    </cfRule>
  </conditionalFormatting>
  <conditionalFormatting sqref="V31">
    <cfRule type="expression" dxfId="2728" priority="40945" stopIfTrue="1">
      <formula>NOT(ISBLANK($V$31))</formula>
    </cfRule>
  </conditionalFormatting>
  <conditionalFormatting sqref="W31">
    <cfRule type="expression" dxfId="2727" priority="40946" stopIfTrue="1">
      <formula>NOT(ISBLANK($W$31))</formula>
    </cfRule>
  </conditionalFormatting>
  <conditionalFormatting sqref="X31">
    <cfRule type="expression" dxfId="2726" priority="40947" stopIfTrue="1">
      <formula>NOT(ISBLANK($X$31))</formula>
    </cfRule>
  </conditionalFormatting>
  <conditionalFormatting sqref="Y31">
    <cfRule type="expression" dxfId="2725" priority="40948" stopIfTrue="1">
      <formula>NOT(ISBLANK($Y$31))</formula>
    </cfRule>
  </conditionalFormatting>
  <conditionalFormatting sqref="Z31">
    <cfRule type="expression" dxfId="2724" priority="40949" stopIfTrue="1">
      <formula>NOT(ISBLANK($Z$31))</formula>
    </cfRule>
  </conditionalFormatting>
  <conditionalFormatting sqref="AA31">
    <cfRule type="cellIs" dxfId="2723" priority="40950" stopIfTrue="1" operator="notEqual">
      <formula>"aeration"</formula>
    </cfRule>
  </conditionalFormatting>
  <conditionalFormatting sqref="AB31">
    <cfRule type="cellIs" dxfId="2722" priority="40951" stopIfTrue="1" operator="notEqual">
      <formula>"yes"</formula>
    </cfRule>
  </conditionalFormatting>
  <conditionalFormatting sqref="AC31">
    <cfRule type="cellIs" dxfId="2721" priority="40952" stopIfTrue="1" operator="notEqual">
      <formula>"gravity basin"</formula>
    </cfRule>
  </conditionalFormatting>
  <conditionalFormatting sqref="AD31">
    <cfRule type="cellIs" dxfId="2720" priority="40953" stopIfTrue="1" operator="notEqual">
      <formula>"yes"</formula>
    </cfRule>
  </conditionalFormatting>
  <conditionalFormatting sqref="AE31">
    <cfRule type="cellIs" dxfId="2719" priority="40954" stopIfTrue="1" operator="notEqual">
      <formula>"yes"</formula>
    </cfRule>
  </conditionalFormatting>
  <conditionalFormatting sqref="AF31">
    <cfRule type="cellIs" dxfId="2718" priority="40955" stopIfTrue="1" operator="notEqual">
      <formula>13</formula>
    </cfRule>
  </conditionalFormatting>
  <conditionalFormatting sqref="AG31">
    <cfRule type="cellIs" dxfId="2717" priority="40956" stopIfTrue="1" operator="notEqual">
      <formula>13</formula>
    </cfRule>
  </conditionalFormatting>
  <conditionalFormatting sqref="AH31">
    <cfRule type="cellIs" dxfId="2716" priority="40957" stopIfTrue="1" operator="notEqual">
      <formula>8.9</formula>
    </cfRule>
  </conditionalFormatting>
  <conditionalFormatting sqref="AI31">
    <cfRule type="expression" dxfId="2715" priority="40958" stopIfTrue="1">
      <formula>NOT(ISBLANK($AI$31))</formula>
    </cfRule>
  </conditionalFormatting>
  <conditionalFormatting sqref="AJ31">
    <cfRule type="expression" dxfId="2714" priority="40959" stopIfTrue="1">
      <formula>NOT(ISBLANK($AJ$31))</formula>
    </cfRule>
  </conditionalFormatting>
  <conditionalFormatting sqref="AK31">
    <cfRule type="expression" dxfId="2713" priority="40960" stopIfTrue="1">
      <formula>NOT(ISBLANK($AK$31))</formula>
    </cfRule>
  </conditionalFormatting>
  <conditionalFormatting sqref="AL31">
    <cfRule type="expression" dxfId="2712" priority="40961" stopIfTrue="1">
      <formula>NOT(ISBLANK($AL$31))</formula>
    </cfRule>
  </conditionalFormatting>
  <conditionalFormatting sqref="AM31">
    <cfRule type="expression" dxfId="2711" priority="40962" stopIfTrue="1">
      <formula>NOT(ISBLANK($AM$31))</formula>
    </cfRule>
  </conditionalFormatting>
  <conditionalFormatting sqref="AN31">
    <cfRule type="expression" dxfId="2710" priority="40963" stopIfTrue="1">
      <formula>NOT(ISBLANK($AN$31))</formula>
    </cfRule>
  </conditionalFormatting>
  <conditionalFormatting sqref="AO31">
    <cfRule type="cellIs" dxfId="2709" priority="40964" stopIfTrue="1" operator="notEqual">
      <formula>36</formula>
    </cfRule>
  </conditionalFormatting>
  <conditionalFormatting sqref="AP31">
    <cfRule type="cellIs" dxfId="2708" priority="40965" stopIfTrue="1" operator="notEqual">
      <formula>"yes"</formula>
    </cfRule>
  </conditionalFormatting>
  <conditionalFormatting sqref="AQ31">
    <cfRule type="cellIs" dxfId="2707" priority="40966" stopIfTrue="1" operator="notEqual">
      <formula>"recycle"</formula>
    </cfRule>
  </conditionalFormatting>
  <conditionalFormatting sqref="AR31">
    <cfRule type="cellIs" dxfId="2706" priority="40967" stopIfTrue="1" operator="notEqual">
      <formula>"holding tank"</formula>
    </cfRule>
  </conditionalFormatting>
  <conditionalFormatting sqref="AS31">
    <cfRule type="cellIs" dxfId="2705" priority="40968" stopIfTrue="1" operator="notEqual">
      <formula>"none"</formula>
    </cfRule>
  </conditionalFormatting>
  <conditionalFormatting sqref="AT31">
    <cfRule type="cellIs" dxfId="2704" priority="40969" stopIfTrue="1" operator="notEqual">
      <formula>"non-hazardous"</formula>
    </cfRule>
  </conditionalFormatting>
  <conditionalFormatting sqref="AU31">
    <cfRule type="expression" dxfId="2703" priority="40970" stopIfTrue="1">
      <formula>NOT(ISBLANK($AU$31))</formula>
    </cfRule>
  </conditionalFormatting>
  <conditionalFormatting sqref="AV31">
    <cfRule type="expression" dxfId="2702" priority="40971" stopIfTrue="1">
      <formula>NOT(ISBLANK($AV$31))</formula>
    </cfRule>
  </conditionalFormatting>
  <conditionalFormatting sqref="AW31">
    <cfRule type="expression" dxfId="2701" priority="40972" stopIfTrue="1">
      <formula>NOT(ISBLANK($AW$31))</formula>
    </cfRule>
  </conditionalFormatting>
  <conditionalFormatting sqref="AX31">
    <cfRule type="expression" dxfId="2700" priority="40973" stopIfTrue="1">
      <formula>NOT(ISBLANK($AX$31))</formula>
    </cfRule>
  </conditionalFormatting>
  <conditionalFormatting sqref="AY31">
    <cfRule type="expression" dxfId="2699" priority="40974" stopIfTrue="1">
      <formula>NOT(ISBLANK($AY$31))</formula>
    </cfRule>
  </conditionalFormatting>
  <conditionalFormatting sqref="AZ31">
    <cfRule type="cellIs" dxfId="2698" priority="40975" stopIfTrue="1" operator="notEqual">
      <formula>"fully automated"</formula>
    </cfRule>
  </conditionalFormatting>
  <conditionalFormatting sqref="BA31">
    <cfRule type="expression" dxfId="2697" priority="40976" stopIfTrue="1">
      <formula>NOT(ISBLANK($BA$31))</formula>
    </cfRule>
  </conditionalFormatting>
  <conditionalFormatting sqref="BB31">
    <cfRule type="expression" dxfId="2696" priority="40977" stopIfTrue="1">
      <formula>NOT(ISBLANK($BB$31))</formula>
    </cfRule>
  </conditionalFormatting>
  <conditionalFormatting sqref="BC31">
    <cfRule type="expression" dxfId="2695" priority="40978" stopIfTrue="1">
      <formula>NOT(ISBLANK($BC$31))</formula>
    </cfRule>
  </conditionalFormatting>
  <conditionalFormatting sqref="A32">
    <cfRule type="cellIs" dxfId="2694" priority="40979" stopIfTrue="1" operator="notEqual">
      <formula>1</formula>
    </cfRule>
  </conditionalFormatting>
  <conditionalFormatting sqref="B32">
    <cfRule type="cellIs" dxfId="2693" priority="40980" stopIfTrue="1" operator="notEqual">
      <formula>3</formula>
    </cfRule>
  </conditionalFormatting>
  <conditionalFormatting sqref="C32">
    <cfRule type="cellIs" dxfId="2692" priority="40981" stopIfTrue="1" operator="notEqual">
      <formula>8</formula>
    </cfRule>
  </conditionalFormatting>
  <conditionalFormatting sqref="D32">
    <cfRule type="cellIs" dxfId="2691" priority="40982" stopIfTrue="1" operator="notEqual">
      <formula>75.072</formula>
    </cfRule>
  </conditionalFormatting>
  <conditionalFormatting sqref="E32">
    <cfRule type="cellIs" dxfId="2690" priority="40983" stopIfTrue="1" operator="notEqual">
      <formula>"MGD"</formula>
    </cfRule>
  </conditionalFormatting>
  <conditionalFormatting sqref="F32">
    <cfRule type="cellIs" dxfId="2689" priority="40984" stopIfTrue="1" operator="notEqual">
      <formula>37.536</formula>
    </cfRule>
  </conditionalFormatting>
  <conditionalFormatting sqref="G32">
    <cfRule type="cellIs" dxfId="2688" priority="40985" stopIfTrue="1" operator="notEqual">
      <formula>"MGD"</formula>
    </cfRule>
  </conditionalFormatting>
  <conditionalFormatting sqref="H32">
    <cfRule type="cellIs" dxfId="2687" priority="40986" stopIfTrue="1" operator="notEqual">
      <formula>"acetic acid"</formula>
    </cfRule>
  </conditionalFormatting>
  <conditionalFormatting sqref="I32">
    <cfRule type="cellIs" dxfId="2686" priority="40987" stopIfTrue="1" operator="notEqual">
      <formula>10</formula>
    </cfRule>
  </conditionalFormatting>
  <conditionalFormatting sqref="J32">
    <cfRule type="cellIs" dxfId="2685" priority="40988" stopIfTrue="1" operator="notEqual">
      <formula>8</formula>
    </cfRule>
  </conditionalFormatting>
  <conditionalFormatting sqref="K32">
    <cfRule type="expression" dxfId="2684" priority="40989" stopIfTrue="1">
      <formula>NOT(ISBLANK($K$32))</formula>
    </cfRule>
  </conditionalFormatting>
  <conditionalFormatting sqref="L32">
    <cfRule type="expression" dxfId="2683" priority="40990" stopIfTrue="1">
      <formula>NOT(ISBLANK($L$32))</formula>
    </cfRule>
  </conditionalFormatting>
  <conditionalFormatting sqref="M32">
    <cfRule type="expression" dxfId="2682" priority="40991" stopIfTrue="1">
      <formula>NOT(ISBLANK($M$32))</formula>
    </cfRule>
  </conditionalFormatting>
  <conditionalFormatting sqref="N32">
    <cfRule type="cellIs" dxfId="2681" priority="40992" stopIfTrue="1" operator="notEqual">
      <formula>"additional phosphorous required"</formula>
    </cfRule>
  </conditionalFormatting>
  <conditionalFormatting sqref="O32">
    <cfRule type="expression" dxfId="2680" priority="40993" stopIfTrue="1">
      <formula>NOT(ISBLANK($O$32))</formula>
    </cfRule>
  </conditionalFormatting>
  <conditionalFormatting sqref="P32">
    <cfRule type="cellIs" dxfId="2679" priority="40994" stopIfTrue="1" operator="notEqual">
      <formula>1</formula>
    </cfRule>
  </conditionalFormatting>
  <conditionalFormatting sqref="Q32">
    <cfRule type="cellIs" dxfId="2678" priority="40995" stopIfTrue="1" operator="notEqual">
      <formula>12</formula>
    </cfRule>
  </conditionalFormatting>
  <conditionalFormatting sqref="R32">
    <cfRule type="cellIs" dxfId="2677" priority="40996" stopIfTrue="1" operator="notEqual">
      <formula>"yes"</formula>
    </cfRule>
  </conditionalFormatting>
  <conditionalFormatting sqref="S32">
    <cfRule type="expression" dxfId="2676" priority="40997" stopIfTrue="1">
      <formula>NOT(ISBLANK($S$32))</formula>
    </cfRule>
  </conditionalFormatting>
  <conditionalFormatting sqref="T32">
    <cfRule type="expression" dxfId="2675" priority="40998" stopIfTrue="1">
      <formula>NOT(ISBLANK($T$32))</formula>
    </cfRule>
  </conditionalFormatting>
  <conditionalFormatting sqref="U32">
    <cfRule type="expression" dxfId="2674" priority="40999" stopIfTrue="1">
      <formula>NOT(ISBLANK($U$32))</formula>
    </cfRule>
  </conditionalFormatting>
  <conditionalFormatting sqref="V32">
    <cfRule type="expression" dxfId="2673" priority="41000" stopIfTrue="1">
      <formula>NOT(ISBLANK($V$32))</formula>
    </cfRule>
  </conditionalFormatting>
  <conditionalFormatting sqref="W32">
    <cfRule type="expression" dxfId="2672" priority="41001" stopIfTrue="1">
      <formula>NOT(ISBLANK($W$32))</formula>
    </cfRule>
  </conditionalFormatting>
  <conditionalFormatting sqref="X32">
    <cfRule type="expression" dxfId="2671" priority="41002" stopIfTrue="1">
      <formula>NOT(ISBLANK($X$32))</formula>
    </cfRule>
  </conditionalFormatting>
  <conditionalFormatting sqref="Y32">
    <cfRule type="expression" dxfId="2670" priority="41003" stopIfTrue="1">
      <formula>NOT(ISBLANK($Y$32))</formula>
    </cfRule>
  </conditionalFormatting>
  <conditionalFormatting sqref="Z32">
    <cfRule type="expression" dxfId="2669" priority="41004" stopIfTrue="1">
      <formula>NOT(ISBLANK($Z$32))</formula>
    </cfRule>
  </conditionalFormatting>
  <conditionalFormatting sqref="AA32">
    <cfRule type="cellIs" dxfId="2668" priority="41005" stopIfTrue="1" operator="notEqual">
      <formula>"aeration"</formula>
    </cfRule>
  </conditionalFormatting>
  <conditionalFormatting sqref="AB32">
    <cfRule type="cellIs" dxfId="2667" priority="41006" stopIfTrue="1" operator="notEqual">
      <formula>"yes"</formula>
    </cfRule>
  </conditionalFormatting>
  <conditionalFormatting sqref="AC32">
    <cfRule type="cellIs" dxfId="2666" priority="41007" stopIfTrue="1" operator="notEqual">
      <formula>"gravity basin"</formula>
    </cfRule>
  </conditionalFormatting>
  <conditionalFormatting sqref="AD32">
    <cfRule type="cellIs" dxfId="2665" priority="41008" stopIfTrue="1" operator="notEqual">
      <formula>"yes"</formula>
    </cfRule>
  </conditionalFormatting>
  <conditionalFormatting sqref="AE32">
    <cfRule type="cellIs" dxfId="2664" priority="41009" stopIfTrue="1" operator="notEqual">
      <formula>"yes"</formula>
    </cfRule>
  </conditionalFormatting>
  <conditionalFormatting sqref="AF32">
    <cfRule type="cellIs" dxfId="2663" priority="41010" stopIfTrue="1" operator="notEqual">
      <formula>24.5</formula>
    </cfRule>
  </conditionalFormatting>
  <conditionalFormatting sqref="AG32">
    <cfRule type="cellIs" dxfId="2662" priority="41011" stopIfTrue="1" operator="notEqual">
      <formula>24.5</formula>
    </cfRule>
  </conditionalFormatting>
  <conditionalFormatting sqref="AH32">
    <cfRule type="cellIs" dxfId="2661" priority="41012" stopIfTrue="1" operator="notEqual">
      <formula>9</formula>
    </cfRule>
  </conditionalFormatting>
  <conditionalFormatting sqref="AI32">
    <cfRule type="expression" dxfId="2660" priority="41013" stopIfTrue="1">
      <formula>NOT(ISBLANK($AI$32))</formula>
    </cfRule>
  </conditionalFormatting>
  <conditionalFormatting sqref="AJ32">
    <cfRule type="expression" dxfId="2659" priority="41014" stopIfTrue="1">
      <formula>NOT(ISBLANK($AJ$32))</formula>
    </cfRule>
  </conditionalFormatting>
  <conditionalFormatting sqref="AK32">
    <cfRule type="expression" dxfId="2658" priority="41015" stopIfTrue="1">
      <formula>NOT(ISBLANK($AK$32))</formula>
    </cfRule>
  </conditionalFormatting>
  <conditionalFormatting sqref="AL32">
    <cfRule type="expression" dxfId="2657" priority="41016" stopIfTrue="1">
      <formula>NOT(ISBLANK($AL$32))</formula>
    </cfRule>
  </conditionalFormatting>
  <conditionalFormatting sqref="AM32">
    <cfRule type="expression" dxfId="2656" priority="41017" stopIfTrue="1">
      <formula>NOT(ISBLANK($AM$32))</formula>
    </cfRule>
  </conditionalFormatting>
  <conditionalFormatting sqref="AN32">
    <cfRule type="expression" dxfId="2655" priority="41018" stopIfTrue="1">
      <formula>NOT(ISBLANK($AN$32))</formula>
    </cfRule>
  </conditionalFormatting>
  <conditionalFormatting sqref="AO32">
    <cfRule type="cellIs" dxfId="2654" priority="41019" stopIfTrue="1" operator="notEqual">
      <formula>36</formula>
    </cfRule>
  </conditionalFormatting>
  <conditionalFormatting sqref="AP32">
    <cfRule type="cellIs" dxfId="2653" priority="41020" stopIfTrue="1" operator="notEqual">
      <formula>"yes"</formula>
    </cfRule>
  </conditionalFormatting>
  <conditionalFormatting sqref="AQ32">
    <cfRule type="cellIs" dxfId="2652" priority="41021" stopIfTrue="1" operator="notEqual">
      <formula>"recycle"</formula>
    </cfRule>
  </conditionalFormatting>
  <conditionalFormatting sqref="AR32">
    <cfRule type="cellIs" dxfId="2651" priority="41022" stopIfTrue="1" operator="notEqual">
      <formula>"holding tank"</formula>
    </cfRule>
  </conditionalFormatting>
  <conditionalFormatting sqref="AS32">
    <cfRule type="cellIs" dxfId="2650" priority="41023" stopIfTrue="1" operator="notEqual">
      <formula>"none"</formula>
    </cfRule>
  </conditionalFormatting>
  <conditionalFormatting sqref="AT32">
    <cfRule type="cellIs" dxfId="2649" priority="41024" stopIfTrue="1" operator="notEqual">
      <formula>"non-hazardous"</formula>
    </cfRule>
  </conditionalFormatting>
  <conditionalFormatting sqref="AU32">
    <cfRule type="expression" dxfId="2648" priority="41025" stopIfTrue="1">
      <formula>NOT(ISBLANK($AU$32))</formula>
    </cfRule>
  </conditionalFormatting>
  <conditionalFormatting sqref="AV32">
    <cfRule type="expression" dxfId="2647" priority="41026" stopIfTrue="1">
      <formula>NOT(ISBLANK($AV$32))</formula>
    </cfRule>
  </conditionalFormatting>
  <conditionalFormatting sqref="AW32">
    <cfRule type="expression" dxfId="2646" priority="41027" stopIfTrue="1">
      <formula>NOT(ISBLANK($AW$32))</formula>
    </cfRule>
  </conditionalFormatting>
  <conditionalFormatting sqref="AX32">
    <cfRule type="expression" dxfId="2645" priority="41028" stopIfTrue="1">
      <formula>NOT(ISBLANK($AX$32))</formula>
    </cfRule>
  </conditionalFormatting>
  <conditionalFormatting sqref="AY32">
    <cfRule type="expression" dxfId="2644" priority="41029" stopIfTrue="1">
      <formula>NOT(ISBLANK($AY$32))</formula>
    </cfRule>
  </conditionalFormatting>
  <conditionalFormatting sqref="AZ32">
    <cfRule type="cellIs" dxfId="2643" priority="41030" stopIfTrue="1" operator="notEqual">
      <formula>"fully automated"</formula>
    </cfRule>
  </conditionalFormatting>
  <conditionalFormatting sqref="BA32">
    <cfRule type="expression" dxfId="2642" priority="41031" stopIfTrue="1">
      <formula>NOT(ISBLANK($BA$32))</formula>
    </cfRule>
  </conditionalFormatting>
  <conditionalFormatting sqref="BB32">
    <cfRule type="expression" dxfId="2641" priority="41032" stopIfTrue="1">
      <formula>NOT(ISBLANK($BB$32))</formula>
    </cfRule>
  </conditionalFormatting>
  <conditionalFormatting sqref="BC32">
    <cfRule type="expression" dxfId="2640" priority="41033" stopIfTrue="1">
      <formula>NOT(ISBLANK($BC$32))</formula>
    </cfRule>
  </conditionalFormatting>
  <conditionalFormatting sqref="A33">
    <cfRule type="cellIs" dxfId="2639" priority="41034" stopIfTrue="1" operator="notEqual">
      <formula>2</formula>
    </cfRule>
  </conditionalFormatting>
  <conditionalFormatting sqref="B33">
    <cfRule type="cellIs" dxfId="2638" priority="41035" stopIfTrue="1" operator="notEqual">
      <formula>1</formula>
    </cfRule>
  </conditionalFormatting>
  <conditionalFormatting sqref="C33">
    <cfRule type="cellIs" dxfId="2637" priority="41036" stopIfTrue="1" operator="notEqual">
      <formula>1</formula>
    </cfRule>
  </conditionalFormatting>
  <conditionalFormatting sqref="D33">
    <cfRule type="cellIs" dxfId="2636" priority="41037" stopIfTrue="1" operator="notEqual">
      <formula>0.03</formula>
    </cfRule>
  </conditionalFormatting>
  <conditionalFormatting sqref="E33">
    <cfRule type="cellIs" dxfId="2635" priority="41038" stopIfTrue="1" operator="notEqual">
      <formula>"MGD"</formula>
    </cfRule>
  </conditionalFormatting>
  <conditionalFormatting sqref="F33">
    <cfRule type="cellIs" dxfId="2634" priority="41039" stopIfTrue="1" operator="notEqual">
      <formula>0.007</formula>
    </cfRule>
  </conditionalFormatting>
  <conditionalFormatting sqref="G33">
    <cfRule type="cellIs" dxfId="2633" priority="41040" stopIfTrue="1" operator="notEqual">
      <formula>"MGD"</formula>
    </cfRule>
  </conditionalFormatting>
  <conditionalFormatting sqref="H33">
    <cfRule type="cellIs" dxfId="2632" priority="41041" stopIfTrue="1" operator="notEqual">
      <formula>"acetic acid"</formula>
    </cfRule>
  </conditionalFormatting>
  <conditionalFormatting sqref="I33">
    <cfRule type="cellIs" dxfId="2631" priority="41042" stopIfTrue="1" operator="notEqual">
      <formula>37.4</formula>
    </cfRule>
  </conditionalFormatting>
  <conditionalFormatting sqref="J33">
    <cfRule type="cellIs" dxfId="2630" priority="41043" stopIfTrue="1" operator="notEqual">
      <formula>15.3</formula>
    </cfRule>
  </conditionalFormatting>
  <conditionalFormatting sqref="K33">
    <cfRule type="cellIs" dxfId="2629" priority="41044" stopIfTrue="1" operator="notEqual">
      <formula>0</formula>
    </cfRule>
  </conditionalFormatting>
  <conditionalFormatting sqref="L33">
    <cfRule type="cellIs" dxfId="2628" priority="41045" stopIfTrue="1" operator="notEqual">
      <formula>12</formula>
    </cfRule>
  </conditionalFormatting>
  <conditionalFormatting sqref="M33">
    <cfRule type="cellIs" dxfId="2627" priority="41046" stopIfTrue="1" operator="notEqual">
      <formula>20.3</formula>
    </cfRule>
  </conditionalFormatting>
  <conditionalFormatting sqref="N33">
    <cfRule type="cellIs" dxfId="2626" priority="41047" stopIfTrue="1" operator="notEqual">
      <formula>"additional phosphorous required"</formula>
    </cfRule>
  </conditionalFormatting>
  <conditionalFormatting sqref="O33">
    <cfRule type="expression" dxfId="2625" priority="41048" stopIfTrue="1">
      <formula>NOT(ISBLANK($O$33))</formula>
    </cfRule>
  </conditionalFormatting>
  <conditionalFormatting sqref="P33">
    <cfRule type="cellIs" dxfId="2624" priority="41049" stopIfTrue="1" operator="notEqual">
      <formula>2</formula>
    </cfRule>
  </conditionalFormatting>
  <conditionalFormatting sqref="Q33">
    <cfRule type="cellIs" dxfId="2623" priority="41050" stopIfTrue="1" operator="notEqual">
      <formula>10</formula>
    </cfRule>
  </conditionalFormatting>
  <conditionalFormatting sqref="R33">
    <cfRule type="cellIs" dxfId="2622" priority="41051" stopIfTrue="1" operator="notEqual">
      <formula>"yes"</formula>
    </cfRule>
  </conditionalFormatting>
  <conditionalFormatting sqref="S33">
    <cfRule type="expression" dxfId="2621" priority="41052" stopIfTrue="1">
      <formula>NOT(ISBLANK($S$33))</formula>
    </cfRule>
  </conditionalFormatting>
  <conditionalFormatting sqref="T33">
    <cfRule type="expression" dxfId="2620" priority="41053" stopIfTrue="1">
      <formula>NOT(ISBLANK($T$33))</formula>
    </cfRule>
  </conditionalFormatting>
  <conditionalFormatting sqref="U33">
    <cfRule type="expression" dxfId="2619" priority="41054" stopIfTrue="1">
      <formula>NOT(ISBLANK($U$33))</formula>
    </cfRule>
  </conditionalFormatting>
  <conditionalFormatting sqref="V33">
    <cfRule type="expression" dxfId="2618" priority="41055" stopIfTrue="1">
      <formula>NOT(ISBLANK($V$33))</formula>
    </cfRule>
  </conditionalFormatting>
  <conditionalFormatting sqref="W33">
    <cfRule type="expression" dxfId="2617" priority="41056" stopIfTrue="1">
      <formula>NOT(ISBLANK($W$33))</formula>
    </cfRule>
  </conditionalFormatting>
  <conditionalFormatting sqref="X33">
    <cfRule type="expression" dxfId="2616" priority="41057" stopIfTrue="1">
      <formula>NOT(ISBLANK($X$33))</formula>
    </cfRule>
  </conditionalFormatting>
  <conditionalFormatting sqref="Y33">
    <cfRule type="expression" dxfId="2615" priority="41058" stopIfTrue="1">
      <formula>NOT(ISBLANK($Y$33))</formula>
    </cfRule>
  </conditionalFormatting>
  <conditionalFormatting sqref="Z33">
    <cfRule type="expression" dxfId="2614" priority="41059" stopIfTrue="1">
      <formula>NOT(ISBLANK($Z$33))</formula>
    </cfRule>
  </conditionalFormatting>
  <conditionalFormatting sqref="AA33">
    <cfRule type="cellIs" dxfId="2613" priority="41060" stopIfTrue="1" operator="notEqual">
      <formula>"aeration"</formula>
    </cfRule>
  </conditionalFormatting>
  <conditionalFormatting sqref="AB33">
    <cfRule type="cellIs" dxfId="2612" priority="41061" stopIfTrue="1" operator="notEqual">
      <formula>"yes"</formula>
    </cfRule>
  </conditionalFormatting>
  <conditionalFormatting sqref="AC33">
    <cfRule type="cellIs" dxfId="2611" priority="41062" stopIfTrue="1" operator="notEqual">
      <formula>"pressure vessel"</formula>
    </cfRule>
  </conditionalFormatting>
  <conditionalFormatting sqref="AD33">
    <cfRule type="cellIs" dxfId="2610" priority="41063" stopIfTrue="1" operator="notEqual">
      <formula>"yes"</formula>
    </cfRule>
  </conditionalFormatting>
  <conditionalFormatting sqref="AE33">
    <cfRule type="expression" dxfId="2609" priority="41064" stopIfTrue="1">
      <formula>NOT(ISBLANK($AE$33))</formula>
    </cfRule>
  </conditionalFormatting>
  <conditionalFormatting sqref="AF33">
    <cfRule type="expression" dxfId="2608" priority="41065" stopIfTrue="1">
      <formula>NOT(ISBLANK($AF$33))</formula>
    </cfRule>
  </conditionalFormatting>
  <conditionalFormatting sqref="AG33">
    <cfRule type="expression" dxfId="2607" priority="41066" stopIfTrue="1">
      <formula>NOT(ISBLANK($AG$33))</formula>
    </cfRule>
  </conditionalFormatting>
  <conditionalFormatting sqref="AH33">
    <cfRule type="expression" dxfId="2606" priority="41067" stopIfTrue="1">
      <formula>NOT(ISBLANK($AH$33))</formula>
    </cfRule>
  </conditionalFormatting>
  <conditionalFormatting sqref="AI33">
    <cfRule type="cellIs" dxfId="2605" priority="41068" stopIfTrue="1" operator="notEqual">
      <formula>"yes"</formula>
    </cfRule>
  </conditionalFormatting>
  <conditionalFormatting sqref="AJ33">
    <cfRule type="cellIs" dxfId="2604" priority="41069" stopIfTrue="1" operator="notEqual">
      <formula>3</formula>
    </cfRule>
  </conditionalFormatting>
  <conditionalFormatting sqref="AK33">
    <cfRule type="cellIs" dxfId="2603" priority="41070" stopIfTrue="1" operator="notEqual">
      <formula>"upright"</formula>
    </cfRule>
  </conditionalFormatting>
  <conditionalFormatting sqref="AL33">
    <cfRule type="cellIs" dxfId="2602" priority="41071" stopIfTrue="1" operator="notEqual">
      <formula>5.5</formula>
    </cfRule>
  </conditionalFormatting>
  <conditionalFormatting sqref="AM33">
    <cfRule type="cellIs" dxfId="2601" priority="41072" stopIfTrue="1" operator="notEqual">
      <formula>2</formula>
    </cfRule>
  </conditionalFormatting>
  <conditionalFormatting sqref="AN33">
    <cfRule type="cellIs" dxfId="2600" priority="41073" stopIfTrue="1" operator="notEqual">
      <formula>24</formula>
    </cfRule>
  </conditionalFormatting>
  <conditionalFormatting sqref="AO33">
    <cfRule type="cellIs" dxfId="2599" priority="41074" stopIfTrue="1" operator="notEqual">
      <formula>36</formula>
    </cfRule>
  </conditionalFormatting>
  <conditionalFormatting sqref="AP33">
    <cfRule type="cellIs" dxfId="2598" priority="41075" stopIfTrue="1" operator="notEqual">
      <formula>"yes"</formula>
    </cfRule>
  </conditionalFormatting>
  <conditionalFormatting sqref="AQ33">
    <cfRule type="cellIs" dxfId="2597" priority="41076" stopIfTrue="1" operator="notEqual">
      <formula>"recycle"</formula>
    </cfRule>
  </conditionalFormatting>
  <conditionalFormatting sqref="AR33">
    <cfRule type="cellIs" dxfId="2596" priority="41077" stopIfTrue="1" operator="notEqual">
      <formula>"holding tank"</formula>
    </cfRule>
  </conditionalFormatting>
  <conditionalFormatting sqref="AS33">
    <cfRule type="cellIs" dxfId="2595" priority="41078" stopIfTrue="1" operator="notEqual">
      <formula>"none"</formula>
    </cfRule>
  </conditionalFormatting>
  <conditionalFormatting sqref="AT33">
    <cfRule type="cellIs" dxfId="2594" priority="41079" stopIfTrue="1" operator="notEqual">
      <formula>"non-hazardous"</formula>
    </cfRule>
  </conditionalFormatting>
  <conditionalFormatting sqref="AU33">
    <cfRule type="expression" dxfId="2593" priority="41080" stopIfTrue="1">
      <formula>NOT(ISBLANK($AU$33))</formula>
    </cfRule>
  </conditionalFormatting>
  <conditionalFormatting sqref="AV33">
    <cfRule type="expression" dxfId="2592" priority="41081" stopIfTrue="1">
      <formula>NOT(ISBLANK($AV$33))</formula>
    </cfRule>
  </conditionalFormatting>
  <conditionalFormatting sqref="AW33">
    <cfRule type="expression" dxfId="2591" priority="41082" stopIfTrue="1">
      <formula>NOT(ISBLANK($AW$33))</formula>
    </cfRule>
  </conditionalFormatting>
  <conditionalFormatting sqref="AX33">
    <cfRule type="expression" dxfId="2590" priority="41083" stopIfTrue="1">
      <formula>NOT(ISBLANK($AX$33))</formula>
    </cfRule>
  </conditionalFormatting>
  <conditionalFormatting sqref="AY33">
    <cfRule type="expression" dxfId="2589" priority="41084" stopIfTrue="1">
      <formula>NOT(ISBLANK($AY$33))</formula>
    </cfRule>
  </conditionalFormatting>
  <conditionalFormatting sqref="AZ33">
    <cfRule type="cellIs" dxfId="2588" priority="41085" stopIfTrue="1" operator="notEqual">
      <formula>"fully automated"</formula>
    </cfRule>
  </conditionalFormatting>
  <conditionalFormatting sqref="BA33">
    <cfRule type="expression" dxfId="2587" priority="41086" stopIfTrue="1">
      <formula>NOT(ISBLANK($BA$33))</formula>
    </cfRule>
  </conditionalFormatting>
  <conditionalFormatting sqref="BB33">
    <cfRule type="expression" dxfId="2586" priority="41087" stopIfTrue="1">
      <formula>NOT(ISBLANK($BB$33))</formula>
    </cfRule>
  </conditionalFormatting>
  <conditionalFormatting sqref="BC33">
    <cfRule type="expression" dxfId="2585" priority="41088" stopIfTrue="1">
      <formula>NOT(ISBLANK($BC$33))</formula>
    </cfRule>
  </conditionalFormatting>
  <conditionalFormatting sqref="A34">
    <cfRule type="cellIs" dxfId="2584" priority="41089" stopIfTrue="1" operator="notEqual">
      <formula>2</formula>
    </cfRule>
  </conditionalFormatting>
  <conditionalFormatting sqref="B34">
    <cfRule type="cellIs" dxfId="2583" priority="41090" stopIfTrue="1" operator="notEqual">
      <formula>1</formula>
    </cfRule>
  </conditionalFormatting>
  <conditionalFormatting sqref="C34">
    <cfRule type="cellIs" dxfId="2582" priority="41091" stopIfTrue="1" operator="notEqual">
      <formula>2</formula>
    </cfRule>
  </conditionalFormatting>
  <conditionalFormatting sqref="D34">
    <cfRule type="cellIs" dxfId="2581" priority="41092" stopIfTrue="1" operator="notEqual">
      <formula>0.124</formula>
    </cfRule>
  </conditionalFormatting>
  <conditionalFormatting sqref="E34">
    <cfRule type="cellIs" dxfId="2580" priority="41093" stopIfTrue="1" operator="notEqual">
      <formula>"MGD"</formula>
    </cfRule>
  </conditionalFormatting>
  <conditionalFormatting sqref="F34">
    <cfRule type="cellIs" dxfId="2579" priority="41094" stopIfTrue="1" operator="notEqual">
      <formula>0.035</formula>
    </cfRule>
  </conditionalFormatting>
  <conditionalFormatting sqref="G34">
    <cfRule type="cellIs" dxfId="2578" priority="41095" stopIfTrue="1" operator="notEqual">
      <formula>"MGD"</formula>
    </cfRule>
  </conditionalFormatting>
  <conditionalFormatting sqref="H34">
    <cfRule type="cellIs" dxfId="2577" priority="41096" stopIfTrue="1" operator="notEqual">
      <formula>"acetic acid"</formula>
    </cfRule>
  </conditionalFormatting>
  <conditionalFormatting sqref="I34">
    <cfRule type="cellIs" dxfId="2576" priority="41097" stopIfTrue="1" operator="notEqual">
      <formula>37.4</formula>
    </cfRule>
  </conditionalFormatting>
  <conditionalFormatting sqref="J34">
    <cfRule type="cellIs" dxfId="2575" priority="41098" stopIfTrue="1" operator="notEqual">
      <formula>15.3</formula>
    </cfRule>
  </conditionalFormatting>
  <conditionalFormatting sqref="K34">
    <cfRule type="cellIs" dxfId="2574" priority="41099" stopIfTrue="1" operator="notEqual">
      <formula>0</formula>
    </cfRule>
  </conditionalFormatting>
  <conditionalFormatting sqref="L34">
    <cfRule type="cellIs" dxfId="2573" priority="41100" stopIfTrue="1" operator="notEqual">
      <formula>12</formula>
    </cfRule>
  </conditionalFormatting>
  <conditionalFormatting sqref="M34">
    <cfRule type="cellIs" dxfId="2572" priority="41101" stopIfTrue="1" operator="notEqual">
      <formula>20.3</formula>
    </cfRule>
  </conditionalFormatting>
  <conditionalFormatting sqref="N34">
    <cfRule type="cellIs" dxfId="2571" priority="41102" stopIfTrue="1" operator="notEqual">
      <formula>"additional phosphorous required"</formula>
    </cfRule>
  </conditionalFormatting>
  <conditionalFormatting sqref="O34">
    <cfRule type="expression" dxfId="2570" priority="41103" stopIfTrue="1">
      <formula>NOT(ISBLANK($O$34))</formula>
    </cfRule>
  </conditionalFormatting>
  <conditionalFormatting sqref="P34">
    <cfRule type="cellIs" dxfId="2569" priority="41104" stopIfTrue="1" operator="notEqual">
      <formula>2</formula>
    </cfRule>
  </conditionalFormatting>
  <conditionalFormatting sqref="Q34">
    <cfRule type="cellIs" dxfId="2568" priority="41105" stopIfTrue="1" operator="notEqual">
      <formula>10</formula>
    </cfRule>
  </conditionalFormatting>
  <conditionalFormatting sqref="R34">
    <cfRule type="cellIs" dxfId="2567" priority="41106" stopIfTrue="1" operator="notEqual">
      <formula>"yes"</formula>
    </cfRule>
  </conditionalFormatting>
  <conditionalFormatting sqref="S34">
    <cfRule type="expression" dxfId="2566" priority="41107" stopIfTrue="1">
      <formula>NOT(ISBLANK($S$34))</formula>
    </cfRule>
  </conditionalFormatting>
  <conditionalFormatting sqref="T34">
    <cfRule type="expression" dxfId="2565" priority="41108" stopIfTrue="1">
      <formula>NOT(ISBLANK($T$34))</formula>
    </cfRule>
  </conditionalFormatting>
  <conditionalFormatting sqref="U34">
    <cfRule type="expression" dxfId="2564" priority="41109" stopIfTrue="1">
      <formula>NOT(ISBLANK($U$34))</formula>
    </cfRule>
  </conditionalFormatting>
  <conditionalFormatting sqref="V34">
    <cfRule type="expression" dxfId="2563" priority="41110" stopIfTrue="1">
      <formula>NOT(ISBLANK($V$34))</formula>
    </cfRule>
  </conditionalFormatting>
  <conditionalFormatting sqref="W34">
    <cfRule type="expression" dxfId="2562" priority="41111" stopIfTrue="1">
      <formula>NOT(ISBLANK($W$34))</formula>
    </cfRule>
  </conditionalFormatting>
  <conditionalFormatting sqref="X34">
    <cfRule type="expression" dxfId="2561" priority="41112" stopIfTrue="1">
      <formula>NOT(ISBLANK($X$34))</formula>
    </cfRule>
  </conditionalFormatting>
  <conditionalFormatting sqref="Y34">
    <cfRule type="expression" dxfId="2560" priority="41113" stopIfTrue="1">
      <formula>NOT(ISBLANK($Y$34))</formula>
    </cfRule>
  </conditionalFormatting>
  <conditionalFormatting sqref="Z34">
    <cfRule type="expression" dxfId="2559" priority="41114" stopIfTrue="1">
      <formula>NOT(ISBLANK($Z$34))</formula>
    </cfRule>
  </conditionalFormatting>
  <conditionalFormatting sqref="AA34">
    <cfRule type="cellIs" dxfId="2558" priority="41115" stopIfTrue="1" operator="notEqual">
      <formula>"aeration"</formula>
    </cfRule>
  </conditionalFormatting>
  <conditionalFormatting sqref="AB34">
    <cfRule type="cellIs" dxfId="2557" priority="41116" stopIfTrue="1" operator="notEqual">
      <formula>"yes"</formula>
    </cfRule>
  </conditionalFormatting>
  <conditionalFormatting sqref="AC34">
    <cfRule type="cellIs" dxfId="2556" priority="41117" stopIfTrue="1" operator="notEqual">
      <formula>"pressure vessel"</formula>
    </cfRule>
  </conditionalFormatting>
  <conditionalFormatting sqref="AD34">
    <cfRule type="cellIs" dxfId="2555" priority="41118" stopIfTrue="1" operator="notEqual">
      <formula>"yes"</formula>
    </cfRule>
  </conditionalFormatting>
  <conditionalFormatting sqref="AE34">
    <cfRule type="expression" dxfId="2554" priority="41119" stopIfTrue="1">
      <formula>NOT(ISBLANK($AE$34))</formula>
    </cfRule>
  </conditionalFormatting>
  <conditionalFormatting sqref="AF34">
    <cfRule type="expression" dxfId="2553" priority="41120" stopIfTrue="1">
      <formula>NOT(ISBLANK($AF$34))</formula>
    </cfRule>
  </conditionalFormatting>
  <conditionalFormatting sqref="AG34">
    <cfRule type="expression" dxfId="2552" priority="41121" stopIfTrue="1">
      <formula>NOT(ISBLANK($AG$34))</formula>
    </cfRule>
  </conditionalFormatting>
  <conditionalFormatting sqref="AH34">
    <cfRule type="expression" dxfId="2551" priority="41122" stopIfTrue="1">
      <formula>NOT(ISBLANK($AH$34))</formula>
    </cfRule>
  </conditionalFormatting>
  <conditionalFormatting sqref="AI34">
    <cfRule type="cellIs" dxfId="2550" priority="41123" stopIfTrue="1" operator="notEqual">
      <formula>"yes"</formula>
    </cfRule>
  </conditionalFormatting>
  <conditionalFormatting sqref="AJ34">
    <cfRule type="cellIs" dxfId="2549" priority="41124" stopIfTrue="1" operator="notEqual">
      <formula>4.6</formula>
    </cfRule>
  </conditionalFormatting>
  <conditionalFormatting sqref="AK34">
    <cfRule type="cellIs" dxfId="2548" priority="41125" stopIfTrue="1" operator="notEqual">
      <formula>"upright"</formula>
    </cfRule>
  </conditionalFormatting>
  <conditionalFormatting sqref="AL34">
    <cfRule type="cellIs" dxfId="2547" priority="41126" stopIfTrue="1" operator="notEqual">
      <formula>8</formula>
    </cfRule>
  </conditionalFormatting>
  <conditionalFormatting sqref="AM34">
    <cfRule type="cellIs" dxfId="2546" priority="41127" stopIfTrue="1" operator="notEqual">
      <formula>4</formula>
    </cfRule>
  </conditionalFormatting>
  <conditionalFormatting sqref="AN34">
    <cfRule type="cellIs" dxfId="2545" priority="41128" stopIfTrue="1" operator="notEqual">
      <formula>24</formula>
    </cfRule>
  </conditionalFormatting>
  <conditionalFormatting sqref="AO34">
    <cfRule type="cellIs" dxfId="2544" priority="41129" stopIfTrue="1" operator="notEqual">
      <formula>36</formula>
    </cfRule>
  </conditionalFormatting>
  <conditionalFormatting sqref="AP34">
    <cfRule type="cellIs" dxfId="2543" priority="41130" stopIfTrue="1" operator="notEqual">
      <formula>"yes"</formula>
    </cfRule>
  </conditionalFormatting>
  <conditionalFormatting sqref="AQ34">
    <cfRule type="cellIs" dxfId="2542" priority="41131" stopIfTrue="1" operator="notEqual">
      <formula>"recycle"</formula>
    </cfRule>
  </conditionalFormatting>
  <conditionalFormatting sqref="AR34">
    <cfRule type="cellIs" dxfId="2541" priority="41132" stopIfTrue="1" operator="notEqual">
      <formula>"holding tank"</formula>
    </cfRule>
  </conditionalFormatting>
  <conditionalFormatting sqref="AS34">
    <cfRule type="cellIs" dxfId="2540" priority="41133" stopIfTrue="1" operator="notEqual">
      <formula>"none"</formula>
    </cfRule>
  </conditionalFormatting>
  <conditionalFormatting sqref="AT34">
    <cfRule type="cellIs" dxfId="2539" priority="41134" stopIfTrue="1" operator="notEqual">
      <formula>"non-hazardous"</formula>
    </cfRule>
  </conditionalFormatting>
  <conditionalFormatting sqref="AU34">
    <cfRule type="expression" dxfId="2538" priority="41135" stopIfTrue="1">
      <formula>NOT(ISBLANK($AU$34))</formula>
    </cfRule>
  </conditionalFormatting>
  <conditionalFormatting sqref="AV34">
    <cfRule type="expression" dxfId="2537" priority="41136" stopIfTrue="1">
      <formula>NOT(ISBLANK($AV$34))</formula>
    </cfRule>
  </conditionalFormatting>
  <conditionalFormatting sqref="AW34">
    <cfRule type="expression" dxfId="2536" priority="41137" stopIfTrue="1">
      <formula>NOT(ISBLANK($AW$34))</formula>
    </cfRule>
  </conditionalFormatting>
  <conditionalFormatting sqref="AX34">
    <cfRule type="expression" dxfId="2535" priority="41138" stopIfTrue="1">
      <formula>NOT(ISBLANK($AX$34))</formula>
    </cfRule>
  </conditionalFormatting>
  <conditionalFormatting sqref="AY34">
    <cfRule type="expression" dxfId="2534" priority="41139" stopIfTrue="1">
      <formula>NOT(ISBLANK($AY$34))</formula>
    </cfRule>
  </conditionalFormatting>
  <conditionalFormatting sqref="AZ34">
    <cfRule type="cellIs" dxfId="2533" priority="41140" stopIfTrue="1" operator="notEqual">
      <formula>"fully automated"</formula>
    </cfRule>
  </conditionalFormatting>
  <conditionalFormatting sqref="BA34">
    <cfRule type="expression" dxfId="2532" priority="41141" stopIfTrue="1">
      <formula>NOT(ISBLANK($BA$34))</formula>
    </cfRule>
  </conditionalFormatting>
  <conditionalFormatting sqref="BB34">
    <cfRule type="expression" dxfId="2531" priority="41142" stopIfTrue="1">
      <formula>NOT(ISBLANK($BB$34))</formula>
    </cfRule>
  </conditionalFormatting>
  <conditionalFormatting sqref="BC34">
    <cfRule type="expression" dxfId="2530" priority="41143" stopIfTrue="1">
      <formula>NOT(ISBLANK($BC$34))</formula>
    </cfRule>
  </conditionalFormatting>
  <conditionalFormatting sqref="A35">
    <cfRule type="cellIs" dxfId="2529" priority="41144" stopIfTrue="1" operator="notEqual">
      <formula>2</formula>
    </cfRule>
  </conditionalFormatting>
  <conditionalFormatting sqref="B35">
    <cfRule type="cellIs" dxfId="2528" priority="41145" stopIfTrue="1" operator="notEqual">
      <formula>1</formula>
    </cfRule>
  </conditionalFormatting>
  <conditionalFormatting sqref="C35">
    <cfRule type="cellIs" dxfId="2527" priority="41146" stopIfTrue="1" operator="notEqual">
      <formula>3</formula>
    </cfRule>
  </conditionalFormatting>
  <conditionalFormatting sqref="D35">
    <cfRule type="cellIs" dxfId="2526" priority="41147" stopIfTrue="1" operator="notEqual">
      <formula>0.305</formula>
    </cfRule>
  </conditionalFormatting>
  <conditionalFormatting sqref="E35">
    <cfRule type="cellIs" dxfId="2525" priority="41148" stopIfTrue="1" operator="notEqual">
      <formula>"MGD"</formula>
    </cfRule>
  </conditionalFormatting>
  <conditionalFormatting sqref="F35">
    <cfRule type="cellIs" dxfId="2524" priority="41149" stopIfTrue="1" operator="notEqual">
      <formula>0.094</formula>
    </cfRule>
  </conditionalFormatting>
  <conditionalFormatting sqref="G35">
    <cfRule type="cellIs" dxfId="2523" priority="41150" stopIfTrue="1" operator="notEqual">
      <formula>"MGD"</formula>
    </cfRule>
  </conditionalFormatting>
  <conditionalFormatting sqref="H35">
    <cfRule type="cellIs" dxfId="2522" priority="41151" stopIfTrue="1" operator="notEqual">
      <formula>"acetic acid"</formula>
    </cfRule>
  </conditionalFormatting>
  <conditionalFormatting sqref="I35">
    <cfRule type="cellIs" dxfId="2521" priority="41152" stopIfTrue="1" operator="notEqual">
      <formula>37.4</formula>
    </cfRule>
  </conditionalFormatting>
  <conditionalFormatting sqref="J35">
    <cfRule type="cellIs" dxfId="2520" priority="41153" stopIfTrue="1" operator="notEqual">
      <formula>15.3</formula>
    </cfRule>
  </conditionalFormatting>
  <conditionalFormatting sqref="K35">
    <cfRule type="cellIs" dxfId="2519" priority="41154" stopIfTrue="1" operator="notEqual">
      <formula>0</formula>
    </cfRule>
  </conditionalFormatting>
  <conditionalFormatting sqref="L35">
    <cfRule type="cellIs" dxfId="2518" priority="41155" stopIfTrue="1" operator="notEqual">
      <formula>12</formula>
    </cfRule>
  </conditionalFormatting>
  <conditionalFormatting sqref="M35">
    <cfRule type="cellIs" dxfId="2517" priority="41156" stopIfTrue="1" operator="notEqual">
      <formula>20.3</formula>
    </cfRule>
  </conditionalFormatting>
  <conditionalFormatting sqref="N35">
    <cfRule type="cellIs" dxfId="2516" priority="41157" stopIfTrue="1" operator="notEqual">
      <formula>"additional phosphorous required"</formula>
    </cfRule>
  </conditionalFormatting>
  <conditionalFormatting sqref="O35">
    <cfRule type="expression" dxfId="2515" priority="41158" stopIfTrue="1">
      <formula>NOT(ISBLANK($O$35))</formula>
    </cfRule>
  </conditionalFormatting>
  <conditionalFormatting sqref="P35">
    <cfRule type="cellIs" dxfId="2514" priority="41159" stopIfTrue="1" operator="notEqual">
      <formula>2</formula>
    </cfRule>
  </conditionalFormatting>
  <conditionalFormatting sqref="Q35">
    <cfRule type="cellIs" dxfId="2513" priority="41160" stopIfTrue="1" operator="notEqual">
      <formula>10</formula>
    </cfRule>
  </conditionalFormatting>
  <conditionalFormatting sqref="R35">
    <cfRule type="cellIs" dxfId="2512" priority="41161" stopIfTrue="1" operator="notEqual">
      <formula>"yes"</formula>
    </cfRule>
  </conditionalFormatting>
  <conditionalFormatting sqref="S35">
    <cfRule type="expression" dxfId="2511" priority="41162" stopIfTrue="1">
      <formula>NOT(ISBLANK($S$35))</formula>
    </cfRule>
  </conditionalFormatting>
  <conditionalFormatting sqref="T35">
    <cfRule type="expression" dxfId="2510" priority="41163" stopIfTrue="1">
      <formula>NOT(ISBLANK($T$35))</formula>
    </cfRule>
  </conditionalFormatting>
  <conditionalFormatting sqref="U35">
    <cfRule type="expression" dxfId="2509" priority="41164" stopIfTrue="1">
      <formula>NOT(ISBLANK($U$35))</formula>
    </cfRule>
  </conditionalFormatting>
  <conditionalFormatting sqref="V35">
    <cfRule type="expression" dxfId="2508" priority="41165" stopIfTrue="1">
      <formula>NOT(ISBLANK($V$35))</formula>
    </cfRule>
  </conditionalFormatting>
  <conditionalFormatting sqref="W35">
    <cfRule type="expression" dxfId="2507" priority="41166" stopIfTrue="1">
      <formula>NOT(ISBLANK($W$35))</formula>
    </cfRule>
  </conditionalFormatting>
  <conditionalFormatting sqref="X35">
    <cfRule type="expression" dxfId="2506" priority="41167" stopIfTrue="1">
      <formula>NOT(ISBLANK($X$35))</formula>
    </cfRule>
  </conditionalFormatting>
  <conditionalFormatting sqref="Y35">
    <cfRule type="expression" dxfId="2505" priority="41168" stopIfTrue="1">
      <formula>NOT(ISBLANK($Y$35))</formula>
    </cfRule>
  </conditionalFormatting>
  <conditionalFormatting sqref="Z35">
    <cfRule type="expression" dxfId="2504" priority="41169" stopIfTrue="1">
      <formula>NOT(ISBLANK($Z$35))</formula>
    </cfRule>
  </conditionalFormatting>
  <conditionalFormatting sqref="AA35">
    <cfRule type="cellIs" dxfId="2503" priority="41170" stopIfTrue="1" operator="notEqual">
      <formula>"aeration"</formula>
    </cfRule>
  </conditionalFormatting>
  <conditionalFormatting sqref="AB35">
    <cfRule type="cellIs" dxfId="2502" priority="41171" stopIfTrue="1" operator="notEqual">
      <formula>"yes"</formula>
    </cfRule>
  </conditionalFormatting>
  <conditionalFormatting sqref="AC35">
    <cfRule type="cellIs" dxfId="2501" priority="41172" stopIfTrue="1" operator="notEqual">
      <formula>"pressure vessel"</formula>
    </cfRule>
  </conditionalFormatting>
  <conditionalFormatting sqref="AD35">
    <cfRule type="cellIs" dxfId="2500" priority="41173" stopIfTrue="1" operator="notEqual">
      <formula>"yes"</formula>
    </cfRule>
  </conditionalFormatting>
  <conditionalFormatting sqref="AE35">
    <cfRule type="expression" dxfId="2499" priority="41174" stopIfTrue="1">
      <formula>NOT(ISBLANK($AE$35))</formula>
    </cfRule>
  </conditionalFormatting>
  <conditionalFormatting sqref="AF35">
    <cfRule type="expression" dxfId="2498" priority="41175" stopIfTrue="1">
      <formula>NOT(ISBLANK($AF$35))</formula>
    </cfRule>
  </conditionalFormatting>
  <conditionalFormatting sqref="AG35">
    <cfRule type="expression" dxfId="2497" priority="41176" stopIfTrue="1">
      <formula>NOT(ISBLANK($AG$35))</formula>
    </cfRule>
  </conditionalFormatting>
  <conditionalFormatting sqref="AH35">
    <cfRule type="expression" dxfId="2496" priority="41177" stopIfTrue="1">
      <formula>NOT(ISBLANK($AH$35))</formula>
    </cfRule>
  </conditionalFormatting>
  <conditionalFormatting sqref="AI35">
    <cfRule type="cellIs" dxfId="2495" priority="41178" stopIfTrue="1" operator="notEqual">
      <formula>"yes"</formula>
    </cfRule>
  </conditionalFormatting>
  <conditionalFormatting sqref="AJ35">
    <cfRule type="cellIs" dxfId="2494" priority="41179" stopIfTrue="1" operator="notEqual">
      <formula>4.9</formula>
    </cfRule>
  </conditionalFormatting>
  <conditionalFormatting sqref="AK35">
    <cfRule type="cellIs" dxfId="2493" priority="41180" stopIfTrue="1" operator="notEqual">
      <formula>"upright"</formula>
    </cfRule>
  </conditionalFormatting>
  <conditionalFormatting sqref="AL35">
    <cfRule type="cellIs" dxfId="2492" priority="41181" stopIfTrue="1" operator="notEqual">
      <formula>8.5</formula>
    </cfRule>
  </conditionalFormatting>
  <conditionalFormatting sqref="AM35">
    <cfRule type="cellIs" dxfId="2491" priority="41182" stopIfTrue="1" operator="notEqual">
      <formula>5</formula>
    </cfRule>
  </conditionalFormatting>
  <conditionalFormatting sqref="AN35">
    <cfRule type="cellIs" dxfId="2490" priority="41183" stopIfTrue="1" operator="notEqual">
      <formula>24</formula>
    </cfRule>
  </conditionalFormatting>
  <conditionalFormatting sqref="AO35">
    <cfRule type="cellIs" dxfId="2489" priority="41184" stopIfTrue="1" operator="notEqual">
      <formula>36</formula>
    </cfRule>
  </conditionalFormatting>
  <conditionalFormatting sqref="AP35">
    <cfRule type="cellIs" dxfId="2488" priority="41185" stopIfTrue="1" operator="notEqual">
      <formula>"yes"</formula>
    </cfRule>
  </conditionalFormatting>
  <conditionalFormatting sqref="AQ35">
    <cfRule type="cellIs" dxfId="2487" priority="41186" stopIfTrue="1" operator="notEqual">
      <formula>"recycle"</formula>
    </cfRule>
  </conditionalFormatting>
  <conditionalFormatting sqref="AR35">
    <cfRule type="cellIs" dxfId="2486" priority="41187" stopIfTrue="1" operator="notEqual">
      <formula>"holding tank"</formula>
    </cfRule>
  </conditionalFormatting>
  <conditionalFormatting sqref="AS35">
    <cfRule type="cellIs" dxfId="2485" priority="41188" stopIfTrue="1" operator="notEqual">
      <formula>"none"</formula>
    </cfRule>
  </conditionalFormatting>
  <conditionalFormatting sqref="AT35">
    <cfRule type="cellIs" dxfId="2484" priority="41189" stopIfTrue="1" operator="notEqual">
      <formula>"non-hazardous"</formula>
    </cfRule>
  </conditionalFormatting>
  <conditionalFormatting sqref="AU35">
    <cfRule type="expression" dxfId="2483" priority="41190" stopIfTrue="1">
      <formula>NOT(ISBLANK($AU$35))</formula>
    </cfRule>
  </conditionalFormatting>
  <conditionalFormatting sqref="AV35">
    <cfRule type="expression" dxfId="2482" priority="41191" stopIfTrue="1">
      <formula>NOT(ISBLANK($AV$35))</formula>
    </cfRule>
  </conditionalFormatting>
  <conditionalFormatting sqref="AW35">
    <cfRule type="expression" dxfId="2481" priority="41192" stopIfTrue="1">
      <formula>NOT(ISBLANK($AW$35))</formula>
    </cfRule>
  </conditionalFormatting>
  <conditionalFormatting sqref="AX35">
    <cfRule type="expression" dxfId="2480" priority="41193" stopIfTrue="1">
      <formula>NOT(ISBLANK($AX$35))</formula>
    </cfRule>
  </conditionalFormatting>
  <conditionalFormatting sqref="AY35">
    <cfRule type="expression" dxfId="2479" priority="41194" stopIfTrue="1">
      <formula>NOT(ISBLANK($AY$35))</formula>
    </cfRule>
  </conditionalFormatting>
  <conditionalFormatting sqref="AZ35">
    <cfRule type="cellIs" dxfId="2478" priority="41195" stopIfTrue="1" operator="notEqual">
      <formula>"fully automated"</formula>
    </cfRule>
  </conditionalFormatting>
  <conditionalFormatting sqref="BA35">
    <cfRule type="expression" dxfId="2477" priority="41196" stopIfTrue="1">
      <formula>NOT(ISBLANK($BA$35))</formula>
    </cfRule>
  </conditionalFormatting>
  <conditionalFormatting sqref="BB35">
    <cfRule type="expression" dxfId="2476" priority="41197" stopIfTrue="1">
      <formula>NOT(ISBLANK($BB$35))</formula>
    </cfRule>
  </conditionalFormatting>
  <conditionalFormatting sqref="BC35">
    <cfRule type="expression" dxfId="2475" priority="41198" stopIfTrue="1">
      <formula>NOT(ISBLANK($BC$35))</formula>
    </cfRule>
  </conditionalFormatting>
  <conditionalFormatting sqref="A36">
    <cfRule type="cellIs" dxfId="2474" priority="41199" stopIfTrue="1" operator="notEqual">
      <formula>2</formula>
    </cfRule>
  </conditionalFormatting>
  <conditionalFormatting sqref="B36">
    <cfRule type="cellIs" dxfId="2473" priority="41200" stopIfTrue="1" operator="notEqual">
      <formula>1</formula>
    </cfRule>
  </conditionalFormatting>
  <conditionalFormatting sqref="C36">
    <cfRule type="cellIs" dxfId="2472" priority="41201" stopIfTrue="1" operator="notEqual">
      <formula>4</formula>
    </cfRule>
  </conditionalFormatting>
  <conditionalFormatting sqref="D36">
    <cfRule type="cellIs" dxfId="2471" priority="41202" stopIfTrue="1" operator="notEqual">
      <formula>0.74</formula>
    </cfRule>
  </conditionalFormatting>
  <conditionalFormatting sqref="E36">
    <cfRule type="cellIs" dxfId="2470" priority="41203" stopIfTrue="1" operator="notEqual">
      <formula>"MGD"</formula>
    </cfRule>
  </conditionalFormatting>
  <conditionalFormatting sqref="F36">
    <cfRule type="cellIs" dxfId="2469" priority="41204" stopIfTrue="1" operator="notEqual">
      <formula>0.251</formula>
    </cfRule>
  </conditionalFormatting>
  <conditionalFormatting sqref="G36">
    <cfRule type="cellIs" dxfId="2468" priority="41205" stopIfTrue="1" operator="notEqual">
      <formula>"MGD"</formula>
    </cfRule>
  </conditionalFormatting>
  <conditionalFormatting sqref="H36">
    <cfRule type="cellIs" dxfId="2467" priority="41206" stopIfTrue="1" operator="notEqual">
      <formula>"acetic acid"</formula>
    </cfRule>
  </conditionalFormatting>
  <conditionalFormatting sqref="I36">
    <cfRule type="cellIs" dxfId="2466" priority="41207" stopIfTrue="1" operator="notEqual">
      <formula>37.4</formula>
    </cfRule>
  </conditionalFormatting>
  <conditionalFormatting sqref="J36">
    <cfRule type="cellIs" dxfId="2465" priority="41208" stopIfTrue="1" operator="notEqual">
      <formula>15.3</formula>
    </cfRule>
  </conditionalFormatting>
  <conditionalFormatting sqref="K36">
    <cfRule type="cellIs" dxfId="2464" priority="41209" stopIfTrue="1" operator="notEqual">
      <formula>0</formula>
    </cfRule>
  </conditionalFormatting>
  <conditionalFormatting sqref="L36">
    <cfRule type="cellIs" dxfId="2463" priority="41210" stopIfTrue="1" operator="notEqual">
      <formula>12</formula>
    </cfRule>
  </conditionalFormatting>
  <conditionalFormatting sqref="M36">
    <cfRule type="cellIs" dxfId="2462" priority="41211" stopIfTrue="1" operator="notEqual">
      <formula>20.3</formula>
    </cfRule>
  </conditionalFormatting>
  <conditionalFormatting sqref="N36">
    <cfRule type="cellIs" dxfId="2461" priority="41212" stopIfTrue="1" operator="notEqual">
      <formula>"additional phosphorous required"</formula>
    </cfRule>
  </conditionalFormatting>
  <conditionalFormatting sqref="O36">
    <cfRule type="expression" dxfId="2460" priority="41213" stopIfTrue="1">
      <formula>NOT(ISBLANK($O$36))</formula>
    </cfRule>
  </conditionalFormatting>
  <conditionalFormatting sqref="P36">
    <cfRule type="cellIs" dxfId="2459" priority="41214" stopIfTrue="1" operator="notEqual">
      <formula>2</formula>
    </cfRule>
  </conditionalFormatting>
  <conditionalFormatting sqref="Q36">
    <cfRule type="cellIs" dxfId="2458" priority="41215" stopIfTrue="1" operator="notEqual">
      <formula>10</formula>
    </cfRule>
  </conditionalFormatting>
  <conditionalFormatting sqref="R36">
    <cfRule type="cellIs" dxfId="2457" priority="41216" stopIfTrue="1" operator="notEqual">
      <formula>"yes"</formula>
    </cfRule>
  </conditionalFormatting>
  <conditionalFormatting sqref="S36">
    <cfRule type="expression" dxfId="2456" priority="41217" stopIfTrue="1">
      <formula>NOT(ISBLANK($S$36))</formula>
    </cfRule>
  </conditionalFormatting>
  <conditionalFormatting sqref="T36">
    <cfRule type="expression" dxfId="2455" priority="41218" stopIfTrue="1">
      <formula>NOT(ISBLANK($T$36))</formula>
    </cfRule>
  </conditionalFormatting>
  <conditionalFormatting sqref="U36">
    <cfRule type="expression" dxfId="2454" priority="41219" stopIfTrue="1">
      <formula>NOT(ISBLANK($U$36))</formula>
    </cfRule>
  </conditionalFormatting>
  <conditionalFormatting sqref="V36">
    <cfRule type="expression" dxfId="2453" priority="41220" stopIfTrue="1">
      <formula>NOT(ISBLANK($V$36))</formula>
    </cfRule>
  </conditionalFormatting>
  <conditionalFormatting sqref="W36">
    <cfRule type="expression" dxfId="2452" priority="41221" stopIfTrue="1">
      <formula>NOT(ISBLANK($W$36))</formula>
    </cfRule>
  </conditionalFormatting>
  <conditionalFormatting sqref="X36">
    <cfRule type="expression" dxfId="2451" priority="41222" stopIfTrue="1">
      <formula>NOT(ISBLANK($X$36))</formula>
    </cfRule>
  </conditionalFormatting>
  <conditionalFormatting sqref="Y36">
    <cfRule type="expression" dxfId="2450" priority="41223" stopIfTrue="1">
      <formula>NOT(ISBLANK($Y$36))</formula>
    </cfRule>
  </conditionalFormatting>
  <conditionalFormatting sqref="Z36">
    <cfRule type="expression" dxfId="2449" priority="41224" stopIfTrue="1">
      <formula>NOT(ISBLANK($Z$36))</formula>
    </cfRule>
  </conditionalFormatting>
  <conditionalFormatting sqref="AA36">
    <cfRule type="cellIs" dxfId="2448" priority="41225" stopIfTrue="1" operator="notEqual">
      <formula>"aeration"</formula>
    </cfRule>
  </conditionalFormatting>
  <conditionalFormatting sqref="AB36">
    <cfRule type="cellIs" dxfId="2447" priority="41226" stopIfTrue="1" operator="notEqual">
      <formula>"yes"</formula>
    </cfRule>
  </conditionalFormatting>
  <conditionalFormatting sqref="AC36">
    <cfRule type="cellIs" dxfId="2446" priority="41227" stopIfTrue="1" operator="notEqual">
      <formula>"pressure vessel"</formula>
    </cfRule>
  </conditionalFormatting>
  <conditionalFormatting sqref="AD36">
    <cfRule type="cellIs" dxfId="2445" priority="41228" stopIfTrue="1" operator="notEqual">
      <formula>"yes"</formula>
    </cfRule>
  </conditionalFormatting>
  <conditionalFormatting sqref="AE36">
    <cfRule type="expression" dxfId="2444" priority="41229" stopIfTrue="1">
      <formula>NOT(ISBLANK($AE$36))</formula>
    </cfRule>
  </conditionalFormatting>
  <conditionalFormatting sqref="AF36">
    <cfRule type="expression" dxfId="2443" priority="41230" stopIfTrue="1">
      <formula>NOT(ISBLANK($AF$36))</formula>
    </cfRule>
  </conditionalFormatting>
  <conditionalFormatting sqref="AG36">
    <cfRule type="expression" dxfId="2442" priority="41231" stopIfTrue="1">
      <formula>NOT(ISBLANK($AG$36))</formula>
    </cfRule>
  </conditionalFormatting>
  <conditionalFormatting sqref="AH36">
    <cfRule type="expression" dxfId="2441" priority="41232" stopIfTrue="1">
      <formula>NOT(ISBLANK($AH$36))</formula>
    </cfRule>
  </conditionalFormatting>
  <conditionalFormatting sqref="AI36">
    <cfRule type="cellIs" dxfId="2440" priority="41233" stopIfTrue="1" operator="notEqual">
      <formula>"yes"</formula>
    </cfRule>
  </conditionalFormatting>
  <conditionalFormatting sqref="AJ36">
    <cfRule type="cellIs" dxfId="2439" priority="41234" stopIfTrue="1" operator="notEqual">
      <formula>4.6</formula>
    </cfRule>
  </conditionalFormatting>
  <conditionalFormatting sqref="AK36">
    <cfRule type="cellIs" dxfId="2438" priority="41235" stopIfTrue="1" operator="notEqual">
      <formula>"upright"</formula>
    </cfRule>
  </conditionalFormatting>
  <conditionalFormatting sqref="AL36">
    <cfRule type="cellIs" dxfId="2437" priority="41236" stopIfTrue="1" operator="notEqual">
      <formula>8</formula>
    </cfRule>
  </conditionalFormatting>
  <conditionalFormatting sqref="AM36">
    <cfRule type="cellIs" dxfId="2436" priority="41237" stopIfTrue="1" operator="notEqual">
      <formula>8</formula>
    </cfRule>
  </conditionalFormatting>
  <conditionalFormatting sqref="AN36">
    <cfRule type="cellIs" dxfId="2435" priority="41238" stopIfTrue="1" operator="notEqual">
      <formula>24</formula>
    </cfRule>
  </conditionalFormatting>
  <conditionalFormatting sqref="AO36">
    <cfRule type="cellIs" dxfId="2434" priority="41239" stopIfTrue="1" operator="notEqual">
      <formula>36</formula>
    </cfRule>
  </conditionalFormatting>
  <conditionalFormatting sqref="AP36">
    <cfRule type="cellIs" dxfId="2433" priority="41240" stopIfTrue="1" operator="notEqual">
      <formula>"yes"</formula>
    </cfRule>
  </conditionalFormatting>
  <conditionalFormatting sqref="AQ36">
    <cfRule type="cellIs" dxfId="2432" priority="41241" stopIfTrue="1" operator="notEqual">
      <formula>"recycle"</formula>
    </cfRule>
  </conditionalFormatting>
  <conditionalFormatting sqref="AR36">
    <cfRule type="cellIs" dxfId="2431" priority="41242" stopIfTrue="1" operator="notEqual">
      <formula>"holding tank"</formula>
    </cfRule>
  </conditionalFormatting>
  <conditionalFormatting sqref="AS36">
    <cfRule type="cellIs" dxfId="2430" priority="41243" stopIfTrue="1" operator="notEqual">
      <formula>"none"</formula>
    </cfRule>
  </conditionalFormatting>
  <conditionalFormatting sqref="AT36">
    <cfRule type="cellIs" dxfId="2429" priority="41244" stopIfTrue="1" operator="notEqual">
      <formula>"non-hazardous"</formula>
    </cfRule>
  </conditionalFormatting>
  <conditionalFormatting sqref="AU36">
    <cfRule type="expression" dxfId="2428" priority="41245" stopIfTrue="1">
      <formula>NOT(ISBLANK($AU$36))</formula>
    </cfRule>
  </conditionalFormatting>
  <conditionalFormatting sqref="AV36">
    <cfRule type="expression" dxfId="2427" priority="41246" stopIfTrue="1">
      <formula>NOT(ISBLANK($AV$36))</formula>
    </cfRule>
  </conditionalFormatting>
  <conditionalFormatting sqref="AW36">
    <cfRule type="expression" dxfId="2426" priority="41247" stopIfTrue="1">
      <formula>NOT(ISBLANK($AW$36))</formula>
    </cfRule>
  </conditionalFormatting>
  <conditionalFormatting sqref="AX36">
    <cfRule type="expression" dxfId="2425" priority="41248" stopIfTrue="1">
      <formula>NOT(ISBLANK($AX$36))</formula>
    </cfRule>
  </conditionalFormatting>
  <conditionalFormatting sqref="AY36">
    <cfRule type="expression" dxfId="2424" priority="41249" stopIfTrue="1">
      <formula>NOT(ISBLANK($AY$36))</formula>
    </cfRule>
  </conditionalFormatting>
  <conditionalFormatting sqref="AZ36">
    <cfRule type="cellIs" dxfId="2423" priority="41250" stopIfTrue="1" operator="notEqual">
      <formula>"fully automated"</formula>
    </cfRule>
  </conditionalFormatting>
  <conditionalFormatting sqref="BA36">
    <cfRule type="expression" dxfId="2422" priority="41251" stopIfTrue="1">
      <formula>NOT(ISBLANK($BA$36))</formula>
    </cfRule>
  </conditionalFormatting>
  <conditionalFormatting sqref="BB36">
    <cfRule type="expression" dxfId="2421" priority="41252" stopIfTrue="1">
      <formula>NOT(ISBLANK($BB$36))</formula>
    </cfRule>
  </conditionalFormatting>
  <conditionalFormatting sqref="BC36">
    <cfRule type="expression" dxfId="2420" priority="41253" stopIfTrue="1">
      <formula>NOT(ISBLANK($BC$36))</formula>
    </cfRule>
  </conditionalFormatting>
  <conditionalFormatting sqref="A37">
    <cfRule type="cellIs" dxfId="2419" priority="41254" stopIfTrue="1" operator="notEqual">
      <formula>2</formula>
    </cfRule>
  </conditionalFormatting>
  <conditionalFormatting sqref="B37">
    <cfRule type="cellIs" dxfId="2418" priority="41255" stopIfTrue="1" operator="notEqual">
      <formula>1</formula>
    </cfRule>
  </conditionalFormatting>
  <conditionalFormatting sqref="C37">
    <cfRule type="cellIs" dxfId="2417" priority="41256" stopIfTrue="1" operator="notEqual">
      <formula>5</formula>
    </cfRule>
  </conditionalFormatting>
  <conditionalFormatting sqref="D37">
    <cfRule type="cellIs" dxfId="2416" priority="41257" stopIfTrue="1" operator="notEqual">
      <formula>2.152</formula>
    </cfRule>
  </conditionalFormatting>
  <conditionalFormatting sqref="E37">
    <cfRule type="cellIs" dxfId="2415" priority="41258" stopIfTrue="1" operator="notEqual">
      <formula>"MGD"</formula>
    </cfRule>
  </conditionalFormatting>
  <conditionalFormatting sqref="F37">
    <cfRule type="cellIs" dxfId="2414" priority="41259" stopIfTrue="1" operator="notEqual">
      <formula>0.819</formula>
    </cfRule>
  </conditionalFormatting>
  <conditionalFormatting sqref="G37">
    <cfRule type="cellIs" dxfId="2413" priority="41260" stopIfTrue="1" operator="notEqual">
      <formula>"MGD"</formula>
    </cfRule>
  </conditionalFormatting>
  <conditionalFormatting sqref="H37">
    <cfRule type="cellIs" dxfId="2412" priority="41261" stopIfTrue="1" operator="notEqual">
      <formula>"acetic acid"</formula>
    </cfRule>
  </conditionalFormatting>
  <conditionalFormatting sqref="I37">
    <cfRule type="cellIs" dxfId="2411" priority="41262" stopIfTrue="1" operator="notEqual">
      <formula>37.4</formula>
    </cfRule>
  </conditionalFormatting>
  <conditionalFormatting sqref="J37">
    <cfRule type="cellIs" dxfId="2410" priority="41263" stopIfTrue="1" operator="notEqual">
      <formula>15.3</formula>
    </cfRule>
  </conditionalFormatting>
  <conditionalFormatting sqref="K37">
    <cfRule type="cellIs" dxfId="2409" priority="41264" stopIfTrue="1" operator="notEqual">
      <formula>0</formula>
    </cfRule>
  </conditionalFormatting>
  <conditionalFormatting sqref="L37">
    <cfRule type="cellIs" dxfId="2408" priority="41265" stopIfTrue="1" operator="notEqual">
      <formula>12</formula>
    </cfRule>
  </conditionalFormatting>
  <conditionalFormatting sqref="M37">
    <cfRule type="cellIs" dxfId="2407" priority="41266" stopIfTrue="1" operator="notEqual">
      <formula>20.3</formula>
    </cfRule>
  </conditionalFormatting>
  <conditionalFormatting sqref="N37">
    <cfRule type="cellIs" dxfId="2406" priority="41267" stopIfTrue="1" operator="notEqual">
      <formula>"additional phosphorous required"</formula>
    </cfRule>
  </conditionalFormatting>
  <conditionalFormatting sqref="O37">
    <cfRule type="expression" dxfId="2405" priority="41268" stopIfTrue="1">
      <formula>NOT(ISBLANK($O$37))</formula>
    </cfRule>
  </conditionalFormatting>
  <conditionalFormatting sqref="P37">
    <cfRule type="cellIs" dxfId="2404" priority="41269" stopIfTrue="1" operator="notEqual">
      <formula>2</formula>
    </cfRule>
  </conditionalFormatting>
  <conditionalFormatting sqref="Q37">
    <cfRule type="cellIs" dxfId="2403" priority="41270" stopIfTrue="1" operator="notEqual">
      <formula>10</formula>
    </cfRule>
  </conditionalFormatting>
  <conditionalFormatting sqref="R37">
    <cfRule type="cellIs" dxfId="2402" priority="41271" stopIfTrue="1" operator="notEqual">
      <formula>"yes"</formula>
    </cfRule>
  </conditionalFormatting>
  <conditionalFormatting sqref="S37">
    <cfRule type="expression" dxfId="2401" priority="41272" stopIfTrue="1">
      <formula>NOT(ISBLANK($S$37))</formula>
    </cfRule>
  </conditionalFormatting>
  <conditionalFormatting sqref="T37">
    <cfRule type="expression" dxfId="2400" priority="41273" stopIfTrue="1">
      <formula>NOT(ISBLANK($T$37))</formula>
    </cfRule>
  </conditionalFormatting>
  <conditionalFormatting sqref="U37">
    <cfRule type="expression" dxfId="2399" priority="41274" stopIfTrue="1">
      <formula>NOT(ISBLANK($U$37))</formula>
    </cfRule>
  </conditionalFormatting>
  <conditionalFormatting sqref="V37">
    <cfRule type="expression" dxfId="2398" priority="41275" stopIfTrue="1">
      <formula>NOT(ISBLANK($V$37))</formula>
    </cfRule>
  </conditionalFormatting>
  <conditionalFormatting sqref="W37">
    <cfRule type="expression" dxfId="2397" priority="41276" stopIfTrue="1">
      <formula>NOT(ISBLANK($W$37))</formula>
    </cfRule>
  </conditionalFormatting>
  <conditionalFormatting sqref="X37">
    <cfRule type="expression" dxfId="2396" priority="41277" stopIfTrue="1">
      <formula>NOT(ISBLANK($X$37))</formula>
    </cfRule>
  </conditionalFormatting>
  <conditionalFormatting sqref="Y37">
    <cfRule type="expression" dxfId="2395" priority="41278" stopIfTrue="1">
      <formula>NOT(ISBLANK($Y$37))</formula>
    </cfRule>
  </conditionalFormatting>
  <conditionalFormatting sqref="Z37">
    <cfRule type="expression" dxfId="2394" priority="41279" stopIfTrue="1">
      <formula>NOT(ISBLANK($Z$37))</formula>
    </cfRule>
  </conditionalFormatting>
  <conditionalFormatting sqref="AA37">
    <cfRule type="cellIs" dxfId="2393" priority="41280" stopIfTrue="1" operator="notEqual">
      <formula>"aeration"</formula>
    </cfRule>
  </conditionalFormatting>
  <conditionalFormatting sqref="AB37">
    <cfRule type="cellIs" dxfId="2392" priority="41281" stopIfTrue="1" operator="notEqual">
      <formula>"yes"</formula>
    </cfRule>
  </conditionalFormatting>
  <conditionalFormatting sqref="AC37">
    <cfRule type="cellIs" dxfId="2391" priority="41282" stopIfTrue="1" operator="notEqual">
      <formula>"gravity basin"</formula>
    </cfRule>
  </conditionalFormatting>
  <conditionalFormatting sqref="AD37">
    <cfRule type="cellIs" dxfId="2390" priority="41283" stopIfTrue="1" operator="notEqual">
      <formula>"yes"</formula>
    </cfRule>
  </conditionalFormatting>
  <conditionalFormatting sqref="AE37">
    <cfRule type="cellIs" dxfId="2389" priority="41284" stopIfTrue="1" operator="notEqual">
      <formula>"yes"</formula>
    </cfRule>
  </conditionalFormatting>
  <conditionalFormatting sqref="AF37">
    <cfRule type="cellIs" dxfId="2388" priority="41285" stopIfTrue="1" operator="notEqual">
      <formula>8.5</formula>
    </cfRule>
  </conditionalFormatting>
  <conditionalFormatting sqref="AG37">
    <cfRule type="cellIs" dxfId="2387" priority="41286" stopIfTrue="1" operator="notEqual">
      <formula>8.5</formula>
    </cfRule>
  </conditionalFormatting>
  <conditionalFormatting sqref="AH37">
    <cfRule type="cellIs" dxfId="2386" priority="41287" stopIfTrue="1" operator="notEqual">
      <formula>7</formula>
    </cfRule>
  </conditionalFormatting>
  <conditionalFormatting sqref="AI37">
    <cfRule type="expression" dxfId="2385" priority="41288" stopIfTrue="1">
      <formula>NOT(ISBLANK($AI$37))</formula>
    </cfRule>
  </conditionalFormatting>
  <conditionalFormatting sqref="AJ37">
    <cfRule type="expression" dxfId="2384" priority="41289" stopIfTrue="1">
      <formula>NOT(ISBLANK($AJ$37))</formula>
    </cfRule>
  </conditionalFormatting>
  <conditionalFormatting sqref="AK37">
    <cfRule type="expression" dxfId="2383" priority="41290" stopIfTrue="1">
      <formula>NOT(ISBLANK($AK$37))</formula>
    </cfRule>
  </conditionalFormatting>
  <conditionalFormatting sqref="AL37">
    <cfRule type="expression" dxfId="2382" priority="41291" stopIfTrue="1">
      <formula>NOT(ISBLANK($AL$37))</formula>
    </cfRule>
  </conditionalFormatting>
  <conditionalFormatting sqref="AM37">
    <cfRule type="expression" dxfId="2381" priority="41292" stopIfTrue="1">
      <formula>NOT(ISBLANK($AM$37))</formula>
    </cfRule>
  </conditionalFormatting>
  <conditionalFormatting sqref="AN37">
    <cfRule type="cellIs" dxfId="2380" priority="41293" stopIfTrue="1" operator="notEqual">
      <formula>24</formula>
    </cfRule>
  </conditionalFormatting>
  <conditionalFormatting sqref="AO37">
    <cfRule type="cellIs" dxfId="2379" priority="41294" stopIfTrue="1" operator="notEqual">
      <formula>36</formula>
    </cfRule>
  </conditionalFormatting>
  <conditionalFormatting sqref="AP37">
    <cfRule type="cellIs" dxfId="2378" priority="41295" stopIfTrue="1" operator="notEqual">
      <formula>"yes"</formula>
    </cfRule>
  </conditionalFormatting>
  <conditionalFormatting sqref="AQ37">
    <cfRule type="cellIs" dxfId="2377" priority="41296" stopIfTrue="1" operator="notEqual">
      <formula>"recycle"</formula>
    </cfRule>
  </conditionalFormatting>
  <conditionalFormatting sqref="AR37">
    <cfRule type="cellIs" dxfId="2376" priority="41297" stopIfTrue="1" operator="notEqual">
      <formula>"holding tank"</formula>
    </cfRule>
  </conditionalFormatting>
  <conditionalFormatting sqref="AS37">
    <cfRule type="cellIs" dxfId="2375" priority="41298" stopIfTrue="1" operator="notEqual">
      <formula>"none"</formula>
    </cfRule>
  </conditionalFormatting>
  <conditionalFormatting sqref="AT37">
    <cfRule type="cellIs" dxfId="2374" priority="41299" stopIfTrue="1" operator="notEqual">
      <formula>"non-hazardous"</formula>
    </cfRule>
  </conditionalFormatting>
  <conditionalFormatting sqref="AU37">
    <cfRule type="expression" dxfId="2373" priority="41300" stopIfTrue="1">
      <formula>NOT(ISBLANK($AU$37))</formula>
    </cfRule>
  </conditionalFormatting>
  <conditionalFormatting sqref="AV37">
    <cfRule type="expression" dxfId="2372" priority="41301" stopIfTrue="1">
      <formula>NOT(ISBLANK($AV$37))</formula>
    </cfRule>
  </conditionalFormatting>
  <conditionalFormatting sqref="AW37">
    <cfRule type="expression" dxfId="2371" priority="41302" stopIfTrue="1">
      <formula>NOT(ISBLANK($AW$37))</formula>
    </cfRule>
  </conditionalFormatting>
  <conditionalFormatting sqref="AX37">
    <cfRule type="expression" dxfId="2370" priority="41303" stopIfTrue="1">
      <formula>NOT(ISBLANK($AX$37))</formula>
    </cfRule>
  </conditionalFormatting>
  <conditionalFormatting sqref="AY37">
    <cfRule type="expression" dxfId="2369" priority="41304" stopIfTrue="1">
      <formula>NOT(ISBLANK($AY$37))</formula>
    </cfRule>
  </conditionalFormatting>
  <conditionalFormatting sqref="AZ37">
    <cfRule type="cellIs" dxfId="2368" priority="41305" stopIfTrue="1" operator="notEqual">
      <formula>"fully automated"</formula>
    </cfRule>
  </conditionalFormatting>
  <conditionalFormatting sqref="BA37">
    <cfRule type="expression" dxfId="2367" priority="41306" stopIfTrue="1">
      <formula>NOT(ISBLANK($BA$37))</formula>
    </cfRule>
  </conditionalFormatting>
  <conditionalFormatting sqref="BB37">
    <cfRule type="expression" dxfId="2366" priority="41307" stopIfTrue="1">
      <formula>NOT(ISBLANK($BB$37))</formula>
    </cfRule>
  </conditionalFormatting>
  <conditionalFormatting sqref="BC37">
    <cfRule type="expression" dxfId="2365" priority="41308" stopIfTrue="1">
      <formula>NOT(ISBLANK($BC$37))</formula>
    </cfRule>
  </conditionalFormatting>
  <conditionalFormatting sqref="A38">
    <cfRule type="cellIs" dxfId="2364" priority="41309" stopIfTrue="1" operator="notEqual">
      <formula>2</formula>
    </cfRule>
  </conditionalFormatting>
  <conditionalFormatting sqref="B38">
    <cfRule type="cellIs" dxfId="2363" priority="41310" stopIfTrue="1" operator="notEqual">
      <formula>1</formula>
    </cfRule>
  </conditionalFormatting>
  <conditionalFormatting sqref="C38">
    <cfRule type="cellIs" dxfId="2362" priority="41311" stopIfTrue="1" operator="notEqual">
      <formula>6</formula>
    </cfRule>
  </conditionalFormatting>
  <conditionalFormatting sqref="D38">
    <cfRule type="cellIs" dxfId="2361" priority="41312" stopIfTrue="1" operator="notEqual">
      <formula>7.365</formula>
    </cfRule>
  </conditionalFormatting>
  <conditionalFormatting sqref="E38">
    <cfRule type="cellIs" dxfId="2360" priority="41313" stopIfTrue="1" operator="notEqual">
      <formula>"MGD"</formula>
    </cfRule>
  </conditionalFormatting>
  <conditionalFormatting sqref="F38">
    <cfRule type="cellIs" dxfId="2359" priority="41314" stopIfTrue="1" operator="notEqual">
      <formula>3.2</formula>
    </cfRule>
  </conditionalFormatting>
  <conditionalFormatting sqref="G38">
    <cfRule type="cellIs" dxfId="2358" priority="41315" stopIfTrue="1" operator="notEqual">
      <formula>"MGD"</formula>
    </cfRule>
  </conditionalFormatting>
  <conditionalFormatting sqref="H38">
    <cfRule type="cellIs" dxfId="2357" priority="41316" stopIfTrue="1" operator="notEqual">
      <formula>"acetic acid"</formula>
    </cfRule>
  </conditionalFormatting>
  <conditionalFormatting sqref="I38">
    <cfRule type="cellIs" dxfId="2356" priority="41317" stopIfTrue="1" operator="notEqual">
      <formula>37.4</formula>
    </cfRule>
  </conditionalFormatting>
  <conditionalFormatting sqref="J38">
    <cfRule type="cellIs" dxfId="2355" priority="41318" stopIfTrue="1" operator="notEqual">
      <formula>15.3</formula>
    </cfRule>
  </conditionalFormatting>
  <conditionalFormatting sqref="K38">
    <cfRule type="cellIs" dxfId="2354" priority="41319" stopIfTrue="1" operator="notEqual">
      <formula>0</formula>
    </cfRule>
  </conditionalFormatting>
  <conditionalFormatting sqref="L38">
    <cfRule type="cellIs" dxfId="2353" priority="41320" stopIfTrue="1" operator="notEqual">
      <formula>12</formula>
    </cfRule>
  </conditionalFormatting>
  <conditionalFormatting sqref="M38">
    <cfRule type="cellIs" dxfId="2352" priority="41321" stopIfTrue="1" operator="notEqual">
      <formula>20.3</formula>
    </cfRule>
  </conditionalFormatting>
  <conditionalFormatting sqref="N38">
    <cfRule type="cellIs" dxfId="2351" priority="41322" stopIfTrue="1" operator="notEqual">
      <formula>"additional phosphorous required"</formula>
    </cfRule>
  </conditionalFormatting>
  <conditionalFormatting sqref="O38">
    <cfRule type="expression" dxfId="2350" priority="41323" stopIfTrue="1">
      <formula>NOT(ISBLANK($O$38))</formula>
    </cfRule>
  </conditionalFormatting>
  <conditionalFormatting sqref="P38">
    <cfRule type="cellIs" dxfId="2349" priority="41324" stopIfTrue="1" operator="notEqual">
      <formula>2</formula>
    </cfRule>
  </conditionalFormatting>
  <conditionalFormatting sqref="Q38">
    <cfRule type="cellIs" dxfId="2348" priority="41325" stopIfTrue="1" operator="notEqual">
      <formula>10</formula>
    </cfRule>
  </conditionalFormatting>
  <conditionalFormatting sqref="R38">
    <cfRule type="cellIs" dxfId="2347" priority="41326" stopIfTrue="1" operator="notEqual">
      <formula>"yes"</formula>
    </cfRule>
  </conditionalFormatting>
  <conditionalFormatting sqref="S38">
    <cfRule type="expression" dxfId="2346" priority="41327" stopIfTrue="1">
      <formula>NOT(ISBLANK($S$38))</formula>
    </cfRule>
  </conditionalFormatting>
  <conditionalFormatting sqref="T38">
    <cfRule type="expression" dxfId="2345" priority="41328" stopIfTrue="1">
      <formula>NOT(ISBLANK($T$38))</formula>
    </cfRule>
  </conditionalFormatting>
  <conditionalFormatting sqref="U38">
    <cfRule type="expression" dxfId="2344" priority="41329" stopIfTrue="1">
      <formula>NOT(ISBLANK($U$38))</formula>
    </cfRule>
  </conditionalFormatting>
  <conditionalFormatting sqref="V38">
    <cfRule type="expression" dxfId="2343" priority="41330" stopIfTrue="1">
      <formula>NOT(ISBLANK($V$38))</formula>
    </cfRule>
  </conditionalFormatting>
  <conditionalFormatting sqref="W38">
    <cfRule type="expression" dxfId="2342" priority="41331" stopIfTrue="1">
      <formula>NOT(ISBLANK($W$38))</formula>
    </cfRule>
  </conditionalFormatting>
  <conditionalFormatting sqref="X38">
    <cfRule type="expression" dxfId="2341" priority="41332" stopIfTrue="1">
      <formula>NOT(ISBLANK($X$38))</formula>
    </cfRule>
  </conditionalFormatting>
  <conditionalFormatting sqref="Y38">
    <cfRule type="expression" dxfId="2340" priority="41333" stopIfTrue="1">
      <formula>NOT(ISBLANK($Y$38))</formula>
    </cfRule>
  </conditionalFormatting>
  <conditionalFormatting sqref="Z38">
    <cfRule type="expression" dxfId="2339" priority="41334" stopIfTrue="1">
      <formula>NOT(ISBLANK($Z$38))</formula>
    </cfRule>
  </conditionalFormatting>
  <conditionalFormatting sqref="AA38">
    <cfRule type="cellIs" dxfId="2338" priority="41335" stopIfTrue="1" operator="notEqual">
      <formula>"aeration"</formula>
    </cfRule>
  </conditionalFormatting>
  <conditionalFormatting sqref="AB38">
    <cfRule type="cellIs" dxfId="2337" priority="41336" stopIfTrue="1" operator="notEqual">
      <formula>"yes"</formula>
    </cfRule>
  </conditionalFormatting>
  <conditionalFormatting sqref="AC38">
    <cfRule type="cellIs" dxfId="2336" priority="41337" stopIfTrue="1" operator="notEqual">
      <formula>"gravity basin"</formula>
    </cfRule>
  </conditionalFormatting>
  <conditionalFormatting sqref="AD38">
    <cfRule type="cellIs" dxfId="2335" priority="41338" stopIfTrue="1" operator="notEqual">
      <formula>"yes"</formula>
    </cfRule>
  </conditionalFormatting>
  <conditionalFormatting sqref="AE38">
    <cfRule type="cellIs" dxfId="2334" priority="41339" stopIfTrue="1" operator="notEqual">
      <formula>"yes"</formula>
    </cfRule>
  </conditionalFormatting>
  <conditionalFormatting sqref="AF38">
    <cfRule type="cellIs" dxfId="2333" priority="41340" stopIfTrue="1" operator="notEqual">
      <formula>12</formula>
    </cfRule>
  </conditionalFormatting>
  <conditionalFormatting sqref="AG38">
    <cfRule type="cellIs" dxfId="2332" priority="41341" stopIfTrue="1" operator="notEqual">
      <formula>12</formula>
    </cfRule>
  </conditionalFormatting>
  <conditionalFormatting sqref="AH38">
    <cfRule type="cellIs" dxfId="2331" priority="41342" stopIfTrue="1" operator="notEqual">
      <formula>6.8</formula>
    </cfRule>
  </conditionalFormatting>
  <conditionalFormatting sqref="AI38">
    <cfRule type="expression" dxfId="2330" priority="41343" stopIfTrue="1">
      <formula>NOT(ISBLANK($AI$38))</formula>
    </cfRule>
  </conditionalFormatting>
  <conditionalFormatting sqref="AJ38">
    <cfRule type="expression" dxfId="2329" priority="41344" stopIfTrue="1">
      <formula>NOT(ISBLANK($AJ$38))</formula>
    </cfRule>
  </conditionalFormatting>
  <conditionalFormatting sqref="AK38">
    <cfRule type="expression" dxfId="2328" priority="41345" stopIfTrue="1">
      <formula>NOT(ISBLANK($AK$38))</formula>
    </cfRule>
  </conditionalFormatting>
  <conditionalFormatting sqref="AL38">
    <cfRule type="expression" dxfId="2327" priority="41346" stopIfTrue="1">
      <formula>NOT(ISBLANK($AL$38))</formula>
    </cfRule>
  </conditionalFormatting>
  <conditionalFormatting sqref="AM38">
    <cfRule type="expression" dxfId="2326" priority="41347" stopIfTrue="1">
      <formula>NOT(ISBLANK($AM$38))</formula>
    </cfRule>
  </conditionalFormatting>
  <conditionalFormatting sqref="AN38">
    <cfRule type="cellIs" dxfId="2325" priority="41348" stopIfTrue="1" operator="notEqual">
      <formula>24</formula>
    </cfRule>
  </conditionalFormatting>
  <conditionalFormatting sqref="AO38">
    <cfRule type="cellIs" dxfId="2324" priority="41349" stopIfTrue="1" operator="notEqual">
      <formula>36</formula>
    </cfRule>
  </conditionalFormatting>
  <conditionalFormatting sqref="AP38">
    <cfRule type="cellIs" dxfId="2323" priority="41350" stopIfTrue="1" operator="notEqual">
      <formula>"yes"</formula>
    </cfRule>
  </conditionalFormatting>
  <conditionalFormatting sqref="AQ38">
    <cfRule type="cellIs" dxfId="2322" priority="41351" stopIfTrue="1" operator="notEqual">
      <formula>"recycle"</formula>
    </cfRule>
  </conditionalFormatting>
  <conditionalFormatting sqref="AR38">
    <cfRule type="cellIs" dxfId="2321" priority="41352" stopIfTrue="1" operator="notEqual">
      <formula>"holding tank"</formula>
    </cfRule>
  </conditionalFormatting>
  <conditionalFormatting sqref="AS38">
    <cfRule type="cellIs" dxfId="2320" priority="41353" stopIfTrue="1" operator="notEqual">
      <formula>"none"</formula>
    </cfRule>
  </conditionalFormatting>
  <conditionalFormatting sqref="AT38">
    <cfRule type="cellIs" dxfId="2319" priority="41354" stopIfTrue="1" operator="notEqual">
      <formula>"non-hazardous"</formula>
    </cfRule>
  </conditionalFormatting>
  <conditionalFormatting sqref="AU38">
    <cfRule type="expression" dxfId="2318" priority="41355" stopIfTrue="1">
      <formula>NOT(ISBLANK($AU$38))</formula>
    </cfRule>
  </conditionalFormatting>
  <conditionalFormatting sqref="AV38">
    <cfRule type="expression" dxfId="2317" priority="41356" stopIfTrue="1">
      <formula>NOT(ISBLANK($AV$38))</formula>
    </cfRule>
  </conditionalFormatting>
  <conditionalFormatting sqref="AW38">
    <cfRule type="expression" dxfId="2316" priority="41357" stopIfTrue="1">
      <formula>NOT(ISBLANK($AW$38))</formula>
    </cfRule>
  </conditionalFormatting>
  <conditionalFormatting sqref="AX38">
    <cfRule type="expression" dxfId="2315" priority="41358" stopIfTrue="1">
      <formula>NOT(ISBLANK($AX$38))</formula>
    </cfRule>
  </conditionalFormatting>
  <conditionalFormatting sqref="AY38">
    <cfRule type="expression" dxfId="2314" priority="41359" stopIfTrue="1">
      <formula>NOT(ISBLANK($AY$38))</formula>
    </cfRule>
  </conditionalFormatting>
  <conditionalFormatting sqref="AZ38">
    <cfRule type="cellIs" dxfId="2313" priority="41360" stopIfTrue="1" operator="notEqual">
      <formula>"fully automated"</formula>
    </cfRule>
  </conditionalFormatting>
  <conditionalFormatting sqref="BA38">
    <cfRule type="expression" dxfId="2312" priority="41361" stopIfTrue="1">
      <formula>NOT(ISBLANK($BA$38))</formula>
    </cfRule>
  </conditionalFormatting>
  <conditionalFormatting sqref="BB38">
    <cfRule type="expression" dxfId="2311" priority="41362" stopIfTrue="1">
      <formula>NOT(ISBLANK($BB$38))</formula>
    </cfRule>
  </conditionalFormatting>
  <conditionalFormatting sqref="BC38">
    <cfRule type="expression" dxfId="2310" priority="41363" stopIfTrue="1">
      <formula>NOT(ISBLANK($BC$38))</formula>
    </cfRule>
  </conditionalFormatting>
  <conditionalFormatting sqref="A39">
    <cfRule type="cellIs" dxfId="2309" priority="41364" stopIfTrue="1" operator="notEqual">
      <formula>2</formula>
    </cfRule>
  </conditionalFormatting>
  <conditionalFormatting sqref="B39">
    <cfRule type="cellIs" dxfId="2308" priority="41365" stopIfTrue="1" operator="notEqual">
      <formula>1</formula>
    </cfRule>
  </conditionalFormatting>
  <conditionalFormatting sqref="C39">
    <cfRule type="cellIs" dxfId="2307" priority="41366" stopIfTrue="1" operator="notEqual">
      <formula>7</formula>
    </cfRule>
  </conditionalFormatting>
  <conditionalFormatting sqref="D39">
    <cfRule type="cellIs" dxfId="2306" priority="41367" stopIfTrue="1" operator="notEqual">
      <formula>22.614</formula>
    </cfRule>
  </conditionalFormatting>
  <conditionalFormatting sqref="E39">
    <cfRule type="cellIs" dxfId="2305" priority="41368" stopIfTrue="1" operator="notEqual">
      <formula>"MGD"</formula>
    </cfRule>
  </conditionalFormatting>
  <conditionalFormatting sqref="F39">
    <cfRule type="cellIs" dxfId="2304" priority="41369" stopIfTrue="1" operator="notEqual">
      <formula>11.066</formula>
    </cfRule>
  </conditionalFormatting>
  <conditionalFormatting sqref="G39">
    <cfRule type="cellIs" dxfId="2303" priority="41370" stopIfTrue="1" operator="notEqual">
      <formula>"MGD"</formula>
    </cfRule>
  </conditionalFormatting>
  <conditionalFormatting sqref="H39">
    <cfRule type="cellIs" dxfId="2302" priority="41371" stopIfTrue="1" operator="notEqual">
      <formula>"acetic acid"</formula>
    </cfRule>
  </conditionalFormatting>
  <conditionalFormatting sqref="I39">
    <cfRule type="cellIs" dxfId="2301" priority="41372" stopIfTrue="1" operator="notEqual">
      <formula>37.4</formula>
    </cfRule>
  </conditionalFormatting>
  <conditionalFormatting sqref="J39">
    <cfRule type="cellIs" dxfId="2300" priority="41373" stopIfTrue="1" operator="notEqual">
      <formula>15.3</formula>
    </cfRule>
  </conditionalFormatting>
  <conditionalFormatting sqref="K39">
    <cfRule type="cellIs" dxfId="2299" priority="41374" stopIfTrue="1" operator="notEqual">
      <formula>0</formula>
    </cfRule>
  </conditionalFormatting>
  <conditionalFormatting sqref="L39">
    <cfRule type="cellIs" dxfId="2298" priority="41375" stopIfTrue="1" operator="notEqual">
      <formula>12</formula>
    </cfRule>
  </conditionalFormatting>
  <conditionalFormatting sqref="M39">
    <cfRule type="cellIs" dxfId="2297" priority="41376" stopIfTrue="1" operator="notEqual">
      <formula>20.3</formula>
    </cfRule>
  </conditionalFormatting>
  <conditionalFormatting sqref="N39">
    <cfRule type="cellIs" dxfId="2296" priority="41377" stopIfTrue="1" operator="notEqual">
      <formula>"additional phosphorous required"</formula>
    </cfRule>
  </conditionalFormatting>
  <conditionalFormatting sqref="O39">
    <cfRule type="expression" dxfId="2295" priority="41378" stopIfTrue="1">
      <formula>NOT(ISBLANK($O$39))</formula>
    </cfRule>
  </conditionalFormatting>
  <conditionalFormatting sqref="P39">
    <cfRule type="cellIs" dxfId="2294" priority="41379" stopIfTrue="1" operator="notEqual">
      <formula>2</formula>
    </cfRule>
  </conditionalFormatting>
  <conditionalFormatting sqref="Q39">
    <cfRule type="cellIs" dxfId="2293" priority="41380" stopIfTrue="1" operator="notEqual">
      <formula>10</formula>
    </cfRule>
  </conditionalFormatting>
  <conditionalFormatting sqref="R39">
    <cfRule type="cellIs" dxfId="2292" priority="41381" stopIfTrue="1" operator="notEqual">
      <formula>"yes"</formula>
    </cfRule>
  </conditionalFormatting>
  <conditionalFormatting sqref="S39">
    <cfRule type="expression" dxfId="2291" priority="41382" stopIfTrue="1">
      <formula>NOT(ISBLANK($S$39))</formula>
    </cfRule>
  </conditionalFormatting>
  <conditionalFormatting sqref="T39">
    <cfRule type="expression" dxfId="2290" priority="41383" stopIfTrue="1">
      <formula>NOT(ISBLANK($T$39))</formula>
    </cfRule>
  </conditionalFormatting>
  <conditionalFormatting sqref="U39">
    <cfRule type="expression" dxfId="2289" priority="41384" stopIfTrue="1">
      <formula>NOT(ISBLANK($U$39))</formula>
    </cfRule>
  </conditionalFormatting>
  <conditionalFormatting sqref="V39">
    <cfRule type="expression" dxfId="2288" priority="41385" stopIfTrue="1">
      <formula>NOT(ISBLANK($V$39))</formula>
    </cfRule>
  </conditionalFormatting>
  <conditionalFormatting sqref="W39">
    <cfRule type="expression" dxfId="2287" priority="41386" stopIfTrue="1">
      <formula>NOT(ISBLANK($W$39))</formula>
    </cfRule>
  </conditionalFormatting>
  <conditionalFormatting sqref="X39">
    <cfRule type="expression" dxfId="2286" priority="41387" stopIfTrue="1">
      <formula>NOT(ISBLANK($X$39))</formula>
    </cfRule>
  </conditionalFormatting>
  <conditionalFormatting sqref="Y39">
    <cfRule type="expression" dxfId="2285" priority="41388" stopIfTrue="1">
      <formula>NOT(ISBLANK($Y$39))</formula>
    </cfRule>
  </conditionalFormatting>
  <conditionalFormatting sqref="Z39">
    <cfRule type="expression" dxfId="2284" priority="41389" stopIfTrue="1">
      <formula>NOT(ISBLANK($Z$39))</formula>
    </cfRule>
  </conditionalFormatting>
  <conditionalFormatting sqref="AA39">
    <cfRule type="cellIs" dxfId="2283" priority="41390" stopIfTrue="1" operator="notEqual">
      <formula>"aeration"</formula>
    </cfRule>
  </conditionalFormatting>
  <conditionalFormatting sqref="AB39">
    <cfRule type="cellIs" dxfId="2282" priority="41391" stopIfTrue="1" operator="notEqual">
      <formula>"yes"</formula>
    </cfRule>
  </conditionalFormatting>
  <conditionalFormatting sqref="AC39">
    <cfRule type="cellIs" dxfId="2281" priority="41392" stopIfTrue="1" operator="notEqual">
      <formula>"gravity basin"</formula>
    </cfRule>
  </conditionalFormatting>
  <conditionalFormatting sqref="AD39">
    <cfRule type="cellIs" dxfId="2280" priority="41393" stopIfTrue="1" operator="notEqual">
      <formula>"yes"</formula>
    </cfRule>
  </conditionalFormatting>
  <conditionalFormatting sqref="AE39">
    <cfRule type="cellIs" dxfId="2279" priority="41394" stopIfTrue="1" operator="notEqual">
      <formula>"yes"</formula>
    </cfRule>
  </conditionalFormatting>
  <conditionalFormatting sqref="AF39">
    <cfRule type="cellIs" dxfId="2278" priority="41395" stopIfTrue="1" operator="notEqual">
      <formula>13</formula>
    </cfRule>
  </conditionalFormatting>
  <conditionalFormatting sqref="AG39">
    <cfRule type="cellIs" dxfId="2277" priority="41396" stopIfTrue="1" operator="notEqual">
      <formula>13</formula>
    </cfRule>
  </conditionalFormatting>
  <conditionalFormatting sqref="AH39">
    <cfRule type="cellIs" dxfId="2276" priority="41397" stopIfTrue="1" operator="notEqual">
      <formula>8.9</formula>
    </cfRule>
  </conditionalFormatting>
  <conditionalFormatting sqref="AI39">
    <cfRule type="expression" dxfId="2275" priority="41398" stopIfTrue="1">
      <formula>NOT(ISBLANK($AI$39))</formula>
    </cfRule>
  </conditionalFormatting>
  <conditionalFormatting sqref="AJ39">
    <cfRule type="expression" dxfId="2274" priority="41399" stopIfTrue="1">
      <formula>NOT(ISBLANK($AJ$39))</formula>
    </cfRule>
  </conditionalFormatting>
  <conditionalFormatting sqref="AK39">
    <cfRule type="expression" dxfId="2273" priority="41400" stopIfTrue="1">
      <formula>NOT(ISBLANK($AK$39))</formula>
    </cfRule>
  </conditionalFormatting>
  <conditionalFormatting sqref="AL39">
    <cfRule type="expression" dxfId="2272" priority="41401" stopIfTrue="1">
      <formula>NOT(ISBLANK($AL$39))</formula>
    </cfRule>
  </conditionalFormatting>
  <conditionalFormatting sqref="AM39">
    <cfRule type="expression" dxfId="2271" priority="41402" stopIfTrue="1">
      <formula>NOT(ISBLANK($AM$39))</formula>
    </cfRule>
  </conditionalFormatting>
  <conditionalFormatting sqref="AN39">
    <cfRule type="cellIs" dxfId="2270" priority="41403" stopIfTrue="1" operator="notEqual">
      <formula>24</formula>
    </cfRule>
  </conditionalFormatting>
  <conditionalFormatting sqref="AO39">
    <cfRule type="cellIs" dxfId="2269" priority="41404" stopIfTrue="1" operator="notEqual">
      <formula>36</formula>
    </cfRule>
  </conditionalFormatting>
  <conditionalFormatting sqref="AP39">
    <cfRule type="cellIs" dxfId="2268" priority="41405" stopIfTrue="1" operator="notEqual">
      <formula>"yes"</formula>
    </cfRule>
  </conditionalFormatting>
  <conditionalFormatting sqref="AQ39">
    <cfRule type="cellIs" dxfId="2267" priority="41406" stopIfTrue="1" operator="notEqual">
      <formula>"recycle"</formula>
    </cfRule>
  </conditionalFormatting>
  <conditionalFormatting sqref="AR39">
    <cfRule type="cellIs" dxfId="2266" priority="41407" stopIfTrue="1" operator="notEqual">
      <formula>"holding tank"</formula>
    </cfRule>
  </conditionalFormatting>
  <conditionalFormatting sqref="AS39">
    <cfRule type="cellIs" dxfId="2265" priority="41408" stopIfTrue="1" operator="notEqual">
      <formula>"none"</formula>
    </cfRule>
  </conditionalFormatting>
  <conditionalFormatting sqref="AT39">
    <cfRule type="cellIs" dxfId="2264" priority="41409" stopIfTrue="1" operator="notEqual">
      <formula>"non-hazardous"</formula>
    </cfRule>
  </conditionalFormatting>
  <conditionalFormatting sqref="AU39">
    <cfRule type="expression" dxfId="2263" priority="41410" stopIfTrue="1">
      <formula>NOT(ISBLANK($AU$39))</formula>
    </cfRule>
  </conditionalFormatting>
  <conditionalFormatting sqref="AV39">
    <cfRule type="expression" dxfId="2262" priority="41411" stopIfTrue="1">
      <formula>NOT(ISBLANK($AV$39))</formula>
    </cfRule>
  </conditionalFormatting>
  <conditionalFormatting sqref="AW39">
    <cfRule type="expression" dxfId="2261" priority="41412" stopIfTrue="1">
      <formula>NOT(ISBLANK($AW$39))</formula>
    </cfRule>
  </conditionalFormatting>
  <conditionalFormatting sqref="AX39">
    <cfRule type="expression" dxfId="2260" priority="41413" stopIfTrue="1">
      <formula>NOT(ISBLANK($AX$39))</formula>
    </cfRule>
  </conditionalFormatting>
  <conditionalFormatting sqref="AY39">
    <cfRule type="expression" dxfId="2259" priority="41414" stopIfTrue="1">
      <formula>NOT(ISBLANK($AY$39))</formula>
    </cfRule>
  </conditionalFormatting>
  <conditionalFormatting sqref="AZ39">
    <cfRule type="cellIs" dxfId="2258" priority="41415" stopIfTrue="1" operator="notEqual">
      <formula>"fully automated"</formula>
    </cfRule>
  </conditionalFormatting>
  <conditionalFormatting sqref="BA39">
    <cfRule type="expression" dxfId="2257" priority="41416" stopIfTrue="1">
      <formula>NOT(ISBLANK($BA$39))</formula>
    </cfRule>
  </conditionalFormatting>
  <conditionalFormatting sqref="BB39">
    <cfRule type="expression" dxfId="2256" priority="41417" stopIfTrue="1">
      <formula>NOT(ISBLANK($BB$39))</formula>
    </cfRule>
  </conditionalFormatting>
  <conditionalFormatting sqref="BC39">
    <cfRule type="expression" dxfId="2255" priority="41418" stopIfTrue="1">
      <formula>NOT(ISBLANK($BC$39))</formula>
    </cfRule>
  </conditionalFormatting>
  <conditionalFormatting sqref="A40">
    <cfRule type="cellIs" dxfId="2254" priority="41419" stopIfTrue="1" operator="notEqual">
      <formula>2</formula>
    </cfRule>
  </conditionalFormatting>
  <conditionalFormatting sqref="B40">
    <cfRule type="cellIs" dxfId="2253" priority="41420" stopIfTrue="1" operator="notEqual">
      <formula>1</formula>
    </cfRule>
  </conditionalFormatting>
  <conditionalFormatting sqref="C40">
    <cfRule type="cellIs" dxfId="2252" priority="41421" stopIfTrue="1" operator="notEqual">
      <formula>8</formula>
    </cfRule>
  </conditionalFormatting>
  <conditionalFormatting sqref="D40">
    <cfRule type="cellIs" dxfId="2251" priority="41422" stopIfTrue="1" operator="notEqual">
      <formula>75.072</formula>
    </cfRule>
  </conditionalFormatting>
  <conditionalFormatting sqref="E40">
    <cfRule type="cellIs" dxfId="2250" priority="41423" stopIfTrue="1" operator="notEqual">
      <formula>"MGD"</formula>
    </cfRule>
  </conditionalFormatting>
  <conditionalFormatting sqref="F40">
    <cfRule type="cellIs" dxfId="2249" priority="41424" stopIfTrue="1" operator="notEqual">
      <formula>37.536</formula>
    </cfRule>
  </conditionalFormatting>
  <conditionalFormatting sqref="G40">
    <cfRule type="cellIs" dxfId="2248" priority="41425" stopIfTrue="1" operator="notEqual">
      <formula>"MGD"</formula>
    </cfRule>
  </conditionalFormatting>
  <conditionalFormatting sqref="H40">
    <cfRule type="cellIs" dxfId="2247" priority="41426" stopIfTrue="1" operator="notEqual">
      <formula>"acetic acid"</formula>
    </cfRule>
  </conditionalFormatting>
  <conditionalFormatting sqref="I40">
    <cfRule type="cellIs" dxfId="2246" priority="41427" stopIfTrue="1" operator="notEqual">
      <formula>37.4</formula>
    </cfRule>
  </conditionalFormatting>
  <conditionalFormatting sqref="J40">
    <cfRule type="cellIs" dxfId="2245" priority="41428" stopIfTrue="1" operator="notEqual">
      <formula>15.3</formula>
    </cfRule>
  </conditionalFormatting>
  <conditionalFormatting sqref="K40">
    <cfRule type="cellIs" dxfId="2244" priority="41429" stopIfTrue="1" operator="notEqual">
      <formula>0</formula>
    </cfRule>
  </conditionalFormatting>
  <conditionalFormatting sqref="L40">
    <cfRule type="cellIs" dxfId="2243" priority="41430" stopIfTrue="1" operator="notEqual">
      <formula>12</formula>
    </cfRule>
  </conditionalFormatting>
  <conditionalFormatting sqref="M40">
    <cfRule type="cellIs" dxfId="2242" priority="41431" stopIfTrue="1" operator="notEqual">
      <formula>20.3</formula>
    </cfRule>
  </conditionalFormatting>
  <conditionalFormatting sqref="N40">
    <cfRule type="cellIs" dxfId="2241" priority="41432" stopIfTrue="1" operator="notEqual">
      <formula>"additional phosphorous required"</formula>
    </cfRule>
  </conditionalFormatting>
  <conditionalFormatting sqref="O40">
    <cfRule type="expression" dxfId="2240" priority="41433" stopIfTrue="1">
      <formula>NOT(ISBLANK($O$40))</formula>
    </cfRule>
  </conditionalFormatting>
  <conditionalFormatting sqref="P40">
    <cfRule type="cellIs" dxfId="2239" priority="41434" stopIfTrue="1" operator="notEqual">
      <formula>2</formula>
    </cfRule>
  </conditionalFormatting>
  <conditionalFormatting sqref="Q40">
    <cfRule type="cellIs" dxfId="2238" priority="41435" stopIfTrue="1" operator="notEqual">
      <formula>10</formula>
    </cfRule>
  </conditionalFormatting>
  <conditionalFormatting sqref="R40">
    <cfRule type="cellIs" dxfId="2237" priority="41436" stopIfTrue="1" operator="notEqual">
      <formula>"yes"</formula>
    </cfRule>
  </conditionalFormatting>
  <conditionalFormatting sqref="S40">
    <cfRule type="expression" dxfId="2236" priority="41437" stopIfTrue="1">
      <formula>NOT(ISBLANK($S$40))</formula>
    </cfRule>
  </conditionalFormatting>
  <conditionalFormatting sqref="T40">
    <cfRule type="expression" dxfId="2235" priority="41438" stopIfTrue="1">
      <formula>NOT(ISBLANK($T$40))</formula>
    </cfRule>
  </conditionalFormatting>
  <conditionalFormatting sqref="U40">
    <cfRule type="expression" dxfId="2234" priority="41439" stopIfTrue="1">
      <formula>NOT(ISBLANK($U$40))</formula>
    </cfRule>
  </conditionalFormatting>
  <conditionalFormatting sqref="V40">
    <cfRule type="expression" dxfId="2233" priority="41440" stopIfTrue="1">
      <formula>NOT(ISBLANK($V$40))</formula>
    </cfRule>
  </conditionalFormatting>
  <conditionalFormatting sqref="W40">
    <cfRule type="expression" dxfId="2232" priority="41441" stopIfTrue="1">
      <formula>NOT(ISBLANK($W$40))</formula>
    </cfRule>
  </conditionalFormatting>
  <conditionalFormatting sqref="X40">
    <cfRule type="expression" dxfId="2231" priority="41442" stopIfTrue="1">
      <formula>NOT(ISBLANK($X$40))</formula>
    </cfRule>
  </conditionalFormatting>
  <conditionalFormatting sqref="Y40">
    <cfRule type="expression" dxfId="2230" priority="41443" stopIfTrue="1">
      <formula>NOT(ISBLANK($Y$40))</formula>
    </cfRule>
  </conditionalFormatting>
  <conditionalFormatting sqref="Z40">
    <cfRule type="expression" dxfId="2229" priority="41444" stopIfTrue="1">
      <formula>NOT(ISBLANK($Z$40))</formula>
    </cfRule>
  </conditionalFormatting>
  <conditionalFormatting sqref="AA40">
    <cfRule type="cellIs" dxfId="2228" priority="41445" stopIfTrue="1" operator="notEqual">
      <formula>"aeration"</formula>
    </cfRule>
  </conditionalFormatting>
  <conditionalFormatting sqref="AB40">
    <cfRule type="cellIs" dxfId="2227" priority="41446" stopIfTrue="1" operator="notEqual">
      <formula>"yes"</formula>
    </cfRule>
  </conditionalFormatting>
  <conditionalFormatting sqref="AC40">
    <cfRule type="cellIs" dxfId="2226" priority="41447" stopIfTrue="1" operator="notEqual">
      <formula>"gravity basin"</formula>
    </cfRule>
  </conditionalFormatting>
  <conditionalFormatting sqref="AD40">
    <cfRule type="cellIs" dxfId="2225" priority="41448" stopIfTrue="1" operator="notEqual">
      <formula>"yes"</formula>
    </cfRule>
  </conditionalFormatting>
  <conditionalFormatting sqref="AE40">
    <cfRule type="cellIs" dxfId="2224" priority="41449" stopIfTrue="1" operator="notEqual">
      <formula>"yes"</formula>
    </cfRule>
  </conditionalFormatting>
  <conditionalFormatting sqref="AF40">
    <cfRule type="cellIs" dxfId="2223" priority="41450" stopIfTrue="1" operator="notEqual">
      <formula>21.5</formula>
    </cfRule>
  </conditionalFormatting>
  <conditionalFormatting sqref="AG40">
    <cfRule type="cellIs" dxfId="2222" priority="41451" stopIfTrue="1" operator="notEqual">
      <formula>21.5</formula>
    </cfRule>
  </conditionalFormatting>
  <conditionalFormatting sqref="AH40">
    <cfRule type="cellIs" dxfId="2221" priority="41452" stopIfTrue="1" operator="notEqual">
      <formula>8.9</formula>
    </cfRule>
  </conditionalFormatting>
  <conditionalFormatting sqref="AI40">
    <cfRule type="expression" dxfId="2220" priority="41453" stopIfTrue="1">
      <formula>NOT(ISBLANK($AI$40))</formula>
    </cfRule>
  </conditionalFormatting>
  <conditionalFormatting sqref="AJ40">
    <cfRule type="expression" dxfId="2219" priority="41454" stopIfTrue="1">
      <formula>NOT(ISBLANK($AJ$40))</formula>
    </cfRule>
  </conditionalFormatting>
  <conditionalFormatting sqref="AK40">
    <cfRule type="expression" dxfId="2218" priority="41455" stopIfTrue="1">
      <formula>NOT(ISBLANK($AK$40))</formula>
    </cfRule>
  </conditionalFormatting>
  <conditionalFormatting sqref="AL40">
    <cfRule type="expression" dxfId="2217" priority="41456" stopIfTrue="1">
      <formula>NOT(ISBLANK($AL$40))</formula>
    </cfRule>
  </conditionalFormatting>
  <conditionalFormatting sqref="AM40">
    <cfRule type="expression" dxfId="2216" priority="41457" stopIfTrue="1">
      <formula>NOT(ISBLANK($AM$40))</formula>
    </cfRule>
  </conditionalFormatting>
  <conditionalFormatting sqref="AN40">
    <cfRule type="cellIs" dxfId="2215" priority="41458" stopIfTrue="1" operator="notEqual">
      <formula>24</formula>
    </cfRule>
  </conditionalFormatting>
  <conditionalFormatting sqref="AO40">
    <cfRule type="cellIs" dxfId="2214" priority="41459" stopIfTrue="1" operator="notEqual">
      <formula>36</formula>
    </cfRule>
  </conditionalFormatting>
  <conditionalFormatting sqref="AP40">
    <cfRule type="cellIs" dxfId="2213" priority="41460" stopIfTrue="1" operator="notEqual">
      <formula>"yes"</formula>
    </cfRule>
  </conditionalFormatting>
  <conditionalFormatting sqref="AQ40">
    <cfRule type="cellIs" dxfId="2212" priority="41461" stopIfTrue="1" operator="notEqual">
      <formula>"recycle"</formula>
    </cfRule>
  </conditionalFormatting>
  <conditionalFormatting sqref="AR40">
    <cfRule type="cellIs" dxfId="2211" priority="41462" stopIfTrue="1" operator="notEqual">
      <formula>"holding tank"</formula>
    </cfRule>
  </conditionalFormatting>
  <conditionalFormatting sqref="AS40">
    <cfRule type="cellIs" dxfId="2210" priority="41463" stopIfTrue="1" operator="notEqual">
      <formula>"none"</formula>
    </cfRule>
  </conditionalFormatting>
  <conditionalFormatting sqref="AT40">
    <cfRule type="cellIs" dxfId="2209" priority="41464" stopIfTrue="1" operator="notEqual">
      <formula>"non-hazardous"</formula>
    </cfRule>
  </conditionalFormatting>
  <conditionalFormatting sqref="AU40">
    <cfRule type="expression" dxfId="2208" priority="41465" stopIfTrue="1">
      <formula>NOT(ISBLANK($AU$40))</formula>
    </cfRule>
  </conditionalFormatting>
  <conditionalFormatting sqref="AV40">
    <cfRule type="expression" dxfId="2207" priority="41466" stopIfTrue="1">
      <formula>NOT(ISBLANK($AV$40))</formula>
    </cfRule>
  </conditionalFormatting>
  <conditionalFormatting sqref="AW40">
    <cfRule type="expression" dxfId="2206" priority="41467" stopIfTrue="1">
      <formula>NOT(ISBLANK($AW$40))</formula>
    </cfRule>
  </conditionalFormatting>
  <conditionalFormatting sqref="AX40">
    <cfRule type="expression" dxfId="2205" priority="41468" stopIfTrue="1">
      <formula>NOT(ISBLANK($AX$40))</formula>
    </cfRule>
  </conditionalFormatting>
  <conditionalFormatting sqref="AY40">
    <cfRule type="expression" dxfId="2204" priority="41469" stopIfTrue="1">
      <formula>NOT(ISBLANK($AY$40))</formula>
    </cfRule>
  </conditionalFormatting>
  <conditionalFormatting sqref="AZ40">
    <cfRule type="cellIs" dxfId="2203" priority="41470" stopIfTrue="1" operator="notEqual">
      <formula>"fully automated"</formula>
    </cfRule>
  </conditionalFormatting>
  <conditionalFormatting sqref="BA40">
    <cfRule type="expression" dxfId="2202" priority="41471" stopIfTrue="1">
      <formula>NOT(ISBLANK($BA$40))</formula>
    </cfRule>
  </conditionalFormatting>
  <conditionalFormatting sqref="BB40">
    <cfRule type="expression" dxfId="2201" priority="41472" stopIfTrue="1">
      <formula>NOT(ISBLANK($BB$40))</formula>
    </cfRule>
  </conditionalFormatting>
  <conditionalFormatting sqref="BC40">
    <cfRule type="expression" dxfId="2200" priority="41473" stopIfTrue="1">
      <formula>NOT(ISBLANK($BC$40))</formula>
    </cfRule>
  </conditionalFormatting>
  <conditionalFormatting sqref="A41">
    <cfRule type="cellIs" dxfId="2199" priority="41474" stopIfTrue="1" operator="notEqual">
      <formula>2</formula>
    </cfRule>
  </conditionalFormatting>
  <conditionalFormatting sqref="B41">
    <cfRule type="cellIs" dxfId="2198" priority="41475" stopIfTrue="1" operator="notEqual">
      <formula>2</formula>
    </cfRule>
  </conditionalFormatting>
  <conditionalFormatting sqref="C41">
    <cfRule type="cellIs" dxfId="2197" priority="41476" stopIfTrue="1" operator="notEqual">
      <formula>1</formula>
    </cfRule>
  </conditionalFormatting>
  <conditionalFormatting sqref="D41">
    <cfRule type="cellIs" dxfId="2196" priority="41477" stopIfTrue="1" operator="notEqual">
      <formula>0.03</formula>
    </cfRule>
  </conditionalFormatting>
  <conditionalFormatting sqref="E41">
    <cfRule type="cellIs" dxfId="2195" priority="41478" stopIfTrue="1" operator="notEqual">
      <formula>"MGD"</formula>
    </cfRule>
  </conditionalFormatting>
  <conditionalFormatting sqref="F41">
    <cfRule type="cellIs" dxfId="2194" priority="41479" stopIfTrue="1" operator="notEqual">
      <formula>0.007</formula>
    </cfRule>
  </conditionalFormatting>
  <conditionalFormatting sqref="G41">
    <cfRule type="cellIs" dxfId="2193" priority="41480" stopIfTrue="1" operator="notEqual">
      <formula>"MGD"</formula>
    </cfRule>
  </conditionalFormatting>
  <conditionalFormatting sqref="H41">
    <cfRule type="cellIs" dxfId="2192" priority="41481" stopIfTrue="1" operator="notEqual">
      <formula>"acetic acid"</formula>
    </cfRule>
  </conditionalFormatting>
  <conditionalFormatting sqref="I41">
    <cfRule type="cellIs" dxfId="2191" priority="41482" stopIfTrue="1" operator="notEqual">
      <formula>37.4</formula>
    </cfRule>
  </conditionalFormatting>
  <conditionalFormatting sqref="J41">
    <cfRule type="cellIs" dxfId="2190" priority="41483" stopIfTrue="1" operator="notEqual">
      <formula>15.3</formula>
    </cfRule>
  </conditionalFormatting>
  <conditionalFormatting sqref="K41">
    <cfRule type="cellIs" dxfId="2189" priority="41484" stopIfTrue="1" operator="notEqual">
      <formula>0</formula>
    </cfRule>
  </conditionalFormatting>
  <conditionalFormatting sqref="L41">
    <cfRule type="cellIs" dxfId="2188" priority="41485" stopIfTrue="1" operator="notEqual">
      <formula>12</formula>
    </cfRule>
  </conditionalFormatting>
  <conditionalFormatting sqref="M41">
    <cfRule type="cellIs" dxfId="2187" priority="41486" stopIfTrue="1" operator="notEqual">
      <formula>20.3</formula>
    </cfRule>
  </conditionalFormatting>
  <conditionalFormatting sqref="N41">
    <cfRule type="cellIs" dxfId="2186" priority="41487" stopIfTrue="1" operator="notEqual">
      <formula>"additional phosphorous required"</formula>
    </cfRule>
  </conditionalFormatting>
  <conditionalFormatting sqref="O41">
    <cfRule type="expression" dxfId="2185" priority="41488" stopIfTrue="1">
      <formula>NOT(ISBLANK($O$41))</formula>
    </cfRule>
  </conditionalFormatting>
  <conditionalFormatting sqref="P41">
    <cfRule type="cellIs" dxfId="2184" priority="41489" stopIfTrue="1" operator="notEqual">
      <formula>2</formula>
    </cfRule>
  </conditionalFormatting>
  <conditionalFormatting sqref="Q41">
    <cfRule type="cellIs" dxfId="2183" priority="41490" stopIfTrue="1" operator="notEqual">
      <formula>10</formula>
    </cfRule>
  </conditionalFormatting>
  <conditionalFormatting sqref="R41">
    <cfRule type="expression" dxfId="2182" priority="41491" stopIfTrue="1">
      <formula>NOT(ISBLANK($R$41))</formula>
    </cfRule>
  </conditionalFormatting>
  <conditionalFormatting sqref="S41">
    <cfRule type="expression" dxfId="2181" priority="41492" stopIfTrue="1">
      <formula>NOT(ISBLANK($S$41))</formula>
    </cfRule>
  </conditionalFormatting>
  <conditionalFormatting sqref="T41">
    <cfRule type="expression" dxfId="2180" priority="41493" stopIfTrue="1">
      <formula>NOT(ISBLANK($T$41))</formula>
    </cfRule>
  </conditionalFormatting>
  <conditionalFormatting sqref="U41">
    <cfRule type="expression" dxfId="2179" priority="41494" stopIfTrue="1">
      <formula>NOT(ISBLANK($U$41))</formula>
    </cfRule>
  </conditionalFormatting>
  <conditionalFormatting sqref="V41">
    <cfRule type="expression" dxfId="2178" priority="41495" stopIfTrue="1">
      <formula>NOT(ISBLANK($V$41))</formula>
    </cfRule>
  </conditionalFormatting>
  <conditionalFormatting sqref="W41">
    <cfRule type="cellIs" dxfId="2177" priority="41496" stopIfTrue="1" operator="notEqual">
      <formula>"yes"</formula>
    </cfRule>
  </conditionalFormatting>
  <conditionalFormatting sqref="X41">
    <cfRule type="expression" dxfId="2176" priority="41497" stopIfTrue="1">
      <formula>NOT(ISBLANK($X$41))</formula>
    </cfRule>
  </conditionalFormatting>
  <conditionalFormatting sqref="Y41">
    <cfRule type="expression" dxfId="2175" priority="41498" stopIfTrue="1">
      <formula>NOT(ISBLANK($Y$41))</formula>
    </cfRule>
  </conditionalFormatting>
  <conditionalFormatting sqref="Z41">
    <cfRule type="expression" dxfId="2174" priority="41499" stopIfTrue="1">
      <formula>NOT(ISBLANK($Z$41))</formula>
    </cfRule>
  </conditionalFormatting>
  <conditionalFormatting sqref="AA41">
    <cfRule type="cellIs" dxfId="2173" priority="41500" stopIfTrue="1" operator="notEqual">
      <formula>"aeration"</formula>
    </cfRule>
  </conditionalFormatting>
  <conditionalFormatting sqref="AB41">
    <cfRule type="cellIs" dxfId="2172" priority="41501" stopIfTrue="1" operator="notEqual">
      <formula>"yes"</formula>
    </cfRule>
  </conditionalFormatting>
  <conditionalFormatting sqref="AC41">
    <cfRule type="cellIs" dxfId="2171" priority="41502" stopIfTrue="1" operator="notEqual">
      <formula>"gravity basin"</formula>
    </cfRule>
  </conditionalFormatting>
  <conditionalFormatting sqref="AD41">
    <cfRule type="cellIs" dxfId="2170" priority="41503" stopIfTrue="1" operator="notEqual">
      <formula>"yes"</formula>
    </cfRule>
  </conditionalFormatting>
  <conditionalFormatting sqref="AE41">
    <cfRule type="cellIs" dxfId="2169" priority="41504" stopIfTrue="1" operator="notEqual">
      <formula>"yes"</formula>
    </cfRule>
  </conditionalFormatting>
  <conditionalFormatting sqref="AF41">
    <cfRule type="cellIs" dxfId="2168" priority="41505" stopIfTrue="1" operator="notEqual">
      <formula>3</formula>
    </cfRule>
  </conditionalFormatting>
  <conditionalFormatting sqref="AG41">
    <cfRule type="cellIs" dxfId="2167" priority="41506" stopIfTrue="1" operator="notEqual">
      <formula>3</formula>
    </cfRule>
  </conditionalFormatting>
  <conditionalFormatting sqref="AH41">
    <cfRule type="cellIs" dxfId="2166" priority="41507" stopIfTrue="1" operator="notEqual">
      <formula>3.1</formula>
    </cfRule>
  </conditionalFormatting>
  <conditionalFormatting sqref="AI41">
    <cfRule type="expression" dxfId="2165" priority="41508" stopIfTrue="1">
      <formula>NOT(ISBLANK($AI$41))</formula>
    </cfRule>
  </conditionalFormatting>
  <conditionalFormatting sqref="AJ41">
    <cfRule type="expression" dxfId="2164" priority="41509" stopIfTrue="1">
      <formula>NOT(ISBLANK($AJ$41))</formula>
    </cfRule>
  </conditionalFormatting>
  <conditionalFormatting sqref="AK41">
    <cfRule type="expression" dxfId="2163" priority="41510" stopIfTrue="1">
      <formula>NOT(ISBLANK($AK$41))</formula>
    </cfRule>
  </conditionalFormatting>
  <conditionalFormatting sqref="AL41">
    <cfRule type="expression" dxfId="2162" priority="41511" stopIfTrue="1">
      <formula>NOT(ISBLANK($AL$41))</formula>
    </cfRule>
  </conditionalFormatting>
  <conditionalFormatting sqref="AM41">
    <cfRule type="expression" dxfId="2161" priority="41512" stopIfTrue="1">
      <formula>NOT(ISBLANK($AM$41))</formula>
    </cfRule>
  </conditionalFormatting>
  <conditionalFormatting sqref="AN41">
    <cfRule type="cellIs" dxfId="2160" priority="41513" stopIfTrue="1" operator="notEqual">
      <formula>24</formula>
    </cfRule>
  </conditionalFormatting>
  <conditionalFormatting sqref="AO41">
    <cfRule type="cellIs" dxfId="2159" priority="41514" stopIfTrue="1" operator="notEqual">
      <formula>36</formula>
    </cfRule>
  </conditionalFormatting>
  <conditionalFormatting sqref="AP41">
    <cfRule type="cellIs" dxfId="2158" priority="41515" stopIfTrue="1" operator="notEqual">
      <formula>"yes"</formula>
    </cfRule>
  </conditionalFormatting>
  <conditionalFormatting sqref="AQ41">
    <cfRule type="cellIs" dxfId="2157" priority="41516" stopIfTrue="1" operator="notEqual">
      <formula>"recycle"</formula>
    </cfRule>
  </conditionalFormatting>
  <conditionalFormatting sqref="AR41">
    <cfRule type="cellIs" dxfId="2156" priority="41517" stopIfTrue="1" operator="notEqual">
      <formula>"holding tank"</formula>
    </cfRule>
  </conditionalFormatting>
  <conditionalFormatting sqref="AS41">
    <cfRule type="cellIs" dxfId="2155" priority="41518" stopIfTrue="1" operator="notEqual">
      <formula>"none"</formula>
    </cfRule>
  </conditionalFormatting>
  <conditionalFormatting sqref="AT41">
    <cfRule type="cellIs" dxfId="2154" priority="41519" stopIfTrue="1" operator="notEqual">
      <formula>"non-hazardous"</formula>
    </cfRule>
  </conditionalFormatting>
  <conditionalFormatting sqref="AU41">
    <cfRule type="expression" dxfId="2153" priority="41520" stopIfTrue="1">
      <formula>NOT(ISBLANK($AU$41))</formula>
    </cfRule>
  </conditionalFormatting>
  <conditionalFormatting sqref="AV41">
    <cfRule type="expression" dxfId="2152" priority="41521" stopIfTrue="1">
      <formula>NOT(ISBLANK($AV$41))</formula>
    </cfRule>
  </conditionalFormatting>
  <conditionalFormatting sqref="AW41">
    <cfRule type="expression" dxfId="2151" priority="41522" stopIfTrue="1">
      <formula>NOT(ISBLANK($AW$41))</formula>
    </cfRule>
  </conditionalFormatting>
  <conditionalFormatting sqref="AX41">
    <cfRule type="expression" dxfId="2150" priority="41523" stopIfTrue="1">
      <formula>NOT(ISBLANK($AX$41))</formula>
    </cfRule>
  </conditionalFormatting>
  <conditionalFormatting sqref="AY41">
    <cfRule type="expression" dxfId="2149" priority="41524" stopIfTrue="1">
      <formula>NOT(ISBLANK($AY$41))</formula>
    </cfRule>
  </conditionalFormatting>
  <conditionalFormatting sqref="AZ41">
    <cfRule type="cellIs" dxfId="2148" priority="41525" stopIfTrue="1" operator="notEqual">
      <formula>"fully automated"</formula>
    </cfRule>
  </conditionalFormatting>
  <conditionalFormatting sqref="BA41">
    <cfRule type="expression" dxfId="2147" priority="41526" stopIfTrue="1">
      <formula>NOT(ISBLANK($BA$41))</formula>
    </cfRule>
  </conditionalFormatting>
  <conditionalFormatting sqref="BB41">
    <cfRule type="expression" dxfId="2146" priority="41527" stopIfTrue="1">
      <formula>NOT(ISBLANK($BB$41))</formula>
    </cfRule>
  </conditionalFormatting>
  <conditionalFormatting sqref="BC41">
    <cfRule type="expression" dxfId="2145" priority="41528" stopIfTrue="1">
      <formula>NOT(ISBLANK($BC$41))</formula>
    </cfRule>
  </conditionalFormatting>
  <conditionalFormatting sqref="A42">
    <cfRule type="cellIs" dxfId="2144" priority="41529" stopIfTrue="1" operator="notEqual">
      <formula>2</formula>
    </cfRule>
  </conditionalFormatting>
  <conditionalFormatting sqref="B42">
    <cfRule type="cellIs" dxfId="2143" priority="41530" stopIfTrue="1" operator="notEqual">
      <formula>2</formula>
    </cfRule>
  </conditionalFormatting>
  <conditionalFormatting sqref="C42">
    <cfRule type="cellIs" dxfId="2142" priority="41531" stopIfTrue="1" operator="notEqual">
      <formula>2</formula>
    </cfRule>
  </conditionalFormatting>
  <conditionalFormatting sqref="D42">
    <cfRule type="cellIs" dxfId="2141" priority="41532" stopIfTrue="1" operator="notEqual">
      <formula>0.124</formula>
    </cfRule>
  </conditionalFormatting>
  <conditionalFormatting sqref="E42">
    <cfRule type="cellIs" dxfId="2140" priority="41533" stopIfTrue="1" operator="notEqual">
      <formula>"MGD"</formula>
    </cfRule>
  </conditionalFormatting>
  <conditionalFormatting sqref="F42">
    <cfRule type="cellIs" dxfId="2139" priority="41534" stopIfTrue="1" operator="notEqual">
      <formula>0.035</formula>
    </cfRule>
  </conditionalFormatting>
  <conditionalFormatting sqref="G42">
    <cfRule type="cellIs" dxfId="2138" priority="41535" stopIfTrue="1" operator="notEqual">
      <formula>"MGD"</formula>
    </cfRule>
  </conditionalFormatting>
  <conditionalFormatting sqref="H42">
    <cfRule type="cellIs" dxfId="2137" priority="41536" stopIfTrue="1" operator="notEqual">
      <formula>"acetic acid"</formula>
    </cfRule>
  </conditionalFormatting>
  <conditionalFormatting sqref="I42">
    <cfRule type="cellIs" dxfId="2136" priority="41537" stopIfTrue="1" operator="notEqual">
      <formula>37.4</formula>
    </cfRule>
  </conditionalFormatting>
  <conditionalFormatting sqref="J42">
    <cfRule type="cellIs" dxfId="2135" priority="41538" stopIfTrue="1" operator="notEqual">
      <formula>15.3</formula>
    </cfRule>
  </conditionalFormatting>
  <conditionalFormatting sqref="K42">
    <cfRule type="cellIs" dxfId="2134" priority="41539" stopIfTrue="1" operator="notEqual">
      <formula>0</formula>
    </cfRule>
  </conditionalFormatting>
  <conditionalFormatting sqref="L42">
    <cfRule type="cellIs" dxfId="2133" priority="41540" stopIfTrue="1" operator="notEqual">
      <formula>12</formula>
    </cfRule>
  </conditionalFormatting>
  <conditionalFormatting sqref="M42">
    <cfRule type="cellIs" dxfId="2132" priority="41541" stopIfTrue="1" operator="notEqual">
      <formula>20.3</formula>
    </cfRule>
  </conditionalFormatting>
  <conditionalFormatting sqref="N42">
    <cfRule type="cellIs" dxfId="2131" priority="41542" stopIfTrue="1" operator="notEqual">
      <formula>"additional phosphorous required"</formula>
    </cfRule>
  </conditionalFormatting>
  <conditionalFormatting sqref="O42">
    <cfRule type="expression" dxfId="2130" priority="41543" stopIfTrue="1">
      <formula>NOT(ISBLANK($O$42))</formula>
    </cfRule>
  </conditionalFormatting>
  <conditionalFormatting sqref="P42">
    <cfRule type="cellIs" dxfId="2129" priority="41544" stopIfTrue="1" operator="notEqual">
      <formula>2</formula>
    </cfRule>
  </conditionalFormatting>
  <conditionalFormatting sqref="Q42">
    <cfRule type="cellIs" dxfId="2128" priority="41545" stopIfTrue="1" operator="notEqual">
      <formula>10</formula>
    </cfRule>
  </conditionalFormatting>
  <conditionalFormatting sqref="R42">
    <cfRule type="expression" dxfId="2127" priority="41546" stopIfTrue="1">
      <formula>NOT(ISBLANK($R$42))</formula>
    </cfRule>
  </conditionalFormatting>
  <conditionalFormatting sqref="S42">
    <cfRule type="expression" dxfId="2126" priority="41547" stopIfTrue="1">
      <formula>NOT(ISBLANK($S$42))</formula>
    </cfRule>
  </conditionalFormatting>
  <conditionalFormatting sqref="T42">
    <cfRule type="expression" dxfId="2125" priority="41548" stopIfTrue="1">
      <formula>NOT(ISBLANK($T$42))</formula>
    </cfRule>
  </conditionalFormatting>
  <conditionalFormatting sqref="U42">
    <cfRule type="expression" dxfId="2124" priority="41549" stopIfTrue="1">
      <formula>NOT(ISBLANK($U$42))</formula>
    </cfRule>
  </conditionalFormatting>
  <conditionalFormatting sqref="V42">
    <cfRule type="expression" dxfId="2123" priority="41550" stopIfTrue="1">
      <formula>NOT(ISBLANK($V$42))</formula>
    </cfRule>
  </conditionalFormatting>
  <conditionalFormatting sqref="W42">
    <cfRule type="cellIs" dxfId="2122" priority="41551" stopIfTrue="1" operator="notEqual">
      <formula>"yes"</formula>
    </cfRule>
  </conditionalFormatting>
  <conditionalFormatting sqref="X42">
    <cfRule type="expression" dxfId="2121" priority="41552" stopIfTrue="1">
      <formula>NOT(ISBLANK($X$42))</formula>
    </cfRule>
  </conditionalFormatting>
  <conditionalFormatting sqref="Y42">
    <cfRule type="expression" dxfId="2120" priority="41553" stopIfTrue="1">
      <formula>NOT(ISBLANK($Y$42))</formula>
    </cfRule>
  </conditionalFormatting>
  <conditionalFormatting sqref="Z42">
    <cfRule type="expression" dxfId="2119" priority="41554" stopIfTrue="1">
      <formula>NOT(ISBLANK($Z$42))</formula>
    </cfRule>
  </conditionalFormatting>
  <conditionalFormatting sqref="AA42">
    <cfRule type="cellIs" dxfId="2118" priority="41555" stopIfTrue="1" operator="notEqual">
      <formula>"aeration"</formula>
    </cfRule>
  </conditionalFormatting>
  <conditionalFormatting sqref="AB42">
    <cfRule type="cellIs" dxfId="2117" priority="41556" stopIfTrue="1" operator="notEqual">
      <formula>"yes"</formula>
    </cfRule>
  </conditionalFormatting>
  <conditionalFormatting sqref="AC42">
    <cfRule type="cellIs" dxfId="2116" priority="41557" stopIfTrue="1" operator="notEqual">
      <formula>"gravity basin"</formula>
    </cfRule>
  </conditionalFormatting>
  <conditionalFormatting sqref="AD42">
    <cfRule type="cellIs" dxfId="2115" priority="41558" stopIfTrue="1" operator="notEqual">
      <formula>"yes"</formula>
    </cfRule>
  </conditionalFormatting>
  <conditionalFormatting sqref="AE42">
    <cfRule type="cellIs" dxfId="2114" priority="41559" stopIfTrue="1" operator="notEqual">
      <formula>"yes"</formula>
    </cfRule>
  </conditionalFormatting>
  <conditionalFormatting sqref="AF42">
    <cfRule type="cellIs" dxfId="2113" priority="41560" stopIfTrue="1" operator="notEqual">
      <formula>3.5</formula>
    </cfRule>
  </conditionalFormatting>
  <conditionalFormatting sqref="AG42">
    <cfRule type="cellIs" dxfId="2112" priority="41561" stopIfTrue="1" operator="notEqual">
      <formula>3.5</formula>
    </cfRule>
  </conditionalFormatting>
  <conditionalFormatting sqref="AH42">
    <cfRule type="cellIs" dxfId="2111" priority="41562" stopIfTrue="1" operator="notEqual">
      <formula>4.7</formula>
    </cfRule>
  </conditionalFormatting>
  <conditionalFormatting sqref="AI42">
    <cfRule type="expression" dxfId="2110" priority="41563" stopIfTrue="1">
      <formula>NOT(ISBLANK($AI$42))</formula>
    </cfRule>
  </conditionalFormatting>
  <conditionalFormatting sqref="AJ42">
    <cfRule type="expression" dxfId="2109" priority="41564" stopIfTrue="1">
      <formula>NOT(ISBLANK($AJ$42))</formula>
    </cfRule>
  </conditionalFormatting>
  <conditionalFormatting sqref="AK42">
    <cfRule type="expression" dxfId="2108" priority="41565" stopIfTrue="1">
      <formula>NOT(ISBLANK($AK$42))</formula>
    </cfRule>
  </conditionalFormatting>
  <conditionalFormatting sqref="AL42">
    <cfRule type="expression" dxfId="2107" priority="41566" stopIfTrue="1">
      <formula>NOT(ISBLANK($AL$42))</formula>
    </cfRule>
  </conditionalFormatting>
  <conditionalFormatting sqref="AM42">
    <cfRule type="expression" dxfId="2106" priority="41567" stopIfTrue="1">
      <formula>NOT(ISBLANK($AM$42))</formula>
    </cfRule>
  </conditionalFormatting>
  <conditionalFormatting sqref="AN42">
    <cfRule type="cellIs" dxfId="2105" priority="41568" stopIfTrue="1" operator="notEqual">
      <formula>24</formula>
    </cfRule>
  </conditionalFormatting>
  <conditionalFormatting sqref="AO42">
    <cfRule type="cellIs" dxfId="2104" priority="41569" stopIfTrue="1" operator="notEqual">
      <formula>36</formula>
    </cfRule>
  </conditionalFormatting>
  <conditionalFormatting sqref="AP42">
    <cfRule type="cellIs" dxfId="2103" priority="41570" stopIfTrue="1" operator="notEqual">
      <formula>"yes"</formula>
    </cfRule>
  </conditionalFormatting>
  <conditionalFormatting sqref="AQ42">
    <cfRule type="cellIs" dxfId="2102" priority="41571" stopIfTrue="1" operator="notEqual">
      <formula>"recycle"</formula>
    </cfRule>
  </conditionalFormatting>
  <conditionalFormatting sqref="AR42">
    <cfRule type="cellIs" dxfId="2101" priority="41572" stopIfTrue="1" operator="notEqual">
      <formula>"holding tank"</formula>
    </cfRule>
  </conditionalFormatting>
  <conditionalFormatting sqref="AS42">
    <cfRule type="cellIs" dxfId="2100" priority="41573" stopIfTrue="1" operator="notEqual">
      <formula>"none"</formula>
    </cfRule>
  </conditionalFormatting>
  <conditionalFormatting sqref="AT42">
    <cfRule type="cellIs" dxfId="2099" priority="41574" stopIfTrue="1" operator="notEqual">
      <formula>"non-hazardous"</formula>
    </cfRule>
  </conditionalFormatting>
  <conditionalFormatting sqref="AU42">
    <cfRule type="expression" dxfId="2098" priority="41575" stopIfTrue="1">
      <formula>NOT(ISBLANK($AU$42))</formula>
    </cfRule>
  </conditionalFormatting>
  <conditionalFormatting sqref="AV42">
    <cfRule type="expression" dxfId="2097" priority="41576" stopIfTrue="1">
      <formula>NOT(ISBLANK($AV$42))</formula>
    </cfRule>
  </conditionalFormatting>
  <conditionalFormatting sqref="AW42">
    <cfRule type="expression" dxfId="2096" priority="41577" stopIfTrue="1">
      <formula>NOT(ISBLANK($AW$42))</formula>
    </cfRule>
  </conditionalFormatting>
  <conditionalFormatting sqref="AX42">
    <cfRule type="expression" dxfId="2095" priority="41578" stopIfTrue="1">
      <formula>NOT(ISBLANK($AX$42))</formula>
    </cfRule>
  </conditionalFormatting>
  <conditionalFormatting sqref="AY42">
    <cfRule type="expression" dxfId="2094" priority="41579" stopIfTrue="1">
      <formula>NOT(ISBLANK($AY$42))</formula>
    </cfRule>
  </conditionalFormatting>
  <conditionalFormatting sqref="AZ42">
    <cfRule type="cellIs" dxfId="2093" priority="41580" stopIfTrue="1" operator="notEqual">
      <formula>"fully automated"</formula>
    </cfRule>
  </conditionalFormatting>
  <conditionalFormatting sqref="BA42">
    <cfRule type="expression" dxfId="2092" priority="41581" stopIfTrue="1">
      <formula>NOT(ISBLANK($BA$42))</formula>
    </cfRule>
  </conditionalFormatting>
  <conditionalFormatting sqref="BB42">
    <cfRule type="expression" dxfId="2091" priority="41582" stopIfTrue="1">
      <formula>NOT(ISBLANK($BB$42))</formula>
    </cfRule>
  </conditionalFormatting>
  <conditionalFormatting sqref="BC42">
    <cfRule type="expression" dxfId="2090" priority="41583" stopIfTrue="1">
      <formula>NOT(ISBLANK($BC$42))</formula>
    </cfRule>
  </conditionalFormatting>
  <conditionalFormatting sqref="A43">
    <cfRule type="cellIs" dxfId="2089" priority="41584" stopIfTrue="1" operator="notEqual">
      <formula>2</formula>
    </cfRule>
  </conditionalFormatting>
  <conditionalFormatting sqref="B43">
    <cfRule type="cellIs" dxfId="2088" priority="41585" stopIfTrue="1" operator="notEqual">
      <formula>2</formula>
    </cfRule>
  </conditionalFormatting>
  <conditionalFormatting sqref="C43">
    <cfRule type="cellIs" dxfId="2087" priority="41586" stopIfTrue="1" operator="notEqual">
      <formula>3</formula>
    </cfRule>
  </conditionalFormatting>
  <conditionalFormatting sqref="D43">
    <cfRule type="cellIs" dxfId="2086" priority="41587" stopIfTrue="1" operator="notEqual">
      <formula>0.305</formula>
    </cfRule>
  </conditionalFormatting>
  <conditionalFormatting sqref="E43">
    <cfRule type="cellIs" dxfId="2085" priority="41588" stopIfTrue="1" operator="notEqual">
      <formula>"MGD"</formula>
    </cfRule>
  </conditionalFormatting>
  <conditionalFormatting sqref="F43">
    <cfRule type="cellIs" dxfId="2084" priority="41589" stopIfTrue="1" operator="notEqual">
      <formula>0.094</formula>
    </cfRule>
  </conditionalFormatting>
  <conditionalFormatting sqref="G43">
    <cfRule type="cellIs" dxfId="2083" priority="41590" stopIfTrue="1" operator="notEqual">
      <formula>"MGD"</formula>
    </cfRule>
  </conditionalFormatting>
  <conditionalFormatting sqref="H43">
    <cfRule type="cellIs" dxfId="2082" priority="41591" stopIfTrue="1" operator="notEqual">
      <formula>"acetic acid"</formula>
    </cfRule>
  </conditionalFormatting>
  <conditionalFormatting sqref="I43">
    <cfRule type="cellIs" dxfId="2081" priority="41592" stopIfTrue="1" operator="notEqual">
      <formula>37.4</formula>
    </cfRule>
  </conditionalFormatting>
  <conditionalFormatting sqref="J43">
    <cfRule type="cellIs" dxfId="2080" priority="41593" stopIfTrue="1" operator="notEqual">
      <formula>15.3</formula>
    </cfRule>
  </conditionalFormatting>
  <conditionalFormatting sqref="K43">
    <cfRule type="cellIs" dxfId="2079" priority="41594" stopIfTrue="1" operator="notEqual">
      <formula>0</formula>
    </cfRule>
  </conditionalFormatting>
  <conditionalFormatting sqref="L43">
    <cfRule type="cellIs" dxfId="2078" priority="41595" stopIfTrue="1" operator="notEqual">
      <formula>12</formula>
    </cfRule>
  </conditionalFormatting>
  <conditionalFormatting sqref="M43">
    <cfRule type="cellIs" dxfId="2077" priority="41596" stopIfTrue="1" operator="notEqual">
      <formula>20.3</formula>
    </cfRule>
  </conditionalFormatting>
  <conditionalFormatting sqref="N43">
    <cfRule type="cellIs" dxfId="2076" priority="41597" stopIfTrue="1" operator="notEqual">
      <formula>"additional phosphorous required"</formula>
    </cfRule>
  </conditionalFormatting>
  <conditionalFormatting sqref="O43">
    <cfRule type="expression" dxfId="2075" priority="41598" stopIfTrue="1">
      <formula>NOT(ISBLANK($O$43))</formula>
    </cfRule>
  </conditionalFormatting>
  <conditionalFormatting sqref="P43">
    <cfRule type="cellIs" dxfId="2074" priority="41599" stopIfTrue="1" operator="notEqual">
      <formula>2</formula>
    </cfRule>
  </conditionalFormatting>
  <conditionalFormatting sqref="Q43">
    <cfRule type="cellIs" dxfId="2073" priority="41600" stopIfTrue="1" operator="notEqual">
      <formula>10</formula>
    </cfRule>
  </conditionalFormatting>
  <conditionalFormatting sqref="R43">
    <cfRule type="expression" dxfId="2072" priority="41601" stopIfTrue="1">
      <formula>NOT(ISBLANK($R$43))</formula>
    </cfRule>
  </conditionalFormatting>
  <conditionalFormatting sqref="S43">
    <cfRule type="expression" dxfId="2071" priority="41602" stopIfTrue="1">
      <formula>NOT(ISBLANK($S$43))</formula>
    </cfRule>
  </conditionalFormatting>
  <conditionalFormatting sqref="T43">
    <cfRule type="expression" dxfId="2070" priority="41603" stopIfTrue="1">
      <formula>NOT(ISBLANK($T$43))</formula>
    </cfRule>
  </conditionalFormatting>
  <conditionalFormatting sqref="U43">
    <cfRule type="expression" dxfId="2069" priority="41604" stopIfTrue="1">
      <formula>NOT(ISBLANK($U$43))</formula>
    </cfRule>
  </conditionalFormatting>
  <conditionalFormatting sqref="V43">
    <cfRule type="expression" dxfId="2068" priority="41605" stopIfTrue="1">
      <formula>NOT(ISBLANK($V$43))</formula>
    </cfRule>
  </conditionalFormatting>
  <conditionalFormatting sqref="W43">
    <cfRule type="cellIs" dxfId="2067" priority="41606" stopIfTrue="1" operator="notEqual">
      <formula>"yes"</formula>
    </cfRule>
  </conditionalFormatting>
  <conditionalFormatting sqref="X43">
    <cfRule type="expression" dxfId="2066" priority="41607" stopIfTrue="1">
      <formula>NOT(ISBLANK($X$43))</formula>
    </cfRule>
  </conditionalFormatting>
  <conditionalFormatting sqref="Y43">
    <cfRule type="expression" dxfId="2065" priority="41608" stopIfTrue="1">
      <formula>NOT(ISBLANK($Y$43))</formula>
    </cfRule>
  </conditionalFormatting>
  <conditionalFormatting sqref="Z43">
    <cfRule type="expression" dxfId="2064" priority="41609" stopIfTrue="1">
      <formula>NOT(ISBLANK($Z$43))</formula>
    </cfRule>
  </conditionalFormatting>
  <conditionalFormatting sqref="AA43">
    <cfRule type="cellIs" dxfId="2063" priority="41610" stopIfTrue="1" operator="notEqual">
      <formula>"aeration"</formula>
    </cfRule>
  </conditionalFormatting>
  <conditionalFormatting sqref="AB43">
    <cfRule type="cellIs" dxfId="2062" priority="41611" stopIfTrue="1" operator="notEqual">
      <formula>"yes"</formula>
    </cfRule>
  </conditionalFormatting>
  <conditionalFormatting sqref="AC43">
    <cfRule type="cellIs" dxfId="2061" priority="41612" stopIfTrue="1" operator="notEqual">
      <formula>"gravity basin"</formula>
    </cfRule>
  </conditionalFormatting>
  <conditionalFormatting sqref="AD43">
    <cfRule type="cellIs" dxfId="2060" priority="41613" stopIfTrue="1" operator="notEqual">
      <formula>"yes"</formula>
    </cfRule>
  </conditionalFormatting>
  <conditionalFormatting sqref="AE43">
    <cfRule type="cellIs" dxfId="2059" priority="41614" stopIfTrue="1" operator="notEqual">
      <formula>"yes"</formula>
    </cfRule>
  </conditionalFormatting>
  <conditionalFormatting sqref="AF43">
    <cfRule type="cellIs" dxfId="2058" priority="41615" stopIfTrue="1" operator="notEqual">
      <formula>5.5</formula>
    </cfRule>
  </conditionalFormatting>
  <conditionalFormatting sqref="AG43">
    <cfRule type="cellIs" dxfId="2057" priority="41616" stopIfTrue="1" operator="notEqual">
      <formula>5.5</formula>
    </cfRule>
  </conditionalFormatting>
  <conditionalFormatting sqref="AH43">
    <cfRule type="cellIs" dxfId="2056" priority="41617" stopIfTrue="1" operator="notEqual">
      <formula>4.7</formula>
    </cfRule>
  </conditionalFormatting>
  <conditionalFormatting sqref="AI43">
    <cfRule type="expression" dxfId="2055" priority="41618" stopIfTrue="1">
      <formula>NOT(ISBLANK($AI$43))</formula>
    </cfRule>
  </conditionalFormatting>
  <conditionalFormatting sqref="AJ43">
    <cfRule type="expression" dxfId="2054" priority="41619" stopIfTrue="1">
      <formula>NOT(ISBLANK($AJ$43))</formula>
    </cfRule>
  </conditionalFormatting>
  <conditionalFormatting sqref="AK43">
    <cfRule type="expression" dxfId="2053" priority="41620" stopIfTrue="1">
      <formula>NOT(ISBLANK($AK$43))</formula>
    </cfRule>
  </conditionalFormatting>
  <conditionalFormatting sqref="AL43">
    <cfRule type="expression" dxfId="2052" priority="41621" stopIfTrue="1">
      <formula>NOT(ISBLANK($AL$43))</formula>
    </cfRule>
  </conditionalFormatting>
  <conditionalFormatting sqref="AM43">
    <cfRule type="expression" dxfId="2051" priority="41622" stopIfTrue="1">
      <formula>NOT(ISBLANK($AM$43))</formula>
    </cfRule>
  </conditionalFormatting>
  <conditionalFormatting sqref="AN43">
    <cfRule type="cellIs" dxfId="2050" priority="41623" stopIfTrue="1" operator="notEqual">
      <formula>24</formula>
    </cfRule>
  </conditionalFormatting>
  <conditionalFormatting sqref="AO43">
    <cfRule type="cellIs" dxfId="2049" priority="41624" stopIfTrue="1" operator="notEqual">
      <formula>36</formula>
    </cfRule>
  </conditionalFormatting>
  <conditionalFormatting sqref="AP43">
    <cfRule type="cellIs" dxfId="2048" priority="41625" stopIfTrue="1" operator="notEqual">
      <formula>"yes"</formula>
    </cfRule>
  </conditionalFormatting>
  <conditionalFormatting sqref="AQ43">
    <cfRule type="cellIs" dxfId="2047" priority="41626" stopIfTrue="1" operator="notEqual">
      <formula>"recycle"</formula>
    </cfRule>
  </conditionalFormatting>
  <conditionalFormatting sqref="AR43">
    <cfRule type="cellIs" dxfId="2046" priority="41627" stopIfTrue="1" operator="notEqual">
      <formula>"holding tank"</formula>
    </cfRule>
  </conditionalFormatting>
  <conditionalFormatting sqref="AS43">
    <cfRule type="cellIs" dxfId="2045" priority="41628" stopIfTrue="1" operator="notEqual">
      <formula>"none"</formula>
    </cfRule>
  </conditionalFormatting>
  <conditionalFormatting sqref="AT43">
    <cfRule type="cellIs" dxfId="2044" priority="41629" stopIfTrue="1" operator="notEqual">
      <formula>"non-hazardous"</formula>
    </cfRule>
  </conditionalFormatting>
  <conditionalFormatting sqref="AU43">
    <cfRule type="expression" dxfId="2043" priority="41630" stopIfTrue="1">
      <formula>NOT(ISBLANK($AU$43))</formula>
    </cfRule>
  </conditionalFormatting>
  <conditionalFormatting sqref="AV43">
    <cfRule type="expression" dxfId="2042" priority="41631" stopIfTrue="1">
      <formula>NOT(ISBLANK($AV$43))</formula>
    </cfRule>
  </conditionalFormatting>
  <conditionalFormatting sqref="AW43">
    <cfRule type="expression" dxfId="2041" priority="41632" stopIfTrue="1">
      <formula>NOT(ISBLANK($AW$43))</formula>
    </cfRule>
  </conditionalFormatting>
  <conditionalFormatting sqref="AX43">
    <cfRule type="expression" dxfId="2040" priority="41633" stopIfTrue="1">
      <formula>NOT(ISBLANK($AX$43))</formula>
    </cfRule>
  </conditionalFormatting>
  <conditionalFormatting sqref="AY43">
    <cfRule type="expression" dxfId="2039" priority="41634" stopIfTrue="1">
      <formula>NOT(ISBLANK($AY$43))</formula>
    </cfRule>
  </conditionalFormatting>
  <conditionalFormatting sqref="AZ43">
    <cfRule type="cellIs" dxfId="2038" priority="41635" stopIfTrue="1" operator="notEqual">
      <formula>"fully automated"</formula>
    </cfRule>
  </conditionalFormatting>
  <conditionalFormatting sqref="BA43">
    <cfRule type="expression" dxfId="2037" priority="41636" stopIfTrue="1">
      <formula>NOT(ISBLANK($BA$43))</formula>
    </cfRule>
  </conditionalFormatting>
  <conditionalFormatting sqref="BB43">
    <cfRule type="expression" dxfId="2036" priority="41637" stopIfTrue="1">
      <formula>NOT(ISBLANK($BB$43))</formula>
    </cfRule>
  </conditionalFormatting>
  <conditionalFormatting sqref="BC43">
    <cfRule type="expression" dxfId="2035" priority="41638" stopIfTrue="1">
      <formula>NOT(ISBLANK($BC$43))</formula>
    </cfRule>
  </conditionalFormatting>
  <conditionalFormatting sqref="A44">
    <cfRule type="cellIs" dxfId="2034" priority="41639" stopIfTrue="1" operator="notEqual">
      <formula>2</formula>
    </cfRule>
  </conditionalFormatting>
  <conditionalFormatting sqref="B44">
    <cfRule type="cellIs" dxfId="2033" priority="41640" stopIfTrue="1" operator="notEqual">
      <formula>2</formula>
    </cfRule>
  </conditionalFormatting>
  <conditionalFormatting sqref="C44">
    <cfRule type="cellIs" dxfId="2032" priority="41641" stopIfTrue="1" operator="notEqual">
      <formula>4</formula>
    </cfRule>
  </conditionalFormatting>
  <conditionalFormatting sqref="D44">
    <cfRule type="cellIs" dxfId="2031" priority="41642" stopIfTrue="1" operator="notEqual">
      <formula>0.74</formula>
    </cfRule>
  </conditionalFormatting>
  <conditionalFormatting sqref="E44">
    <cfRule type="cellIs" dxfId="2030" priority="41643" stopIfTrue="1" operator="notEqual">
      <formula>"MGD"</formula>
    </cfRule>
  </conditionalFormatting>
  <conditionalFormatting sqref="F44">
    <cfRule type="cellIs" dxfId="2029" priority="41644" stopIfTrue="1" operator="notEqual">
      <formula>0.251</formula>
    </cfRule>
  </conditionalFormatting>
  <conditionalFormatting sqref="G44">
    <cfRule type="cellIs" dxfId="2028" priority="41645" stopIfTrue="1" operator="notEqual">
      <formula>"MGD"</formula>
    </cfRule>
  </conditionalFormatting>
  <conditionalFormatting sqref="H44">
    <cfRule type="cellIs" dxfId="2027" priority="41646" stopIfTrue="1" operator="notEqual">
      <formula>"acetic acid"</formula>
    </cfRule>
  </conditionalFormatting>
  <conditionalFormatting sqref="I44">
    <cfRule type="cellIs" dxfId="2026" priority="41647" stopIfTrue="1" operator="notEqual">
      <formula>37.4</formula>
    </cfRule>
  </conditionalFormatting>
  <conditionalFormatting sqref="J44">
    <cfRule type="cellIs" dxfId="2025" priority="41648" stopIfTrue="1" operator="notEqual">
      <formula>15.3</formula>
    </cfRule>
  </conditionalFormatting>
  <conditionalFormatting sqref="K44">
    <cfRule type="cellIs" dxfId="2024" priority="41649" stopIfTrue="1" operator="notEqual">
      <formula>0</formula>
    </cfRule>
  </conditionalFormatting>
  <conditionalFormatting sqref="L44">
    <cfRule type="cellIs" dxfId="2023" priority="41650" stopIfTrue="1" operator="notEqual">
      <formula>12</formula>
    </cfRule>
  </conditionalFormatting>
  <conditionalFormatting sqref="M44">
    <cfRule type="cellIs" dxfId="2022" priority="41651" stopIfTrue="1" operator="notEqual">
      <formula>20.3</formula>
    </cfRule>
  </conditionalFormatting>
  <conditionalFormatting sqref="N44">
    <cfRule type="cellIs" dxfId="2021" priority="41652" stopIfTrue="1" operator="notEqual">
      <formula>"additional phosphorous required"</formula>
    </cfRule>
  </conditionalFormatting>
  <conditionalFormatting sqref="O44">
    <cfRule type="expression" dxfId="2020" priority="41653" stopIfTrue="1">
      <formula>NOT(ISBLANK($O$44))</formula>
    </cfRule>
  </conditionalFormatting>
  <conditionalFormatting sqref="P44">
    <cfRule type="cellIs" dxfId="2019" priority="41654" stopIfTrue="1" operator="notEqual">
      <formula>2</formula>
    </cfRule>
  </conditionalFormatting>
  <conditionalFormatting sqref="Q44">
    <cfRule type="cellIs" dxfId="2018" priority="41655" stopIfTrue="1" operator="notEqual">
      <formula>10</formula>
    </cfRule>
  </conditionalFormatting>
  <conditionalFormatting sqref="R44">
    <cfRule type="expression" dxfId="2017" priority="41656" stopIfTrue="1">
      <formula>NOT(ISBLANK($R$44))</formula>
    </cfRule>
  </conditionalFormatting>
  <conditionalFormatting sqref="S44">
    <cfRule type="expression" dxfId="2016" priority="41657" stopIfTrue="1">
      <formula>NOT(ISBLANK($S$44))</formula>
    </cfRule>
  </conditionalFormatting>
  <conditionalFormatting sqref="T44">
    <cfRule type="expression" dxfId="2015" priority="41658" stopIfTrue="1">
      <formula>NOT(ISBLANK($T$44))</formula>
    </cfRule>
  </conditionalFormatting>
  <conditionalFormatting sqref="U44">
    <cfRule type="expression" dxfId="2014" priority="41659" stopIfTrue="1">
      <formula>NOT(ISBLANK($U$44))</formula>
    </cfRule>
  </conditionalFormatting>
  <conditionalFormatting sqref="V44">
    <cfRule type="expression" dxfId="2013" priority="41660" stopIfTrue="1">
      <formula>NOT(ISBLANK($V$44))</formula>
    </cfRule>
  </conditionalFormatting>
  <conditionalFormatting sqref="W44">
    <cfRule type="cellIs" dxfId="2012" priority="41661" stopIfTrue="1" operator="notEqual">
      <formula>"yes"</formula>
    </cfRule>
  </conditionalFormatting>
  <conditionalFormatting sqref="X44">
    <cfRule type="expression" dxfId="2011" priority="41662" stopIfTrue="1">
      <formula>NOT(ISBLANK($X$44))</formula>
    </cfRule>
  </conditionalFormatting>
  <conditionalFormatting sqref="Y44">
    <cfRule type="expression" dxfId="2010" priority="41663" stopIfTrue="1">
      <formula>NOT(ISBLANK($Y$44))</formula>
    </cfRule>
  </conditionalFormatting>
  <conditionalFormatting sqref="Z44">
    <cfRule type="expression" dxfId="2009" priority="41664" stopIfTrue="1">
      <formula>NOT(ISBLANK($Z$44))</formula>
    </cfRule>
  </conditionalFormatting>
  <conditionalFormatting sqref="AA44">
    <cfRule type="cellIs" dxfId="2008" priority="41665" stopIfTrue="1" operator="notEqual">
      <formula>"aeration"</formula>
    </cfRule>
  </conditionalFormatting>
  <conditionalFormatting sqref="AB44">
    <cfRule type="cellIs" dxfId="2007" priority="41666" stopIfTrue="1" operator="notEqual">
      <formula>"yes"</formula>
    </cfRule>
  </conditionalFormatting>
  <conditionalFormatting sqref="AC44">
    <cfRule type="cellIs" dxfId="2006" priority="41667" stopIfTrue="1" operator="notEqual">
      <formula>"gravity basin"</formula>
    </cfRule>
  </conditionalFormatting>
  <conditionalFormatting sqref="AD44">
    <cfRule type="cellIs" dxfId="2005" priority="41668" stopIfTrue="1" operator="notEqual">
      <formula>"yes"</formula>
    </cfRule>
  </conditionalFormatting>
  <conditionalFormatting sqref="AE44">
    <cfRule type="cellIs" dxfId="2004" priority="41669" stopIfTrue="1" operator="notEqual">
      <formula>"yes"</formula>
    </cfRule>
  </conditionalFormatting>
  <conditionalFormatting sqref="AF44">
    <cfRule type="cellIs" dxfId="2003" priority="41670" stopIfTrue="1" operator="notEqual">
      <formula>8.5</formula>
    </cfRule>
  </conditionalFormatting>
  <conditionalFormatting sqref="AG44">
    <cfRule type="cellIs" dxfId="2002" priority="41671" stopIfTrue="1" operator="notEqual">
      <formula>8.5</formula>
    </cfRule>
  </conditionalFormatting>
  <conditionalFormatting sqref="AH44">
    <cfRule type="cellIs" dxfId="2001" priority="41672" stopIfTrue="1" operator="notEqual">
      <formula>4.8</formula>
    </cfRule>
  </conditionalFormatting>
  <conditionalFormatting sqref="AI44">
    <cfRule type="expression" dxfId="2000" priority="41673" stopIfTrue="1">
      <formula>NOT(ISBLANK($AI$44))</formula>
    </cfRule>
  </conditionalFormatting>
  <conditionalFormatting sqref="AJ44">
    <cfRule type="expression" dxfId="1999" priority="41674" stopIfTrue="1">
      <formula>NOT(ISBLANK($AJ$44))</formula>
    </cfRule>
  </conditionalFormatting>
  <conditionalFormatting sqref="AK44">
    <cfRule type="expression" dxfId="1998" priority="41675" stopIfTrue="1">
      <formula>NOT(ISBLANK($AK$44))</formula>
    </cfRule>
  </conditionalFormatting>
  <conditionalFormatting sqref="AL44">
    <cfRule type="expression" dxfId="1997" priority="41676" stopIfTrue="1">
      <formula>NOT(ISBLANK($AL$44))</formula>
    </cfRule>
  </conditionalFormatting>
  <conditionalFormatting sqref="AM44">
    <cfRule type="expression" dxfId="1996" priority="41677" stopIfTrue="1">
      <formula>NOT(ISBLANK($AM$44))</formula>
    </cfRule>
  </conditionalFormatting>
  <conditionalFormatting sqref="AN44">
    <cfRule type="cellIs" dxfId="1995" priority="41678" stopIfTrue="1" operator="notEqual">
      <formula>24</formula>
    </cfRule>
  </conditionalFormatting>
  <conditionalFormatting sqref="AO44">
    <cfRule type="cellIs" dxfId="1994" priority="41679" stopIfTrue="1" operator="notEqual">
      <formula>36</formula>
    </cfRule>
  </conditionalFormatting>
  <conditionalFormatting sqref="AP44">
    <cfRule type="cellIs" dxfId="1993" priority="41680" stopIfTrue="1" operator="notEqual">
      <formula>"yes"</formula>
    </cfRule>
  </conditionalFormatting>
  <conditionalFormatting sqref="AQ44">
    <cfRule type="cellIs" dxfId="1992" priority="41681" stopIfTrue="1" operator="notEqual">
      <formula>"recycle"</formula>
    </cfRule>
  </conditionalFormatting>
  <conditionalFormatting sqref="AR44">
    <cfRule type="cellIs" dxfId="1991" priority="41682" stopIfTrue="1" operator="notEqual">
      <formula>"holding tank"</formula>
    </cfRule>
  </conditionalFormatting>
  <conditionalFormatting sqref="AS44">
    <cfRule type="cellIs" dxfId="1990" priority="41683" stopIfTrue="1" operator="notEqual">
      <formula>"none"</formula>
    </cfRule>
  </conditionalFormatting>
  <conditionalFormatting sqref="AT44">
    <cfRule type="cellIs" dxfId="1989" priority="41684" stopIfTrue="1" operator="notEqual">
      <formula>"non-hazardous"</formula>
    </cfRule>
  </conditionalFormatting>
  <conditionalFormatting sqref="AU44">
    <cfRule type="expression" dxfId="1988" priority="41685" stopIfTrue="1">
      <formula>NOT(ISBLANK($AU$44))</formula>
    </cfRule>
  </conditionalFormatting>
  <conditionalFormatting sqref="AV44">
    <cfRule type="expression" dxfId="1987" priority="41686" stopIfTrue="1">
      <formula>NOT(ISBLANK($AV$44))</formula>
    </cfRule>
  </conditionalFormatting>
  <conditionalFormatting sqref="AW44">
    <cfRule type="expression" dxfId="1986" priority="41687" stopIfTrue="1">
      <formula>NOT(ISBLANK($AW$44))</formula>
    </cfRule>
  </conditionalFormatting>
  <conditionalFormatting sqref="AX44">
    <cfRule type="expression" dxfId="1985" priority="41688" stopIfTrue="1">
      <formula>NOT(ISBLANK($AX$44))</formula>
    </cfRule>
  </conditionalFormatting>
  <conditionalFormatting sqref="AY44">
    <cfRule type="expression" dxfId="1984" priority="41689" stopIfTrue="1">
      <formula>NOT(ISBLANK($AY$44))</formula>
    </cfRule>
  </conditionalFormatting>
  <conditionalFormatting sqref="AZ44">
    <cfRule type="cellIs" dxfId="1983" priority="41690" stopIfTrue="1" operator="notEqual">
      <formula>"fully automated"</formula>
    </cfRule>
  </conditionalFormatting>
  <conditionalFormatting sqref="BA44">
    <cfRule type="expression" dxfId="1982" priority="41691" stopIfTrue="1">
      <formula>NOT(ISBLANK($BA$44))</formula>
    </cfRule>
  </conditionalFormatting>
  <conditionalFormatting sqref="BB44">
    <cfRule type="expression" dxfId="1981" priority="41692" stopIfTrue="1">
      <formula>NOT(ISBLANK($BB$44))</formula>
    </cfRule>
  </conditionalFormatting>
  <conditionalFormatting sqref="BC44">
    <cfRule type="expression" dxfId="1980" priority="41693" stopIfTrue="1">
      <formula>NOT(ISBLANK($BC$44))</formula>
    </cfRule>
  </conditionalFormatting>
  <conditionalFormatting sqref="A45">
    <cfRule type="cellIs" dxfId="1979" priority="41694" stopIfTrue="1" operator="notEqual">
      <formula>2</formula>
    </cfRule>
  </conditionalFormatting>
  <conditionalFormatting sqref="B45">
    <cfRule type="cellIs" dxfId="1978" priority="41695" stopIfTrue="1" operator="notEqual">
      <formula>2</formula>
    </cfRule>
  </conditionalFormatting>
  <conditionalFormatting sqref="C45">
    <cfRule type="cellIs" dxfId="1977" priority="41696" stopIfTrue="1" operator="notEqual">
      <formula>5</formula>
    </cfRule>
  </conditionalFormatting>
  <conditionalFormatting sqref="D45">
    <cfRule type="cellIs" dxfId="1976" priority="41697" stopIfTrue="1" operator="notEqual">
      <formula>2.152</formula>
    </cfRule>
  </conditionalFormatting>
  <conditionalFormatting sqref="E45">
    <cfRule type="cellIs" dxfId="1975" priority="41698" stopIfTrue="1" operator="notEqual">
      <formula>"MGD"</formula>
    </cfRule>
  </conditionalFormatting>
  <conditionalFormatting sqref="F45">
    <cfRule type="cellIs" dxfId="1974" priority="41699" stopIfTrue="1" operator="notEqual">
      <formula>0.819</formula>
    </cfRule>
  </conditionalFormatting>
  <conditionalFormatting sqref="G45">
    <cfRule type="cellIs" dxfId="1973" priority="41700" stopIfTrue="1" operator="notEqual">
      <formula>"MGD"</formula>
    </cfRule>
  </conditionalFormatting>
  <conditionalFormatting sqref="H45">
    <cfRule type="cellIs" dxfId="1972" priority="41701" stopIfTrue="1" operator="notEqual">
      <formula>"acetic acid"</formula>
    </cfRule>
  </conditionalFormatting>
  <conditionalFormatting sqref="I45">
    <cfRule type="cellIs" dxfId="1971" priority="41702" stopIfTrue="1" operator="notEqual">
      <formula>37.4</formula>
    </cfRule>
  </conditionalFormatting>
  <conditionalFormatting sqref="J45">
    <cfRule type="cellIs" dxfId="1970" priority="41703" stopIfTrue="1" operator="notEqual">
      <formula>15.3</formula>
    </cfRule>
  </conditionalFormatting>
  <conditionalFormatting sqref="K45">
    <cfRule type="cellIs" dxfId="1969" priority="41704" stopIfTrue="1" operator="notEqual">
      <formula>0</formula>
    </cfRule>
  </conditionalFormatting>
  <conditionalFormatting sqref="L45">
    <cfRule type="cellIs" dxfId="1968" priority="41705" stopIfTrue="1" operator="notEqual">
      <formula>12</formula>
    </cfRule>
  </conditionalFormatting>
  <conditionalFormatting sqref="M45">
    <cfRule type="cellIs" dxfId="1967" priority="41706" stopIfTrue="1" operator="notEqual">
      <formula>20.3</formula>
    </cfRule>
  </conditionalFormatting>
  <conditionalFormatting sqref="N45">
    <cfRule type="cellIs" dxfId="1966" priority="41707" stopIfTrue="1" operator="notEqual">
      <formula>"additional phosphorous required"</formula>
    </cfRule>
  </conditionalFormatting>
  <conditionalFormatting sqref="O45">
    <cfRule type="expression" dxfId="1965" priority="41708" stopIfTrue="1">
      <formula>NOT(ISBLANK($O$45))</formula>
    </cfRule>
  </conditionalFormatting>
  <conditionalFormatting sqref="P45">
    <cfRule type="cellIs" dxfId="1964" priority="41709" stopIfTrue="1" operator="notEqual">
      <formula>2</formula>
    </cfRule>
  </conditionalFormatting>
  <conditionalFormatting sqref="Q45">
    <cfRule type="cellIs" dxfId="1963" priority="41710" stopIfTrue="1" operator="notEqual">
      <formula>10</formula>
    </cfRule>
  </conditionalFormatting>
  <conditionalFormatting sqref="R45">
    <cfRule type="expression" dxfId="1962" priority="41711" stopIfTrue="1">
      <formula>NOT(ISBLANK($R$45))</formula>
    </cfRule>
  </conditionalFormatting>
  <conditionalFormatting sqref="S45">
    <cfRule type="expression" dxfId="1961" priority="41712" stopIfTrue="1">
      <formula>NOT(ISBLANK($S$45))</formula>
    </cfRule>
  </conditionalFormatting>
  <conditionalFormatting sqref="T45">
    <cfRule type="expression" dxfId="1960" priority="41713" stopIfTrue="1">
      <formula>NOT(ISBLANK($T$45))</formula>
    </cfRule>
  </conditionalFormatting>
  <conditionalFormatting sqref="U45">
    <cfRule type="expression" dxfId="1959" priority="41714" stopIfTrue="1">
      <formula>NOT(ISBLANK($U$45))</formula>
    </cfRule>
  </conditionalFormatting>
  <conditionalFormatting sqref="V45">
    <cfRule type="expression" dxfId="1958" priority="41715" stopIfTrue="1">
      <formula>NOT(ISBLANK($V$45))</formula>
    </cfRule>
  </conditionalFormatting>
  <conditionalFormatting sqref="W45">
    <cfRule type="cellIs" dxfId="1957" priority="41716" stopIfTrue="1" operator="notEqual">
      <formula>"yes"</formula>
    </cfRule>
  </conditionalFormatting>
  <conditionalFormatting sqref="X45">
    <cfRule type="expression" dxfId="1956" priority="41717" stopIfTrue="1">
      <formula>NOT(ISBLANK($X$45))</formula>
    </cfRule>
  </conditionalFormatting>
  <conditionalFormatting sqref="Y45">
    <cfRule type="expression" dxfId="1955" priority="41718" stopIfTrue="1">
      <formula>NOT(ISBLANK($Y$45))</formula>
    </cfRule>
  </conditionalFormatting>
  <conditionalFormatting sqref="Z45">
    <cfRule type="expression" dxfId="1954" priority="41719" stopIfTrue="1">
      <formula>NOT(ISBLANK($Z$45))</formula>
    </cfRule>
  </conditionalFormatting>
  <conditionalFormatting sqref="AA45">
    <cfRule type="cellIs" dxfId="1953" priority="41720" stopIfTrue="1" operator="notEqual">
      <formula>"aeration"</formula>
    </cfRule>
  </conditionalFormatting>
  <conditionalFormatting sqref="AB45">
    <cfRule type="cellIs" dxfId="1952" priority="41721" stopIfTrue="1" operator="notEqual">
      <formula>"yes"</formula>
    </cfRule>
  </conditionalFormatting>
  <conditionalFormatting sqref="AC45">
    <cfRule type="cellIs" dxfId="1951" priority="41722" stopIfTrue="1" operator="notEqual">
      <formula>"gravity basin"</formula>
    </cfRule>
  </conditionalFormatting>
  <conditionalFormatting sqref="AD45">
    <cfRule type="cellIs" dxfId="1950" priority="41723" stopIfTrue="1" operator="notEqual">
      <formula>"yes"</formula>
    </cfRule>
  </conditionalFormatting>
  <conditionalFormatting sqref="AE45">
    <cfRule type="cellIs" dxfId="1949" priority="41724" stopIfTrue="1" operator="notEqual">
      <formula>"yes"</formula>
    </cfRule>
  </conditionalFormatting>
  <conditionalFormatting sqref="AF45">
    <cfRule type="cellIs" dxfId="1948" priority="41725" stopIfTrue="1" operator="notEqual">
      <formula>8.5</formula>
    </cfRule>
  </conditionalFormatting>
  <conditionalFormatting sqref="AG45">
    <cfRule type="cellIs" dxfId="1947" priority="41726" stopIfTrue="1" operator="notEqual">
      <formula>8.5</formula>
    </cfRule>
  </conditionalFormatting>
  <conditionalFormatting sqref="AH45">
    <cfRule type="cellIs" dxfId="1946" priority="41727" stopIfTrue="1" operator="notEqual">
      <formula>7</formula>
    </cfRule>
  </conditionalFormatting>
  <conditionalFormatting sqref="AI45">
    <cfRule type="expression" dxfId="1945" priority="41728" stopIfTrue="1">
      <formula>NOT(ISBLANK($AI$45))</formula>
    </cfRule>
  </conditionalFormatting>
  <conditionalFormatting sqref="AJ45">
    <cfRule type="expression" dxfId="1944" priority="41729" stopIfTrue="1">
      <formula>NOT(ISBLANK($AJ$45))</formula>
    </cfRule>
  </conditionalFormatting>
  <conditionalFormatting sqref="AK45">
    <cfRule type="expression" dxfId="1943" priority="41730" stopIfTrue="1">
      <formula>NOT(ISBLANK($AK$45))</formula>
    </cfRule>
  </conditionalFormatting>
  <conditionalFormatting sqref="AL45">
    <cfRule type="expression" dxfId="1942" priority="41731" stopIfTrue="1">
      <formula>NOT(ISBLANK($AL$45))</formula>
    </cfRule>
  </conditionalFormatting>
  <conditionalFormatting sqref="AM45">
    <cfRule type="expression" dxfId="1941" priority="41732" stopIfTrue="1">
      <formula>NOT(ISBLANK($AM$45))</formula>
    </cfRule>
  </conditionalFormatting>
  <conditionalFormatting sqref="AN45">
    <cfRule type="cellIs" dxfId="1940" priority="41733" stopIfTrue="1" operator="notEqual">
      <formula>24</formula>
    </cfRule>
  </conditionalFormatting>
  <conditionalFormatting sqref="AO45">
    <cfRule type="cellIs" dxfId="1939" priority="41734" stopIfTrue="1" operator="notEqual">
      <formula>36</formula>
    </cfRule>
  </conditionalFormatting>
  <conditionalFormatting sqref="AP45">
    <cfRule type="cellIs" dxfId="1938" priority="41735" stopIfTrue="1" operator="notEqual">
      <formula>"yes"</formula>
    </cfRule>
  </conditionalFormatting>
  <conditionalFormatting sqref="AQ45">
    <cfRule type="cellIs" dxfId="1937" priority="41736" stopIfTrue="1" operator="notEqual">
      <formula>"recycle"</formula>
    </cfRule>
  </conditionalFormatting>
  <conditionalFormatting sqref="AR45">
    <cfRule type="cellIs" dxfId="1936" priority="41737" stopIfTrue="1" operator="notEqual">
      <formula>"holding tank"</formula>
    </cfRule>
  </conditionalFormatting>
  <conditionalFormatting sqref="AS45">
    <cfRule type="cellIs" dxfId="1935" priority="41738" stopIfTrue="1" operator="notEqual">
      <formula>"none"</formula>
    </cfRule>
  </conditionalFormatting>
  <conditionalFormatting sqref="AT45">
    <cfRule type="cellIs" dxfId="1934" priority="41739" stopIfTrue="1" operator="notEqual">
      <formula>"non-hazardous"</formula>
    </cfRule>
  </conditionalFormatting>
  <conditionalFormatting sqref="AU45">
    <cfRule type="expression" dxfId="1933" priority="41740" stopIfTrue="1">
      <formula>NOT(ISBLANK($AU$45))</formula>
    </cfRule>
  </conditionalFormatting>
  <conditionalFormatting sqref="AV45">
    <cfRule type="expression" dxfId="1932" priority="41741" stopIfTrue="1">
      <formula>NOT(ISBLANK($AV$45))</formula>
    </cfRule>
  </conditionalFormatting>
  <conditionalFormatting sqref="AW45">
    <cfRule type="expression" dxfId="1931" priority="41742" stopIfTrue="1">
      <formula>NOT(ISBLANK($AW$45))</formula>
    </cfRule>
  </conditionalFormatting>
  <conditionalFormatting sqref="AX45">
    <cfRule type="expression" dxfId="1930" priority="41743" stopIfTrue="1">
      <formula>NOT(ISBLANK($AX$45))</formula>
    </cfRule>
  </conditionalFormatting>
  <conditionalFormatting sqref="AY45">
    <cfRule type="expression" dxfId="1929" priority="41744" stopIfTrue="1">
      <formula>NOT(ISBLANK($AY$45))</formula>
    </cfRule>
  </conditionalFormatting>
  <conditionalFormatting sqref="AZ45">
    <cfRule type="cellIs" dxfId="1928" priority="41745" stopIfTrue="1" operator="notEqual">
      <formula>"fully automated"</formula>
    </cfRule>
  </conditionalFormatting>
  <conditionalFormatting sqref="BA45">
    <cfRule type="expression" dxfId="1927" priority="41746" stopIfTrue="1">
      <formula>NOT(ISBLANK($BA$45))</formula>
    </cfRule>
  </conditionalFormatting>
  <conditionalFormatting sqref="BB45">
    <cfRule type="expression" dxfId="1926" priority="41747" stopIfTrue="1">
      <formula>NOT(ISBLANK($BB$45))</formula>
    </cfRule>
  </conditionalFormatting>
  <conditionalFormatting sqref="BC45">
    <cfRule type="expression" dxfId="1925" priority="41748" stopIfTrue="1">
      <formula>NOT(ISBLANK($BC$45))</formula>
    </cfRule>
  </conditionalFormatting>
  <conditionalFormatting sqref="A46">
    <cfRule type="cellIs" dxfId="1924" priority="41749" stopIfTrue="1" operator="notEqual">
      <formula>2</formula>
    </cfRule>
  </conditionalFormatting>
  <conditionalFormatting sqref="B46">
    <cfRule type="cellIs" dxfId="1923" priority="41750" stopIfTrue="1" operator="notEqual">
      <formula>2</formula>
    </cfRule>
  </conditionalFormatting>
  <conditionalFormatting sqref="C46">
    <cfRule type="cellIs" dxfId="1922" priority="41751" stopIfTrue="1" operator="notEqual">
      <formula>6</formula>
    </cfRule>
  </conditionalFormatting>
  <conditionalFormatting sqref="D46">
    <cfRule type="cellIs" dxfId="1921" priority="41752" stopIfTrue="1" operator="notEqual">
      <formula>7.365</formula>
    </cfRule>
  </conditionalFormatting>
  <conditionalFormatting sqref="E46">
    <cfRule type="cellIs" dxfId="1920" priority="41753" stopIfTrue="1" operator="notEqual">
      <formula>"MGD"</formula>
    </cfRule>
  </conditionalFormatting>
  <conditionalFormatting sqref="F46">
    <cfRule type="cellIs" dxfId="1919" priority="41754" stopIfTrue="1" operator="notEqual">
      <formula>3.2</formula>
    </cfRule>
  </conditionalFormatting>
  <conditionalFormatting sqref="G46">
    <cfRule type="cellIs" dxfId="1918" priority="41755" stopIfTrue="1" operator="notEqual">
      <formula>"MGD"</formula>
    </cfRule>
  </conditionalFormatting>
  <conditionalFormatting sqref="H46">
    <cfRule type="cellIs" dxfId="1917" priority="41756" stopIfTrue="1" operator="notEqual">
      <formula>"acetic acid"</formula>
    </cfRule>
  </conditionalFormatting>
  <conditionalFormatting sqref="I46">
    <cfRule type="cellIs" dxfId="1916" priority="41757" stopIfTrue="1" operator="notEqual">
      <formula>37.4</formula>
    </cfRule>
  </conditionalFormatting>
  <conditionalFormatting sqref="J46">
    <cfRule type="cellIs" dxfId="1915" priority="41758" stopIfTrue="1" operator="notEqual">
      <formula>15.3</formula>
    </cfRule>
  </conditionalFormatting>
  <conditionalFormatting sqref="K46">
    <cfRule type="cellIs" dxfId="1914" priority="41759" stopIfTrue="1" operator="notEqual">
      <formula>0</formula>
    </cfRule>
  </conditionalFormatting>
  <conditionalFormatting sqref="L46">
    <cfRule type="cellIs" dxfId="1913" priority="41760" stopIfTrue="1" operator="notEqual">
      <formula>12</formula>
    </cfRule>
  </conditionalFormatting>
  <conditionalFormatting sqref="M46">
    <cfRule type="cellIs" dxfId="1912" priority="41761" stopIfTrue="1" operator="notEqual">
      <formula>20.3</formula>
    </cfRule>
  </conditionalFormatting>
  <conditionalFormatting sqref="N46">
    <cfRule type="cellIs" dxfId="1911" priority="41762" stopIfTrue="1" operator="notEqual">
      <formula>"additional phosphorous required"</formula>
    </cfRule>
  </conditionalFormatting>
  <conditionalFormatting sqref="O46">
    <cfRule type="expression" dxfId="1910" priority="41763" stopIfTrue="1">
      <formula>NOT(ISBLANK($O$46))</formula>
    </cfRule>
  </conditionalFormatting>
  <conditionalFormatting sqref="P46">
    <cfRule type="cellIs" dxfId="1909" priority="41764" stopIfTrue="1" operator="notEqual">
      <formula>2</formula>
    </cfRule>
  </conditionalFormatting>
  <conditionalFormatting sqref="Q46">
    <cfRule type="cellIs" dxfId="1908" priority="41765" stopIfTrue="1" operator="notEqual">
      <formula>10</formula>
    </cfRule>
  </conditionalFormatting>
  <conditionalFormatting sqref="R46">
    <cfRule type="expression" dxfId="1907" priority="41766" stopIfTrue="1">
      <formula>NOT(ISBLANK($R$46))</formula>
    </cfRule>
  </conditionalFormatting>
  <conditionalFormatting sqref="S46">
    <cfRule type="expression" dxfId="1906" priority="41767" stopIfTrue="1">
      <formula>NOT(ISBLANK($S$46))</formula>
    </cfRule>
  </conditionalFormatting>
  <conditionalFormatting sqref="T46">
    <cfRule type="expression" dxfId="1905" priority="41768" stopIfTrue="1">
      <formula>NOT(ISBLANK($T$46))</formula>
    </cfRule>
  </conditionalFormatting>
  <conditionalFormatting sqref="U46">
    <cfRule type="expression" dxfId="1904" priority="41769" stopIfTrue="1">
      <formula>NOT(ISBLANK($U$46))</formula>
    </cfRule>
  </conditionalFormatting>
  <conditionalFormatting sqref="V46">
    <cfRule type="expression" dxfId="1903" priority="41770" stopIfTrue="1">
      <formula>NOT(ISBLANK($V$46))</formula>
    </cfRule>
  </conditionalFormatting>
  <conditionalFormatting sqref="W46">
    <cfRule type="cellIs" dxfId="1902" priority="41771" stopIfTrue="1" operator="notEqual">
      <formula>"yes"</formula>
    </cfRule>
  </conditionalFormatting>
  <conditionalFormatting sqref="X46">
    <cfRule type="expression" dxfId="1901" priority="41772" stopIfTrue="1">
      <formula>NOT(ISBLANK($X$46))</formula>
    </cfRule>
  </conditionalFormatting>
  <conditionalFormatting sqref="Y46">
    <cfRule type="expression" dxfId="1900" priority="41773" stopIfTrue="1">
      <formula>NOT(ISBLANK($Y$46))</formula>
    </cfRule>
  </conditionalFormatting>
  <conditionalFormatting sqref="Z46">
    <cfRule type="expression" dxfId="1899" priority="41774" stopIfTrue="1">
      <formula>NOT(ISBLANK($Z$46))</formula>
    </cfRule>
  </conditionalFormatting>
  <conditionalFormatting sqref="AA46">
    <cfRule type="cellIs" dxfId="1898" priority="41775" stopIfTrue="1" operator="notEqual">
      <formula>"aeration"</formula>
    </cfRule>
  </conditionalFormatting>
  <conditionalFormatting sqref="AB46">
    <cfRule type="cellIs" dxfId="1897" priority="41776" stopIfTrue="1" operator="notEqual">
      <formula>"yes"</formula>
    </cfRule>
  </conditionalFormatting>
  <conditionalFormatting sqref="AC46">
    <cfRule type="cellIs" dxfId="1896" priority="41777" stopIfTrue="1" operator="notEqual">
      <formula>"gravity basin"</formula>
    </cfRule>
  </conditionalFormatting>
  <conditionalFormatting sqref="AD46">
    <cfRule type="cellIs" dxfId="1895" priority="41778" stopIfTrue="1" operator="notEqual">
      <formula>"yes"</formula>
    </cfRule>
  </conditionalFormatting>
  <conditionalFormatting sqref="AE46">
    <cfRule type="cellIs" dxfId="1894" priority="41779" stopIfTrue="1" operator="notEqual">
      <formula>"yes"</formula>
    </cfRule>
  </conditionalFormatting>
  <conditionalFormatting sqref="AF46">
    <cfRule type="cellIs" dxfId="1893" priority="41780" stopIfTrue="1" operator="notEqual">
      <formula>10.5</formula>
    </cfRule>
  </conditionalFormatting>
  <conditionalFormatting sqref="AG46">
    <cfRule type="cellIs" dxfId="1892" priority="41781" stopIfTrue="1" operator="notEqual">
      <formula>10.5</formula>
    </cfRule>
  </conditionalFormatting>
  <conditionalFormatting sqref="AH46">
    <cfRule type="cellIs" dxfId="1891" priority="41782" stopIfTrue="1" operator="notEqual">
      <formula>6.9</formula>
    </cfRule>
  </conditionalFormatting>
  <conditionalFormatting sqref="AI46">
    <cfRule type="expression" dxfId="1890" priority="41783" stopIfTrue="1">
      <formula>NOT(ISBLANK($AI$46))</formula>
    </cfRule>
  </conditionalFormatting>
  <conditionalFormatting sqref="AJ46">
    <cfRule type="expression" dxfId="1889" priority="41784" stopIfTrue="1">
      <formula>NOT(ISBLANK($AJ$46))</formula>
    </cfRule>
  </conditionalFormatting>
  <conditionalFormatting sqref="AK46">
    <cfRule type="expression" dxfId="1888" priority="41785" stopIfTrue="1">
      <formula>NOT(ISBLANK($AK$46))</formula>
    </cfRule>
  </conditionalFormatting>
  <conditionalFormatting sqref="AL46">
    <cfRule type="expression" dxfId="1887" priority="41786" stopIfTrue="1">
      <formula>NOT(ISBLANK($AL$46))</formula>
    </cfRule>
  </conditionalFormatting>
  <conditionalFormatting sqref="AM46">
    <cfRule type="expression" dxfId="1886" priority="41787" stopIfTrue="1">
      <formula>NOT(ISBLANK($AM$46))</formula>
    </cfRule>
  </conditionalFormatting>
  <conditionalFormatting sqref="AN46">
    <cfRule type="cellIs" dxfId="1885" priority="41788" stopIfTrue="1" operator="notEqual">
      <formula>24</formula>
    </cfRule>
  </conditionalFormatting>
  <conditionalFormatting sqref="AO46">
    <cfRule type="cellIs" dxfId="1884" priority="41789" stopIfTrue="1" operator="notEqual">
      <formula>36</formula>
    </cfRule>
  </conditionalFormatting>
  <conditionalFormatting sqref="AP46">
    <cfRule type="cellIs" dxfId="1883" priority="41790" stopIfTrue="1" operator="notEqual">
      <formula>"yes"</formula>
    </cfRule>
  </conditionalFormatting>
  <conditionalFormatting sqref="AQ46">
    <cfRule type="cellIs" dxfId="1882" priority="41791" stopIfTrue="1" operator="notEqual">
      <formula>"recycle"</formula>
    </cfRule>
  </conditionalFormatting>
  <conditionalFormatting sqref="AR46">
    <cfRule type="cellIs" dxfId="1881" priority="41792" stopIfTrue="1" operator="notEqual">
      <formula>"holding tank"</formula>
    </cfRule>
  </conditionalFormatting>
  <conditionalFormatting sqref="AS46">
    <cfRule type="cellIs" dxfId="1880" priority="41793" stopIfTrue="1" operator="notEqual">
      <formula>"none"</formula>
    </cfRule>
  </conditionalFormatting>
  <conditionalFormatting sqref="AT46">
    <cfRule type="cellIs" dxfId="1879" priority="41794" stopIfTrue="1" operator="notEqual">
      <formula>"non-hazardous"</formula>
    </cfRule>
  </conditionalFormatting>
  <conditionalFormatting sqref="AU46">
    <cfRule type="expression" dxfId="1878" priority="41795" stopIfTrue="1">
      <formula>NOT(ISBLANK($AU$46))</formula>
    </cfRule>
  </conditionalFormatting>
  <conditionalFormatting sqref="AV46">
    <cfRule type="expression" dxfId="1877" priority="41796" stopIfTrue="1">
      <formula>NOT(ISBLANK($AV$46))</formula>
    </cfRule>
  </conditionalFormatting>
  <conditionalFormatting sqref="AW46">
    <cfRule type="expression" dxfId="1876" priority="41797" stopIfTrue="1">
      <formula>NOT(ISBLANK($AW$46))</formula>
    </cfRule>
  </conditionalFormatting>
  <conditionalFormatting sqref="AX46">
    <cfRule type="expression" dxfId="1875" priority="41798" stopIfTrue="1">
      <formula>NOT(ISBLANK($AX$46))</formula>
    </cfRule>
  </conditionalFormatting>
  <conditionalFormatting sqref="AY46">
    <cfRule type="expression" dxfId="1874" priority="41799" stopIfTrue="1">
      <formula>NOT(ISBLANK($AY$46))</formula>
    </cfRule>
  </conditionalFormatting>
  <conditionalFormatting sqref="AZ46">
    <cfRule type="cellIs" dxfId="1873" priority="41800" stopIfTrue="1" operator="notEqual">
      <formula>"fully automated"</formula>
    </cfRule>
  </conditionalFormatting>
  <conditionalFormatting sqref="BA46">
    <cfRule type="expression" dxfId="1872" priority="41801" stopIfTrue="1">
      <formula>NOT(ISBLANK($BA$46))</formula>
    </cfRule>
  </conditionalFormatting>
  <conditionalFormatting sqref="BB46">
    <cfRule type="expression" dxfId="1871" priority="41802" stopIfTrue="1">
      <formula>NOT(ISBLANK($BB$46))</formula>
    </cfRule>
  </conditionalFormatting>
  <conditionalFormatting sqref="BC46">
    <cfRule type="expression" dxfId="1870" priority="41803" stopIfTrue="1">
      <formula>NOT(ISBLANK($BC$46))</formula>
    </cfRule>
  </conditionalFormatting>
  <conditionalFormatting sqref="A47">
    <cfRule type="cellIs" dxfId="1869" priority="41804" stopIfTrue="1" operator="notEqual">
      <formula>2</formula>
    </cfRule>
  </conditionalFormatting>
  <conditionalFormatting sqref="B47">
    <cfRule type="cellIs" dxfId="1868" priority="41805" stopIfTrue="1" operator="notEqual">
      <formula>2</formula>
    </cfRule>
  </conditionalFormatting>
  <conditionalFormatting sqref="C47">
    <cfRule type="cellIs" dxfId="1867" priority="41806" stopIfTrue="1" operator="notEqual">
      <formula>7</formula>
    </cfRule>
  </conditionalFormatting>
  <conditionalFormatting sqref="D47">
    <cfRule type="cellIs" dxfId="1866" priority="41807" stopIfTrue="1" operator="notEqual">
      <formula>22.614</formula>
    </cfRule>
  </conditionalFormatting>
  <conditionalFormatting sqref="E47">
    <cfRule type="cellIs" dxfId="1865" priority="41808" stopIfTrue="1" operator="notEqual">
      <formula>"MGD"</formula>
    </cfRule>
  </conditionalFormatting>
  <conditionalFormatting sqref="F47">
    <cfRule type="cellIs" dxfId="1864" priority="41809" stopIfTrue="1" operator="notEqual">
      <formula>11.066</formula>
    </cfRule>
  </conditionalFormatting>
  <conditionalFormatting sqref="G47">
    <cfRule type="cellIs" dxfId="1863" priority="41810" stopIfTrue="1" operator="notEqual">
      <formula>"MGD"</formula>
    </cfRule>
  </conditionalFormatting>
  <conditionalFormatting sqref="H47">
    <cfRule type="cellIs" dxfId="1862" priority="41811" stopIfTrue="1" operator="notEqual">
      <formula>"acetic acid"</formula>
    </cfRule>
  </conditionalFormatting>
  <conditionalFormatting sqref="I47">
    <cfRule type="cellIs" dxfId="1861" priority="41812" stopIfTrue="1" operator="notEqual">
      <formula>37.4</formula>
    </cfRule>
  </conditionalFormatting>
  <conditionalFormatting sqref="J47">
    <cfRule type="cellIs" dxfId="1860" priority="41813" stopIfTrue="1" operator="notEqual">
      <formula>15.3</formula>
    </cfRule>
  </conditionalFormatting>
  <conditionalFormatting sqref="K47">
    <cfRule type="cellIs" dxfId="1859" priority="41814" stopIfTrue="1" operator="notEqual">
      <formula>0</formula>
    </cfRule>
  </conditionalFormatting>
  <conditionalFormatting sqref="L47">
    <cfRule type="cellIs" dxfId="1858" priority="41815" stopIfTrue="1" operator="notEqual">
      <formula>12</formula>
    </cfRule>
  </conditionalFormatting>
  <conditionalFormatting sqref="M47">
    <cfRule type="cellIs" dxfId="1857" priority="41816" stopIfTrue="1" operator="notEqual">
      <formula>20.3</formula>
    </cfRule>
  </conditionalFormatting>
  <conditionalFormatting sqref="N47">
    <cfRule type="cellIs" dxfId="1856" priority="41817" stopIfTrue="1" operator="notEqual">
      <formula>"additional phosphorous required"</formula>
    </cfRule>
  </conditionalFormatting>
  <conditionalFormatting sqref="O47">
    <cfRule type="expression" dxfId="1855" priority="41818" stopIfTrue="1">
      <formula>NOT(ISBLANK($O$47))</formula>
    </cfRule>
  </conditionalFormatting>
  <conditionalFormatting sqref="P47">
    <cfRule type="cellIs" dxfId="1854" priority="41819" stopIfTrue="1" operator="notEqual">
      <formula>2</formula>
    </cfRule>
  </conditionalFormatting>
  <conditionalFormatting sqref="Q47">
    <cfRule type="cellIs" dxfId="1853" priority="41820" stopIfTrue="1" operator="notEqual">
      <formula>10</formula>
    </cfRule>
  </conditionalFormatting>
  <conditionalFormatting sqref="R47">
    <cfRule type="expression" dxfId="1852" priority="41821" stopIfTrue="1">
      <formula>NOT(ISBLANK($R$47))</formula>
    </cfRule>
  </conditionalFormatting>
  <conditionalFormatting sqref="S47">
    <cfRule type="expression" dxfId="1851" priority="41822" stopIfTrue="1">
      <formula>NOT(ISBLANK($S$47))</formula>
    </cfRule>
  </conditionalFormatting>
  <conditionalFormatting sqref="T47">
    <cfRule type="expression" dxfId="1850" priority="41823" stopIfTrue="1">
      <formula>NOT(ISBLANK($T$47))</formula>
    </cfRule>
  </conditionalFormatting>
  <conditionalFormatting sqref="U47">
    <cfRule type="expression" dxfId="1849" priority="41824" stopIfTrue="1">
      <formula>NOT(ISBLANK($U$47))</formula>
    </cfRule>
  </conditionalFormatting>
  <conditionalFormatting sqref="V47">
    <cfRule type="expression" dxfId="1848" priority="41825" stopIfTrue="1">
      <formula>NOT(ISBLANK($V$47))</formula>
    </cfRule>
  </conditionalFormatting>
  <conditionalFormatting sqref="W47">
    <cfRule type="cellIs" dxfId="1847" priority="41826" stopIfTrue="1" operator="notEqual">
      <formula>"yes"</formula>
    </cfRule>
  </conditionalFormatting>
  <conditionalFormatting sqref="X47">
    <cfRule type="expression" dxfId="1846" priority="41827" stopIfTrue="1">
      <formula>NOT(ISBLANK($X$47))</formula>
    </cfRule>
  </conditionalFormatting>
  <conditionalFormatting sqref="Y47">
    <cfRule type="expression" dxfId="1845" priority="41828" stopIfTrue="1">
      <formula>NOT(ISBLANK($Y$47))</formula>
    </cfRule>
  </conditionalFormatting>
  <conditionalFormatting sqref="Z47">
    <cfRule type="expression" dxfId="1844" priority="41829" stopIfTrue="1">
      <formula>NOT(ISBLANK($Z$47))</formula>
    </cfRule>
  </conditionalFormatting>
  <conditionalFormatting sqref="AA47">
    <cfRule type="cellIs" dxfId="1843" priority="41830" stopIfTrue="1" operator="notEqual">
      <formula>"aeration"</formula>
    </cfRule>
  </conditionalFormatting>
  <conditionalFormatting sqref="AB47">
    <cfRule type="cellIs" dxfId="1842" priority="41831" stopIfTrue="1" operator="notEqual">
      <formula>"yes"</formula>
    </cfRule>
  </conditionalFormatting>
  <conditionalFormatting sqref="AC47">
    <cfRule type="cellIs" dxfId="1841" priority="41832" stopIfTrue="1" operator="notEqual">
      <formula>"gravity basin"</formula>
    </cfRule>
  </conditionalFormatting>
  <conditionalFormatting sqref="AD47">
    <cfRule type="cellIs" dxfId="1840" priority="41833" stopIfTrue="1" operator="notEqual">
      <formula>"yes"</formula>
    </cfRule>
  </conditionalFormatting>
  <conditionalFormatting sqref="AE47">
    <cfRule type="cellIs" dxfId="1839" priority="41834" stopIfTrue="1" operator="notEqual">
      <formula>"yes"</formula>
    </cfRule>
  </conditionalFormatting>
  <conditionalFormatting sqref="AF47">
    <cfRule type="cellIs" dxfId="1838" priority="41835" stopIfTrue="1" operator="notEqual">
      <formula>18.5</formula>
    </cfRule>
  </conditionalFormatting>
  <conditionalFormatting sqref="AG47">
    <cfRule type="cellIs" dxfId="1837" priority="41836" stopIfTrue="1" operator="notEqual">
      <formula>18.5</formula>
    </cfRule>
  </conditionalFormatting>
  <conditionalFormatting sqref="AH47">
    <cfRule type="cellIs" dxfId="1836" priority="41837" stopIfTrue="1" operator="notEqual">
      <formula>8.8</formula>
    </cfRule>
  </conditionalFormatting>
  <conditionalFormatting sqref="AI47">
    <cfRule type="expression" dxfId="1835" priority="41838" stopIfTrue="1">
      <formula>NOT(ISBLANK($AI$47))</formula>
    </cfRule>
  </conditionalFormatting>
  <conditionalFormatting sqref="AJ47">
    <cfRule type="expression" dxfId="1834" priority="41839" stopIfTrue="1">
      <formula>NOT(ISBLANK($AJ$47))</formula>
    </cfRule>
  </conditionalFormatting>
  <conditionalFormatting sqref="AK47">
    <cfRule type="expression" dxfId="1833" priority="41840" stopIfTrue="1">
      <formula>NOT(ISBLANK($AK$47))</formula>
    </cfRule>
  </conditionalFormatting>
  <conditionalFormatting sqref="AL47">
    <cfRule type="expression" dxfId="1832" priority="41841" stopIfTrue="1">
      <formula>NOT(ISBLANK($AL$47))</formula>
    </cfRule>
  </conditionalFormatting>
  <conditionalFormatting sqref="AM47">
    <cfRule type="expression" dxfId="1831" priority="41842" stopIfTrue="1">
      <formula>NOT(ISBLANK($AM$47))</formula>
    </cfRule>
  </conditionalFormatting>
  <conditionalFormatting sqref="AN47">
    <cfRule type="cellIs" dxfId="1830" priority="41843" stopIfTrue="1" operator="notEqual">
      <formula>24</formula>
    </cfRule>
  </conditionalFormatting>
  <conditionalFormatting sqref="AO47">
    <cfRule type="cellIs" dxfId="1829" priority="41844" stopIfTrue="1" operator="notEqual">
      <formula>36</formula>
    </cfRule>
  </conditionalFormatting>
  <conditionalFormatting sqref="AP47">
    <cfRule type="cellIs" dxfId="1828" priority="41845" stopIfTrue="1" operator="notEqual">
      <formula>"yes"</formula>
    </cfRule>
  </conditionalFormatting>
  <conditionalFormatting sqref="AQ47">
    <cfRule type="cellIs" dxfId="1827" priority="41846" stopIfTrue="1" operator="notEqual">
      <formula>"recycle"</formula>
    </cfRule>
  </conditionalFormatting>
  <conditionalFormatting sqref="AR47">
    <cfRule type="cellIs" dxfId="1826" priority="41847" stopIfTrue="1" operator="notEqual">
      <formula>"holding tank"</formula>
    </cfRule>
  </conditionalFormatting>
  <conditionalFormatting sqref="AS47">
    <cfRule type="cellIs" dxfId="1825" priority="41848" stopIfTrue="1" operator="notEqual">
      <formula>"none"</formula>
    </cfRule>
  </conditionalFormatting>
  <conditionalFormatting sqref="AT47">
    <cfRule type="cellIs" dxfId="1824" priority="41849" stopIfTrue="1" operator="notEqual">
      <formula>"non-hazardous"</formula>
    </cfRule>
  </conditionalFormatting>
  <conditionalFormatting sqref="AU47">
    <cfRule type="expression" dxfId="1823" priority="41850" stopIfTrue="1">
      <formula>NOT(ISBLANK($AU$47))</formula>
    </cfRule>
  </conditionalFormatting>
  <conditionalFormatting sqref="AV47">
    <cfRule type="expression" dxfId="1822" priority="41851" stopIfTrue="1">
      <formula>NOT(ISBLANK($AV$47))</formula>
    </cfRule>
  </conditionalFormatting>
  <conditionalFormatting sqref="AW47">
    <cfRule type="expression" dxfId="1821" priority="41852" stopIfTrue="1">
      <formula>NOT(ISBLANK($AW$47))</formula>
    </cfRule>
  </conditionalFormatting>
  <conditionalFormatting sqref="AX47">
    <cfRule type="expression" dxfId="1820" priority="41853" stopIfTrue="1">
      <formula>NOT(ISBLANK($AX$47))</formula>
    </cfRule>
  </conditionalFormatting>
  <conditionalFormatting sqref="AY47">
    <cfRule type="expression" dxfId="1819" priority="41854" stopIfTrue="1">
      <formula>NOT(ISBLANK($AY$47))</formula>
    </cfRule>
  </conditionalFormatting>
  <conditionalFormatting sqref="AZ47">
    <cfRule type="cellIs" dxfId="1818" priority="41855" stopIfTrue="1" operator="notEqual">
      <formula>"fully automated"</formula>
    </cfRule>
  </conditionalFormatting>
  <conditionalFormatting sqref="BA47">
    <cfRule type="expression" dxfId="1817" priority="41856" stopIfTrue="1">
      <formula>NOT(ISBLANK($BA$47))</formula>
    </cfRule>
  </conditionalFormatting>
  <conditionalFormatting sqref="BB47">
    <cfRule type="expression" dxfId="1816" priority="41857" stopIfTrue="1">
      <formula>NOT(ISBLANK($BB$47))</formula>
    </cfRule>
  </conditionalFormatting>
  <conditionalFormatting sqref="BC47">
    <cfRule type="expression" dxfId="1815" priority="41858" stopIfTrue="1">
      <formula>NOT(ISBLANK($BC$47))</formula>
    </cfRule>
  </conditionalFormatting>
  <conditionalFormatting sqref="A48">
    <cfRule type="cellIs" dxfId="1814" priority="41859" stopIfTrue="1" operator="notEqual">
      <formula>2</formula>
    </cfRule>
  </conditionalFormatting>
  <conditionalFormatting sqref="B48">
    <cfRule type="cellIs" dxfId="1813" priority="41860" stopIfTrue="1" operator="notEqual">
      <formula>2</formula>
    </cfRule>
  </conditionalFormatting>
  <conditionalFormatting sqref="C48">
    <cfRule type="cellIs" dxfId="1812" priority="41861" stopIfTrue="1" operator="notEqual">
      <formula>8</formula>
    </cfRule>
  </conditionalFormatting>
  <conditionalFormatting sqref="D48">
    <cfRule type="cellIs" dxfId="1811" priority="41862" stopIfTrue="1" operator="notEqual">
      <formula>75.072</formula>
    </cfRule>
  </conditionalFormatting>
  <conditionalFormatting sqref="E48">
    <cfRule type="cellIs" dxfId="1810" priority="41863" stopIfTrue="1" operator="notEqual">
      <formula>"MGD"</formula>
    </cfRule>
  </conditionalFormatting>
  <conditionalFormatting sqref="F48">
    <cfRule type="cellIs" dxfId="1809" priority="41864" stopIfTrue="1" operator="notEqual">
      <formula>37.536</formula>
    </cfRule>
  </conditionalFormatting>
  <conditionalFormatting sqref="G48">
    <cfRule type="cellIs" dxfId="1808" priority="41865" stopIfTrue="1" operator="notEqual">
      <formula>"MGD"</formula>
    </cfRule>
  </conditionalFormatting>
  <conditionalFormatting sqref="H48">
    <cfRule type="cellIs" dxfId="1807" priority="41866" stopIfTrue="1" operator="notEqual">
      <formula>"acetic acid"</formula>
    </cfRule>
  </conditionalFormatting>
  <conditionalFormatting sqref="I48">
    <cfRule type="cellIs" dxfId="1806" priority="41867" stopIfTrue="1" operator="notEqual">
      <formula>37.4</formula>
    </cfRule>
  </conditionalFormatting>
  <conditionalFormatting sqref="J48">
    <cfRule type="cellIs" dxfId="1805" priority="41868" stopIfTrue="1" operator="notEqual">
      <formula>15.3</formula>
    </cfRule>
  </conditionalFormatting>
  <conditionalFormatting sqref="K48">
    <cfRule type="cellIs" dxfId="1804" priority="41869" stopIfTrue="1" operator="notEqual">
      <formula>0</formula>
    </cfRule>
  </conditionalFormatting>
  <conditionalFormatting sqref="L48">
    <cfRule type="cellIs" dxfId="1803" priority="41870" stopIfTrue="1" operator="notEqual">
      <formula>12</formula>
    </cfRule>
  </conditionalFormatting>
  <conditionalFormatting sqref="M48">
    <cfRule type="cellIs" dxfId="1802" priority="41871" stopIfTrue="1" operator="notEqual">
      <formula>20.3</formula>
    </cfRule>
  </conditionalFormatting>
  <conditionalFormatting sqref="N48">
    <cfRule type="cellIs" dxfId="1801" priority="41872" stopIfTrue="1" operator="notEqual">
      <formula>"additional phosphorous required"</formula>
    </cfRule>
  </conditionalFormatting>
  <conditionalFormatting sqref="O48">
    <cfRule type="expression" dxfId="1800" priority="41873" stopIfTrue="1">
      <formula>NOT(ISBLANK($O$48))</formula>
    </cfRule>
  </conditionalFormatting>
  <conditionalFormatting sqref="P48">
    <cfRule type="cellIs" dxfId="1799" priority="41874" stopIfTrue="1" operator="notEqual">
      <formula>2</formula>
    </cfRule>
  </conditionalFormatting>
  <conditionalFormatting sqref="Q48">
    <cfRule type="cellIs" dxfId="1798" priority="41875" stopIfTrue="1" operator="notEqual">
      <formula>10</formula>
    </cfRule>
  </conditionalFormatting>
  <conditionalFormatting sqref="R48">
    <cfRule type="expression" dxfId="1797" priority="41876" stopIfTrue="1">
      <formula>NOT(ISBLANK($R$48))</formula>
    </cfRule>
  </conditionalFormatting>
  <conditionalFormatting sqref="S48">
    <cfRule type="expression" dxfId="1796" priority="41877" stopIfTrue="1">
      <formula>NOT(ISBLANK($S$48))</formula>
    </cfRule>
  </conditionalFormatting>
  <conditionalFormatting sqref="T48">
    <cfRule type="expression" dxfId="1795" priority="41878" stopIfTrue="1">
      <formula>NOT(ISBLANK($T$48))</formula>
    </cfRule>
  </conditionalFormatting>
  <conditionalFormatting sqref="U48">
    <cfRule type="expression" dxfId="1794" priority="41879" stopIfTrue="1">
      <formula>NOT(ISBLANK($U$48))</formula>
    </cfRule>
  </conditionalFormatting>
  <conditionalFormatting sqref="V48">
    <cfRule type="expression" dxfId="1793" priority="41880" stopIfTrue="1">
      <formula>NOT(ISBLANK($V$48))</formula>
    </cfRule>
  </conditionalFormatting>
  <conditionalFormatting sqref="W48">
    <cfRule type="cellIs" dxfId="1792" priority="41881" stopIfTrue="1" operator="notEqual">
      <formula>"yes"</formula>
    </cfRule>
  </conditionalFormatting>
  <conditionalFormatting sqref="X48">
    <cfRule type="expression" dxfId="1791" priority="41882" stopIfTrue="1">
      <formula>NOT(ISBLANK($X$48))</formula>
    </cfRule>
  </conditionalFormatting>
  <conditionalFormatting sqref="Y48">
    <cfRule type="expression" dxfId="1790" priority="41883" stopIfTrue="1">
      <formula>NOT(ISBLANK($Y$48))</formula>
    </cfRule>
  </conditionalFormatting>
  <conditionalFormatting sqref="Z48">
    <cfRule type="expression" dxfId="1789" priority="41884" stopIfTrue="1">
      <formula>NOT(ISBLANK($Z$48))</formula>
    </cfRule>
  </conditionalFormatting>
  <conditionalFormatting sqref="AA48">
    <cfRule type="cellIs" dxfId="1788" priority="41885" stopIfTrue="1" operator="notEqual">
      <formula>"aeration"</formula>
    </cfRule>
  </conditionalFormatting>
  <conditionalFormatting sqref="AB48">
    <cfRule type="cellIs" dxfId="1787" priority="41886" stopIfTrue="1" operator="notEqual">
      <formula>"yes"</formula>
    </cfRule>
  </conditionalFormatting>
  <conditionalFormatting sqref="AC48">
    <cfRule type="cellIs" dxfId="1786" priority="41887" stopIfTrue="1" operator="notEqual">
      <formula>"gravity basin"</formula>
    </cfRule>
  </conditionalFormatting>
  <conditionalFormatting sqref="AD48">
    <cfRule type="cellIs" dxfId="1785" priority="41888" stopIfTrue="1" operator="notEqual">
      <formula>"yes"</formula>
    </cfRule>
  </conditionalFormatting>
  <conditionalFormatting sqref="AE48">
    <cfRule type="cellIs" dxfId="1784" priority="41889" stopIfTrue="1" operator="notEqual">
      <formula>"yes"</formula>
    </cfRule>
  </conditionalFormatting>
  <conditionalFormatting sqref="AF48">
    <cfRule type="cellIs" dxfId="1783" priority="41890" stopIfTrue="1" operator="notEqual">
      <formula>30</formula>
    </cfRule>
  </conditionalFormatting>
  <conditionalFormatting sqref="AG48">
    <cfRule type="cellIs" dxfId="1782" priority="41891" stopIfTrue="1" operator="notEqual">
      <formula>30</formula>
    </cfRule>
  </conditionalFormatting>
  <conditionalFormatting sqref="AH48">
    <cfRule type="cellIs" dxfId="1781" priority="41892" stopIfTrue="1" operator="notEqual">
      <formula>9.7</formula>
    </cfRule>
  </conditionalFormatting>
  <conditionalFormatting sqref="AI48">
    <cfRule type="expression" dxfId="1780" priority="41893" stopIfTrue="1">
      <formula>NOT(ISBLANK($AI$48))</formula>
    </cfRule>
  </conditionalFormatting>
  <conditionalFormatting sqref="AJ48">
    <cfRule type="expression" dxfId="1779" priority="41894" stopIfTrue="1">
      <formula>NOT(ISBLANK($AJ$48))</formula>
    </cfRule>
  </conditionalFormatting>
  <conditionalFormatting sqref="AK48">
    <cfRule type="expression" dxfId="1778" priority="41895" stopIfTrue="1">
      <formula>NOT(ISBLANK($AK$48))</formula>
    </cfRule>
  </conditionalFormatting>
  <conditionalFormatting sqref="AL48">
    <cfRule type="expression" dxfId="1777" priority="41896" stopIfTrue="1">
      <formula>NOT(ISBLANK($AL$48))</formula>
    </cfRule>
  </conditionalFormatting>
  <conditionalFormatting sqref="AM48">
    <cfRule type="expression" dxfId="1776" priority="41897" stopIfTrue="1">
      <formula>NOT(ISBLANK($AM$48))</formula>
    </cfRule>
  </conditionalFormatting>
  <conditionalFormatting sqref="AN48">
    <cfRule type="cellIs" dxfId="1775" priority="41898" stopIfTrue="1" operator="notEqual">
      <formula>24</formula>
    </cfRule>
  </conditionalFormatting>
  <conditionalFormatting sqref="AO48">
    <cfRule type="cellIs" dxfId="1774" priority="41899" stopIfTrue="1" operator="notEqual">
      <formula>36</formula>
    </cfRule>
  </conditionalFormatting>
  <conditionalFormatting sqref="AP48">
    <cfRule type="cellIs" dxfId="1773" priority="41900" stopIfTrue="1" operator="notEqual">
      <formula>"yes"</formula>
    </cfRule>
  </conditionalFormatting>
  <conditionalFormatting sqref="AQ48">
    <cfRule type="cellIs" dxfId="1772" priority="41901" stopIfTrue="1" operator="notEqual">
      <formula>"recycle"</formula>
    </cfRule>
  </conditionalFormatting>
  <conditionalFormatting sqref="AR48">
    <cfRule type="cellIs" dxfId="1771" priority="41902" stopIfTrue="1" operator="notEqual">
      <formula>"holding tank"</formula>
    </cfRule>
  </conditionalFormatting>
  <conditionalFormatting sqref="AS48">
    <cfRule type="cellIs" dxfId="1770" priority="41903" stopIfTrue="1" operator="notEqual">
      <formula>"none"</formula>
    </cfRule>
  </conditionalFormatting>
  <conditionalFormatting sqref="AT48">
    <cfRule type="cellIs" dxfId="1769" priority="41904" stopIfTrue="1" operator="notEqual">
      <formula>"non-hazardous"</formula>
    </cfRule>
  </conditionalFormatting>
  <conditionalFormatting sqref="AU48">
    <cfRule type="expression" dxfId="1768" priority="41905" stopIfTrue="1">
      <formula>NOT(ISBLANK($AU$48))</formula>
    </cfRule>
  </conditionalFormatting>
  <conditionalFormatting sqref="AV48">
    <cfRule type="expression" dxfId="1767" priority="41906" stopIfTrue="1">
      <formula>NOT(ISBLANK($AV$48))</formula>
    </cfRule>
  </conditionalFormatting>
  <conditionalFormatting sqref="AW48">
    <cfRule type="expression" dxfId="1766" priority="41907" stopIfTrue="1">
      <formula>NOT(ISBLANK($AW$48))</formula>
    </cfRule>
  </conditionalFormatting>
  <conditionalFormatting sqref="AX48">
    <cfRule type="expression" dxfId="1765" priority="41908" stopIfTrue="1">
      <formula>NOT(ISBLANK($AX$48))</formula>
    </cfRule>
  </conditionalFormatting>
  <conditionalFormatting sqref="AY48">
    <cfRule type="expression" dxfId="1764" priority="41909" stopIfTrue="1">
      <formula>NOT(ISBLANK($AY$48))</formula>
    </cfRule>
  </conditionalFormatting>
  <conditionalFormatting sqref="AZ48">
    <cfRule type="cellIs" dxfId="1763" priority="41910" stopIfTrue="1" operator="notEqual">
      <formula>"fully automated"</formula>
    </cfRule>
  </conditionalFormatting>
  <conditionalFormatting sqref="BA48">
    <cfRule type="expression" dxfId="1762" priority="41911" stopIfTrue="1">
      <formula>NOT(ISBLANK($BA$48))</formula>
    </cfRule>
  </conditionalFormatting>
  <conditionalFormatting sqref="BB48">
    <cfRule type="expression" dxfId="1761" priority="41912" stopIfTrue="1">
      <formula>NOT(ISBLANK($BB$48))</formula>
    </cfRule>
  </conditionalFormatting>
  <conditionalFormatting sqref="BC48">
    <cfRule type="expression" dxfId="1760" priority="41913" stopIfTrue="1">
      <formula>NOT(ISBLANK($BC$48))</formula>
    </cfRule>
  </conditionalFormatting>
  <conditionalFormatting sqref="A49">
    <cfRule type="cellIs" dxfId="1759" priority="41914" stopIfTrue="1" operator="notEqual">
      <formula>2</formula>
    </cfRule>
  </conditionalFormatting>
  <conditionalFormatting sqref="B49">
    <cfRule type="cellIs" dxfId="1758" priority="41915" stopIfTrue="1" operator="notEqual">
      <formula>3</formula>
    </cfRule>
  </conditionalFormatting>
  <conditionalFormatting sqref="C49">
    <cfRule type="cellIs" dxfId="1757" priority="41916" stopIfTrue="1" operator="notEqual">
      <formula>1</formula>
    </cfRule>
  </conditionalFormatting>
  <conditionalFormatting sqref="D49">
    <cfRule type="cellIs" dxfId="1756" priority="41917" stopIfTrue="1" operator="notEqual">
      <formula>0.03</formula>
    </cfRule>
  </conditionalFormatting>
  <conditionalFormatting sqref="E49">
    <cfRule type="cellIs" dxfId="1755" priority="41918" stopIfTrue="1" operator="notEqual">
      <formula>"MGD"</formula>
    </cfRule>
  </conditionalFormatting>
  <conditionalFormatting sqref="F49">
    <cfRule type="cellIs" dxfId="1754" priority="41919" stopIfTrue="1" operator="notEqual">
      <formula>0.007</formula>
    </cfRule>
  </conditionalFormatting>
  <conditionalFormatting sqref="G49">
    <cfRule type="cellIs" dxfId="1753" priority="41920" stopIfTrue="1" operator="notEqual">
      <formula>"MGD"</formula>
    </cfRule>
  </conditionalFormatting>
  <conditionalFormatting sqref="H49">
    <cfRule type="cellIs" dxfId="1752" priority="41921" stopIfTrue="1" operator="notEqual">
      <formula>"acetic acid"</formula>
    </cfRule>
  </conditionalFormatting>
  <conditionalFormatting sqref="I49">
    <cfRule type="cellIs" dxfId="1751" priority="41922" stopIfTrue="1" operator="notEqual">
      <formula>37.4</formula>
    </cfRule>
  </conditionalFormatting>
  <conditionalFormatting sqref="J49">
    <cfRule type="cellIs" dxfId="1750" priority="41923" stopIfTrue="1" operator="notEqual">
      <formula>15.3</formula>
    </cfRule>
  </conditionalFormatting>
  <conditionalFormatting sqref="K49">
    <cfRule type="cellIs" dxfId="1749" priority="41924" stopIfTrue="1" operator="notEqual">
      <formula>0</formula>
    </cfRule>
  </conditionalFormatting>
  <conditionalFormatting sqref="L49">
    <cfRule type="cellIs" dxfId="1748" priority="41925" stopIfTrue="1" operator="notEqual">
      <formula>12</formula>
    </cfRule>
  </conditionalFormatting>
  <conditionalFormatting sqref="M49">
    <cfRule type="cellIs" dxfId="1747" priority="41926" stopIfTrue="1" operator="notEqual">
      <formula>20.3</formula>
    </cfRule>
  </conditionalFormatting>
  <conditionalFormatting sqref="N49">
    <cfRule type="cellIs" dxfId="1746" priority="41927" stopIfTrue="1" operator="notEqual">
      <formula>"additional phosphorous required"</formula>
    </cfRule>
  </conditionalFormatting>
  <conditionalFormatting sqref="O49">
    <cfRule type="expression" dxfId="1745" priority="41928" stopIfTrue="1">
      <formula>NOT(ISBLANK($O$49))</formula>
    </cfRule>
  </conditionalFormatting>
  <conditionalFormatting sqref="P49">
    <cfRule type="cellIs" dxfId="1744" priority="41929" stopIfTrue="1" operator="notEqual">
      <formula>2</formula>
    </cfRule>
  </conditionalFormatting>
  <conditionalFormatting sqref="Q49">
    <cfRule type="cellIs" dxfId="1743" priority="41930" stopIfTrue="1" operator="notEqual">
      <formula>10</formula>
    </cfRule>
  </conditionalFormatting>
  <conditionalFormatting sqref="R49">
    <cfRule type="cellIs" dxfId="1742" priority="41931" stopIfTrue="1" operator="notEqual">
      <formula>"yes"</formula>
    </cfRule>
  </conditionalFormatting>
  <conditionalFormatting sqref="S49">
    <cfRule type="expression" dxfId="1741" priority="41932" stopIfTrue="1">
      <formula>NOT(ISBLANK($S$49))</formula>
    </cfRule>
  </conditionalFormatting>
  <conditionalFormatting sqref="T49">
    <cfRule type="expression" dxfId="1740" priority="41933" stopIfTrue="1">
      <formula>NOT(ISBLANK($T$49))</formula>
    </cfRule>
  </conditionalFormatting>
  <conditionalFormatting sqref="U49">
    <cfRule type="expression" dxfId="1739" priority="41934" stopIfTrue="1">
      <formula>NOT(ISBLANK($U$49))</formula>
    </cfRule>
  </conditionalFormatting>
  <conditionalFormatting sqref="V49">
    <cfRule type="expression" dxfId="1738" priority="41935" stopIfTrue="1">
      <formula>NOT(ISBLANK($V$49))</formula>
    </cfRule>
  </conditionalFormatting>
  <conditionalFormatting sqref="W49">
    <cfRule type="expression" dxfId="1737" priority="41936" stopIfTrue="1">
      <formula>NOT(ISBLANK($W$49))</formula>
    </cfRule>
  </conditionalFormatting>
  <conditionalFormatting sqref="X49">
    <cfRule type="expression" dxfId="1736" priority="41937" stopIfTrue="1">
      <formula>NOT(ISBLANK($X$49))</formula>
    </cfRule>
  </conditionalFormatting>
  <conditionalFormatting sqref="Y49">
    <cfRule type="expression" dxfId="1735" priority="41938" stopIfTrue="1">
      <formula>NOT(ISBLANK($Y$49))</formula>
    </cfRule>
  </conditionalFormatting>
  <conditionalFormatting sqref="Z49">
    <cfRule type="expression" dxfId="1734" priority="41939" stopIfTrue="1">
      <formula>NOT(ISBLANK($Z$49))</formula>
    </cfRule>
  </conditionalFormatting>
  <conditionalFormatting sqref="AA49">
    <cfRule type="cellIs" dxfId="1733" priority="41940" stopIfTrue="1" operator="notEqual">
      <formula>"aeration"</formula>
    </cfRule>
  </conditionalFormatting>
  <conditionalFormatting sqref="AB49">
    <cfRule type="cellIs" dxfId="1732" priority="41941" stopIfTrue="1" operator="notEqual">
      <formula>"yes"</formula>
    </cfRule>
  </conditionalFormatting>
  <conditionalFormatting sqref="AC49">
    <cfRule type="cellIs" dxfId="1731" priority="41942" stopIfTrue="1" operator="notEqual">
      <formula>"pressure vessel"</formula>
    </cfRule>
  </conditionalFormatting>
  <conditionalFormatting sqref="AD49">
    <cfRule type="cellIs" dxfId="1730" priority="41943" stopIfTrue="1" operator="notEqual">
      <formula>"yes"</formula>
    </cfRule>
  </conditionalFormatting>
  <conditionalFormatting sqref="AE49">
    <cfRule type="expression" dxfId="1729" priority="41944" stopIfTrue="1">
      <formula>NOT(ISBLANK($AE$49))</formula>
    </cfRule>
  </conditionalFormatting>
  <conditionalFormatting sqref="AF49">
    <cfRule type="expression" dxfId="1728" priority="41945" stopIfTrue="1">
      <formula>NOT(ISBLANK($AF$49))</formula>
    </cfRule>
  </conditionalFormatting>
  <conditionalFormatting sqref="AG49">
    <cfRule type="expression" dxfId="1727" priority="41946" stopIfTrue="1">
      <formula>NOT(ISBLANK($AG$49))</formula>
    </cfRule>
  </conditionalFormatting>
  <conditionalFormatting sqref="AH49">
    <cfRule type="expression" dxfId="1726" priority="41947" stopIfTrue="1">
      <formula>NOT(ISBLANK($AH$49))</formula>
    </cfRule>
  </conditionalFormatting>
  <conditionalFormatting sqref="AI49">
    <cfRule type="cellIs" dxfId="1725" priority="41948" stopIfTrue="1" operator="notEqual">
      <formula>"yes"</formula>
    </cfRule>
  </conditionalFormatting>
  <conditionalFormatting sqref="AJ49">
    <cfRule type="cellIs" dxfId="1724" priority="41949" stopIfTrue="1" operator="notEqual">
      <formula>3</formula>
    </cfRule>
  </conditionalFormatting>
  <conditionalFormatting sqref="AK49">
    <cfRule type="cellIs" dxfId="1723" priority="41950" stopIfTrue="1" operator="notEqual">
      <formula>"upright"</formula>
    </cfRule>
  </conditionalFormatting>
  <conditionalFormatting sqref="AL49">
    <cfRule type="cellIs" dxfId="1722" priority="41951" stopIfTrue="1" operator="notEqual">
      <formula>5.5</formula>
    </cfRule>
  </conditionalFormatting>
  <conditionalFormatting sqref="AM49">
    <cfRule type="cellIs" dxfId="1721" priority="41952" stopIfTrue="1" operator="notEqual">
      <formula>2</formula>
    </cfRule>
  </conditionalFormatting>
  <conditionalFormatting sqref="AN49">
    <cfRule type="expression" dxfId="1720" priority="41953" stopIfTrue="1">
      <formula>NOT(ISBLANK($AN$49))</formula>
    </cfRule>
  </conditionalFormatting>
  <conditionalFormatting sqref="AO49">
    <cfRule type="cellIs" dxfId="1719" priority="41954" stopIfTrue="1" operator="notEqual">
      <formula>36</formula>
    </cfRule>
  </conditionalFormatting>
  <conditionalFormatting sqref="AP49">
    <cfRule type="cellIs" dxfId="1718" priority="41955" stopIfTrue="1" operator="notEqual">
      <formula>"yes"</formula>
    </cfRule>
  </conditionalFormatting>
  <conditionalFormatting sqref="AQ49">
    <cfRule type="cellIs" dxfId="1717" priority="41956" stopIfTrue="1" operator="notEqual">
      <formula>"recycle"</formula>
    </cfRule>
  </conditionalFormatting>
  <conditionalFormatting sqref="AR49">
    <cfRule type="cellIs" dxfId="1716" priority="41957" stopIfTrue="1" operator="notEqual">
      <formula>"holding tank"</formula>
    </cfRule>
  </conditionalFormatting>
  <conditionalFormatting sqref="AS49">
    <cfRule type="cellIs" dxfId="1715" priority="41958" stopIfTrue="1" operator="notEqual">
      <formula>"none"</formula>
    </cfRule>
  </conditionalFormatting>
  <conditionalFormatting sqref="AT49">
    <cfRule type="cellIs" dxfId="1714" priority="41959" stopIfTrue="1" operator="notEqual">
      <formula>"non-hazardous"</formula>
    </cfRule>
  </conditionalFormatting>
  <conditionalFormatting sqref="AU49">
    <cfRule type="expression" dxfId="1713" priority="41960" stopIfTrue="1">
      <formula>NOT(ISBLANK($AU$49))</formula>
    </cfRule>
  </conditionalFormatting>
  <conditionalFormatting sqref="AV49">
    <cfRule type="expression" dxfId="1712" priority="41961" stopIfTrue="1">
      <formula>NOT(ISBLANK($AV$49))</formula>
    </cfRule>
  </conditionalFormatting>
  <conditionalFormatting sqref="AW49">
    <cfRule type="expression" dxfId="1711" priority="41962" stopIfTrue="1">
      <formula>NOT(ISBLANK($AW$49))</formula>
    </cfRule>
  </conditionalFormatting>
  <conditionalFormatting sqref="AX49">
    <cfRule type="expression" dxfId="1710" priority="41963" stopIfTrue="1">
      <formula>NOT(ISBLANK($AX$49))</formula>
    </cfRule>
  </conditionalFormatting>
  <conditionalFormatting sqref="AY49">
    <cfRule type="expression" dxfId="1709" priority="41964" stopIfTrue="1">
      <formula>NOT(ISBLANK($AY$49))</formula>
    </cfRule>
  </conditionalFormatting>
  <conditionalFormatting sqref="AZ49">
    <cfRule type="cellIs" dxfId="1708" priority="41965" stopIfTrue="1" operator="notEqual">
      <formula>"fully automated"</formula>
    </cfRule>
  </conditionalFormatting>
  <conditionalFormatting sqref="BA49">
    <cfRule type="expression" dxfId="1707" priority="41966" stopIfTrue="1">
      <formula>NOT(ISBLANK($BA$49))</formula>
    </cfRule>
  </conditionalFormatting>
  <conditionalFormatting sqref="BB49">
    <cfRule type="expression" dxfId="1706" priority="41967" stopIfTrue="1">
      <formula>NOT(ISBLANK($BB$49))</formula>
    </cfRule>
  </conditionalFormatting>
  <conditionalFormatting sqref="BC49">
    <cfRule type="expression" dxfId="1705" priority="41968" stopIfTrue="1">
      <formula>NOT(ISBLANK($BC$49))</formula>
    </cfRule>
  </conditionalFormatting>
  <conditionalFormatting sqref="A50">
    <cfRule type="cellIs" dxfId="1704" priority="41969" stopIfTrue="1" operator="notEqual">
      <formula>2</formula>
    </cfRule>
  </conditionalFormatting>
  <conditionalFormatting sqref="B50">
    <cfRule type="cellIs" dxfId="1703" priority="41970" stopIfTrue="1" operator="notEqual">
      <formula>3</formula>
    </cfRule>
  </conditionalFormatting>
  <conditionalFormatting sqref="C50">
    <cfRule type="cellIs" dxfId="1702" priority="41971" stopIfTrue="1" operator="notEqual">
      <formula>2</formula>
    </cfRule>
  </conditionalFormatting>
  <conditionalFormatting sqref="D50">
    <cfRule type="cellIs" dxfId="1701" priority="41972" stopIfTrue="1" operator="notEqual">
      <formula>0.124</formula>
    </cfRule>
  </conditionalFormatting>
  <conditionalFormatting sqref="E50">
    <cfRule type="cellIs" dxfId="1700" priority="41973" stopIfTrue="1" operator="notEqual">
      <formula>"MGD"</formula>
    </cfRule>
  </conditionalFormatting>
  <conditionalFormatting sqref="F50">
    <cfRule type="cellIs" dxfId="1699" priority="41974" stopIfTrue="1" operator="notEqual">
      <formula>0.035</formula>
    </cfRule>
  </conditionalFormatting>
  <conditionalFormatting sqref="G50">
    <cfRule type="cellIs" dxfId="1698" priority="41975" stopIfTrue="1" operator="notEqual">
      <formula>"MGD"</formula>
    </cfRule>
  </conditionalFormatting>
  <conditionalFormatting sqref="H50">
    <cfRule type="cellIs" dxfId="1697" priority="41976" stopIfTrue="1" operator="notEqual">
      <formula>"acetic acid"</formula>
    </cfRule>
  </conditionalFormatting>
  <conditionalFormatting sqref="I50">
    <cfRule type="cellIs" dxfId="1696" priority="41977" stopIfTrue="1" operator="notEqual">
      <formula>37.4</formula>
    </cfRule>
  </conditionalFormatting>
  <conditionalFormatting sqref="J50">
    <cfRule type="cellIs" dxfId="1695" priority="41978" stopIfTrue="1" operator="notEqual">
      <formula>15.3</formula>
    </cfRule>
  </conditionalFormatting>
  <conditionalFormatting sqref="K50">
    <cfRule type="cellIs" dxfId="1694" priority="41979" stopIfTrue="1" operator="notEqual">
      <formula>0</formula>
    </cfRule>
  </conditionalFormatting>
  <conditionalFormatting sqref="L50">
    <cfRule type="cellIs" dxfId="1693" priority="41980" stopIfTrue="1" operator="notEqual">
      <formula>12</formula>
    </cfRule>
  </conditionalFormatting>
  <conditionalFormatting sqref="M50">
    <cfRule type="cellIs" dxfId="1692" priority="41981" stopIfTrue="1" operator="notEqual">
      <formula>20.3</formula>
    </cfRule>
  </conditionalFormatting>
  <conditionalFormatting sqref="N50">
    <cfRule type="cellIs" dxfId="1691" priority="41982" stopIfTrue="1" operator="notEqual">
      <formula>"additional phosphorous required"</formula>
    </cfRule>
  </conditionalFormatting>
  <conditionalFormatting sqref="O50">
    <cfRule type="expression" dxfId="1690" priority="41983" stopIfTrue="1">
      <formula>NOT(ISBLANK($O$50))</formula>
    </cfRule>
  </conditionalFormatting>
  <conditionalFormatting sqref="P50">
    <cfRule type="cellIs" dxfId="1689" priority="41984" stopIfTrue="1" operator="notEqual">
      <formula>2</formula>
    </cfRule>
  </conditionalFormatting>
  <conditionalFormatting sqref="Q50">
    <cfRule type="cellIs" dxfId="1688" priority="41985" stopIfTrue="1" operator="notEqual">
      <formula>10</formula>
    </cfRule>
  </conditionalFormatting>
  <conditionalFormatting sqref="R50">
    <cfRule type="cellIs" dxfId="1687" priority="41986" stopIfTrue="1" operator="notEqual">
      <formula>"yes"</formula>
    </cfRule>
  </conditionalFormatting>
  <conditionalFormatting sqref="S50">
    <cfRule type="expression" dxfId="1686" priority="41987" stopIfTrue="1">
      <formula>NOT(ISBLANK($S$50))</formula>
    </cfRule>
  </conditionalFormatting>
  <conditionalFormatting sqref="T50">
    <cfRule type="expression" dxfId="1685" priority="41988" stopIfTrue="1">
      <formula>NOT(ISBLANK($T$50))</formula>
    </cfRule>
  </conditionalFormatting>
  <conditionalFormatting sqref="U50">
    <cfRule type="expression" dxfId="1684" priority="41989" stopIfTrue="1">
      <formula>NOT(ISBLANK($U$50))</formula>
    </cfRule>
  </conditionalFormatting>
  <conditionalFormatting sqref="V50">
    <cfRule type="expression" dxfId="1683" priority="41990" stopIfTrue="1">
      <formula>NOT(ISBLANK($V$50))</formula>
    </cfRule>
  </conditionalFormatting>
  <conditionalFormatting sqref="W50">
    <cfRule type="expression" dxfId="1682" priority="41991" stopIfTrue="1">
      <formula>NOT(ISBLANK($W$50))</formula>
    </cfRule>
  </conditionalFormatting>
  <conditionalFormatting sqref="X50">
    <cfRule type="expression" dxfId="1681" priority="41992" stopIfTrue="1">
      <formula>NOT(ISBLANK($X$50))</formula>
    </cfRule>
  </conditionalFormatting>
  <conditionalFormatting sqref="Y50">
    <cfRule type="expression" dxfId="1680" priority="41993" stopIfTrue="1">
      <formula>NOT(ISBLANK($Y$50))</formula>
    </cfRule>
  </conditionalFormatting>
  <conditionalFormatting sqref="Z50">
    <cfRule type="expression" dxfId="1679" priority="41994" stopIfTrue="1">
      <formula>NOT(ISBLANK($Z$50))</formula>
    </cfRule>
  </conditionalFormatting>
  <conditionalFormatting sqref="AA50">
    <cfRule type="cellIs" dxfId="1678" priority="41995" stopIfTrue="1" operator="notEqual">
      <formula>"aeration"</formula>
    </cfRule>
  </conditionalFormatting>
  <conditionalFormatting sqref="AB50">
    <cfRule type="cellIs" dxfId="1677" priority="41996" stopIfTrue="1" operator="notEqual">
      <formula>"yes"</formula>
    </cfRule>
  </conditionalFormatting>
  <conditionalFormatting sqref="AC50">
    <cfRule type="cellIs" dxfId="1676" priority="41997" stopIfTrue="1" operator="notEqual">
      <formula>"pressure vessel"</formula>
    </cfRule>
  </conditionalFormatting>
  <conditionalFormatting sqref="AD50">
    <cfRule type="cellIs" dxfId="1675" priority="41998" stopIfTrue="1" operator="notEqual">
      <formula>"yes"</formula>
    </cfRule>
  </conditionalFormatting>
  <conditionalFormatting sqref="AE50">
    <cfRule type="expression" dxfId="1674" priority="41999" stopIfTrue="1">
      <formula>NOT(ISBLANK($AE$50))</formula>
    </cfRule>
  </conditionalFormatting>
  <conditionalFormatting sqref="AF50">
    <cfRule type="expression" dxfId="1673" priority="42000" stopIfTrue="1">
      <formula>NOT(ISBLANK($AF$50))</formula>
    </cfRule>
  </conditionalFormatting>
  <conditionalFormatting sqref="AG50">
    <cfRule type="expression" dxfId="1672" priority="42001" stopIfTrue="1">
      <formula>NOT(ISBLANK($AG$50))</formula>
    </cfRule>
  </conditionalFormatting>
  <conditionalFormatting sqref="AH50">
    <cfRule type="expression" dxfId="1671" priority="42002" stopIfTrue="1">
      <formula>NOT(ISBLANK($AH$50))</formula>
    </cfRule>
  </conditionalFormatting>
  <conditionalFormatting sqref="AI50">
    <cfRule type="cellIs" dxfId="1670" priority="42003" stopIfTrue="1" operator="notEqual">
      <formula>"yes"</formula>
    </cfRule>
  </conditionalFormatting>
  <conditionalFormatting sqref="AJ50">
    <cfRule type="cellIs" dxfId="1669" priority="42004" stopIfTrue="1" operator="notEqual">
      <formula>4.6</formula>
    </cfRule>
  </conditionalFormatting>
  <conditionalFormatting sqref="AK50">
    <cfRule type="cellIs" dxfId="1668" priority="42005" stopIfTrue="1" operator="notEqual">
      <formula>"upright"</formula>
    </cfRule>
  </conditionalFormatting>
  <conditionalFormatting sqref="AL50">
    <cfRule type="cellIs" dxfId="1667" priority="42006" stopIfTrue="1" operator="notEqual">
      <formula>8</formula>
    </cfRule>
  </conditionalFormatting>
  <conditionalFormatting sqref="AM50">
    <cfRule type="cellIs" dxfId="1666" priority="42007" stopIfTrue="1" operator="notEqual">
      <formula>4</formula>
    </cfRule>
  </conditionalFormatting>
  <conditionalFormatting sqref="AN50">
    <cfRule type="expression" dxfId="1665" priority="42008" stopIfTrue="1">
      <formula>NOT(ISBLANK($AN$50))</formula>
    </cfRule>
  </conditionalFormatting>
  <conditionalFormatting sqref="AO50">
    <cfRule type="cellIs" dxfId="1664" priority="42009" stopIfTrue="1" operator="notEqual">
      <formula>36</formula>
    </cfRule>
  </conditionalFormatting>
  <conditionalFormatting sqref="AP50">
    <cfRule type="cellIs" dxfId="1663" priority="42010" stopIfTrue="1" operator="notEqual">
      <formula>"yes"</formula>
    </cfRule>
  </conditionalFormatting>
  <conditionalFormatting sqref="AQ50">
    <cfRule type="cellIs" dxfId="1662" priority="42011" stopIfTrue="1" operator="notEqual">
      <formula>"recycle"</formula>
    </cfRule>
  </conditionalFormatting>
  <conditionalFormatting sqref="AR50">
    <cfRule type="cellIs" dxfId="1661" priority="42012" stopIfTrue="1" operator="notEqual">
      <formula>"holding tank"</formula>
    </cfRule>
  </conditionalFormatting>
  <conditionalFormatting sqref="AS50">
    <cfRule type="cellIs" dxfId="1660" priority="42013" stopIfTrue="1" operator="notEqual">
      <formula>"none"</formula>
    </cfRule>
  </conditionalFormatting>
  <conditionalFormatting sqref="AT50">
    <cfRule type="cellIs" dxfId="1659" priority="42014" stopIfTrue="1" operator="notEqual">
      <formula>"non-hazardous"</formula>
    </cfRule>
  </conditionalFormatting>
  <conditionalFormatting sqref="AU50">
    <cfRule type="expression" dxfId="1658" priority="42015" stopIfTrue="1">
      <formula>NOT(ISBLANK($AU$50))</formula>
    </cfRule>
  </conditionalFormatting>
  <conditionalFormatting sqref="AV50">
    <cfRule type="expression" dxfId="1657" priority="42016" stopIfTrue="1">
      <formula>NOT(ISBLANK($AV$50))</formula>
    </cfRule>
  </conditionalFormatting>
  <conditionalFormatting sqref="AW50">
    <cfRule type="expression" dxfId="1656" priority="42017" stopIfTrue="1">
      <formula>NOT(ISBLANK($AW$50))</formula>
    </cfRule>
  </conditionalFormatting>
  <conditionalFormatting sqref="AX50">
    <cfRule type="expression" dxfId="1655" priority="42018" stopIfTrue="1">
      <formula>NOT(ISBLANK($AX$50))</formula>
    </cfRule>
  </conditionalFormatting>
  <conditionalFormatting sqref="AY50">
    <cfRule type="expression" dxfId="1654" priority="42019" stopIfTrue="1">
      <formula>NOT(ISBLANK($AY$50))</formula>
    </cfRule>
  </conditionalFormatting>
  <conditionalFormatting sqref="AZ50">
    <cfRule type="cellIs" dxfId="1653" priority="42020" stopIfTrue="1" operator="notEqual">
      <formula>"fully automated"</formula>
    </cfRule>
  </conditionalFormatting>
  <conditionalFormatting sqref="BA50">
    <cfRule type="expression" dxfId="1652" priority="42021" stopIfTrue="1">
      <formula>NOT(ISBLANK($BA$50))</formula>
    </cfRule>
  </conditionalFormatting>
  <conditionalFormatting sqref="BB50">
    <cfRule type="expression" dxfId="1651" priority="42022" stopIfTrue="1">
      <formula>NOT(ISBLANK($BB$50))</formula>
    </cfRule>
  </conditionalFormatting>
  <conditionalFormatting sqref="BC50">
    <cfRule type="expression" dxfId="1650" priority="42023" stopIfTrue="1">
      <formula>NOT(ISBLANK($BC$50))</formula>
    </cfRule>
  </conditionalFormatting>
  <conditionalFormatting sqref="A51">
    <cfRule type="cellIs" dxfId="1649" priority="42024" stopIfTrue="1" operator="notEqual">
      <formula>2</formula>
    </cfRule>
  </conditionalFormatting>
  <conditionalFormatting sqref="B51">
    <cfRule type="cellIs" dxfId="1648" priority="42025" stopIfTrue="1" operator="notEqual">
      <formula>3</formula>
    </cfRule>
  </conditionalFormatting>
  <conditionalFormatting sqref="C51">
    <cfRule type="cellIs" dxfId="1647" priority="42026" stopIfTrue="1" operator="notEqual">
      <formula>3</formula>
    </cfRule>
  </conditionalFormatting>
  <conditionalFormatting sqref="D51">
    <cfRule type="cellIs" dxfId="1646" priority="42027" stopIfTrue="1" operator="notEqual">
      <formula>0.305</formula>
    </cfRule>
  </conditionalFormatting>
  <conditionalFormatting sqref="E51">
    <cfRule type="cellIs" dxfId="1645" priority="42028" stopIfTrue="1" operator="notEqual">
      <formula>"MGD"</formula>
    </cfRule>
  </conditionalFormatting>
  <conditionalFormatting sqref="F51">
    <cfRule type="cellIs" dxfId="1644" priority="42029" stopIfTrue="1" operator="notEqual">
      <formula>0.094</formula>
    </cfRule>
  </conditionalFormatting>
  <conditionalFormatting sqref="G51">
    <cfRule type="cellIs" dxfId="1643" priority="42030" stopIfTrue="1" operator="notEqual">
      <formula>"MGD"</formula>
    </cfRule>
  </conditionalFormatting>
  <conditionalFormatting sqref="H51">
    <cfRule type="cellIs" dxfId="1642" priority="42031" stopIfTrue="1" operator="notEqual">
      <formula>"acetic acid"</formula>
    </cfRule>
  </conditionalFormatting>
  <conditionalFormatting sqref="I51">
    <cfRule type="cellIs" dxfId="1641" priority="42032" stopIfTrue="1" operator="notEqual">
      <formula>37.4</formula>
    </cfRule>
  </conditionalFormatting>
  <conditionalFormatting sqref="J51">
    <cfRule type="cellIs" dxfId="1640" priority="42033" stopIfTrue="1" operator="notEqual">
      <formula>15.3</formula>
    </cfRule>
  </conditionalFormatting>
  <conditionalFormatting sqref="K51">
    <cfRule type="cellIs" dxfId="1639" priority="42034" stopIfTrue="1" operator="notEqual">
      <formula>0</formula>
    </cfRule>
  </conditionalFormatting>
  <conditionalFormatting sqref="L51">
    <cfRule type="cellIs" dxfId="1638" priority="42035" stopIfTrue="1" operator="notEqual">
      <formula>12</formula>
    </cfRule>
  </conditionalFormatting>
  <conditionalFormatting sqref="M51">
    <cfRule type="cellIs" dxfId="1637" priority="42036" stopIfTrue="1" operator="notEqual">
      <formula>20.3</formula>
    </cfRule>
  </conditionalFormatting>
  <conditionalFormatting sqref="N51">
    <cfRule type="cellIs" dxfId="1636" priority="42037" stopIfTrue="1" operator="notEqual">
      <formula>"additional phosphorous required"</formula>
    </cfRule>
  </conditionalFormatting>
  <conditionalFormatting sqref="O51">
    <cfRule type="expression" dxfId="1635" priority="42038" stopIfTrue="1">
      <formula>NOT(ISBLANK($O$51))</formula>
    </cfRule>
  </conditionalFormatting>
  <conditionalFormatting sqref="P51">
    <cfRule type="cellIs" dxfId="1634" priority="42039" stopIfTrue="1" operator="notEqual">
      <formula>2</formula>
    </cfRule>
  </conditionalFormatting>
  <conditionalFormatting sqref="Q51">
    <cfRule type="cellIs" dxfId="1633" priority="42040" stopIfTrue="1" operator="notEqual">
      <formula>10</formula>
    </cfRule>
  </conditionalFormatting>
  <conditionalFormatting sqref="R51">
    <cfRule type="cellIs" dxfId="1632" priority="42041" stopIfTrue="1" operator="notEqual">
      <formula>"yes"</formula>
    </cfRule>
  </conditionalFormatting>
  <conditionalFormatting sqref="S51">
    <cfRule type="expression" dxfId="1631" priority="42042" stopIfTrue="1">
      <formula>NOT(ISBLANK($S$51))</formula>
    </cfRule>
  </conditionalFormatting>
  <conditionalFormatting sqref="T51">
    <cfRule type="expression" dxfId="1630" priority="42043" stopIfTrue="1">
      <formula>NOT(ISBLANK($T$51))</formula>
    </cfRule>
  </conditionalFormatting>
  <conditionalFormatting sqref="U51">
    <cfRule type="expression" dxfId="1629" priority="42044" stopIfTrue="1">
      <formula>NOT(ISBLANK($U$51))</formula>
    </cfRule>
  </conditionalFormatting>
  <conditionalFormatting sqref="V51">
    <cfRule type="expression" dxfId="1628" priority="42045" stopIfTrue="1">
      <formula>NOT(ISBLANK($V$51))</formula>
    </cfRule>
  </conditionalFormatting>
  <conditionalFormatting sqref="W51">
    <cfRule type="expression" dxfId="1627" priority="42046" stopIfTrue="1">
      <formula>NOT(ISBLANK($W$51))</formula>
    </cfRule>
  </conditionalFormatting>
  <conditionalFormatting sqref="X51">
    <cfRule type="expression" dxfId="1626" priority="42047" stopIfTrue="1">
      <formula>NOT(ISBLANK($X$51))</formula>
    </cfRule>
  </conditionalFormatting>
  <conditionalFormatting sqref="Y51">
    <cfRule type="expression" dxfId="1625" priority="42048" stopIfTrue="1">
      <formula>NOT(ISBLANK($Y$51))</formula>
    </cfRule>
  </conditionalFormatting>
  <conditionalFormatting sqref="Z51">
    <cfRule type="expression" dxfId="1624" priority="42049" stopIfTrue="1">
      <formula>NOT(ISBLANK($Z$51))</formula>
    </cfRule>
  </conditionalFormatting>
  <conditionalFormatting sqref="AA51">
    <cfRule type="cellIs" dxfId="1623" priority="42050" stopIfTrue="1" operator="notEqual">
      <formula>"aeration"</formula>
    </cfRule>
  </conditionalFormatting>
  <conditionalFormatting sqref="AB51">
    <cfRule type="cellIs" dxfId="1622" priority="42051" stopIfTrue="1" operator="notEqual">
      <formula>"yes"</formula>
    </cfRule>
  </conditionalFormatting>
  <conditionalFormatting sqref="AC51">
    <cfRule type="cellIs" dxfId="1621" priority="42052" stopIfTrue="1" operator="notEqual">
      <formula>"pressure vessel"</formula>
    </cfRule>
  </conditionalFormatting>
  <conditionalFormatting sqref="AD51">
    <cfRule type="cellIs" dxfId="1620" priority="42053" stopIfTrue="1" operator="notEqual">
      <formula>"yes"</formula>
    </cfRule>
  </conditionalFormatting>
  <conditionalFormatting sqref="AE51">
    <cfRule type="expression" dxfId="1619" priority="42054" stopIfTrue="1">
      <formula>NOT(ISBLANK($AE$51))</formula>
    </cfRule>
  </conditionalFormatting>
  <conditionalFormatting sqref="AF51">
    <cfRule type="expression" dxfId="1618" priority="42055" stopIfTrue="1">
      <formula>NOT(ISBLANK($AF$51))</formula>
    </cfRule>
  </conditionalFormatting>
  <conditionalFormatting sqref="AG51">
    <cfRule type="expression" dxfId="1617" priority="42056" stopIfTrue="1">
      <formula>NOT(ISBLANK($AG$51))</formula>
    </cfRule>
  </conditionalFormatting>
  <conditionalFormatting sqref="AH51">
    <cfRule type="expression" dxfId="1616" priority="42057" stopIfTrue="1">
      <formula>NOT(ISBLANK($AH$51))</formula>
    </cfRule>
  </conditionalFormatting>
  <conditionalFormatting sqref="AI51">
    <cfRule type="cellIs" dxfId="1615" priority="42058" stopIfTrue="1" operator="notEqual">
      <formula>"yes"</formula>
    </cfRule>
  </conditionalFormatting>
  <conditionalFormatting sqref="AJ51">
    <cfRule type="cellIs" dxfId="1614" priority="42059" stopIfTrue="1" operator="notEqual">
      <formula>4.3</formula>
    </cfRule>
  </conditionalFormatting>
  <conditionalFormatting sqref="AK51">
    <cfRule type="cellIs" dxfId="1613" priority="42060" stopIfTrue="1" operator="notEqual">
      <formula>"upright"</formula>
    </cfRule>
  </conditionalFormatting>
  <conditionalFormatting sqref="AL51">
    <cfRule type="cellIs" dxfId="1612" priority="42061" stopIfTrue="1" operator="notEqual">
      <formula>7.5</formula>
    </cfRule>
  </conditionalFormatting>
  <conditionalFormatting sqref="AM51">
    <cfRule type="cellIs" dxfId="1611" priority="42062" stopIfTrue="1" operator="notEqual">
      <formula>6.5</formula>
    </cfRule>
  </conditionalFormatting>
  <conditionalFormatting sqref="AN51">
    <cfRule type="expression" dxfId="1610" priority="42063" stopIfTrue="1">
      <formula>NOT(ISBLANK($AN$51))</formula>
    </cfRule>
  </conditionalFormatting>
  <conditionalFormatting sqref="AO51">
    <cfRule type="cellIs" dxfId="1609" priority="42064" stopIfTrue="1" operator="notEqual">
      <formula>36</formula>
    </cfRule>
  </conditionalFormatting>
  <conditionalFormatting sqref="AP51">
    <cfRule type="cellIs" dxfId="1608" priority="42065" stopIfTrue="1" operator="notEqual">
      <formula>"yes"</formula>
    </cfRule>
  </conditionalFormatting>
  <conditionalFormatting sqref="AQ51">
    <cfRule type="cellIs" dxfId="1607" priority="42066" stopIfTrue="1" operator="notEqual">
      <formula>"recycle"</formula>
    </cfRule>
  </conditionalFormatting>
  <conditionalFormatting sqref="AR51">
    <cfRule type="cellIs" dxfId="1606" priority="42067" stopIfTrue="1" operator="notEqual">
      <formula>"holding tank"</formula>
    </cfRule>
  </conditionalFormatting>
  <conditionalFormatting sqref="AS51">
    <cfRule type="cellIs" dxfId="1605" priority="42068" stopIfTrue="1" operator="notEqual">
      <formula>"none"</formula>
    </cfRule>
  </conditionalFormatting>
  <conditionalFormatting sqref="AT51">
    <cfRule type="cellIs" dxfId="1604" priority="42069" stopIfTrue="1" operator="notEqual">
      <formula>"non-hazardous"</formula>
    </cfRule>
  </conditionalFormatting>
  <conditionalFormatting sqref="AU51">
    <cfRule type="expression" dxfId="1603" priority="42070" stopIfTrue="1">
      <formula>NOT(ISBLANK($AU$51))</formula>
    </cfRule>
  </conditionalFormatting>
  <conditionalFormatting sqref="AV51">
    <cfRule type="expression" dxfId="1602" priority="42071" stopIfTrue="1">
      <formula>NOT(ISBLANK($AV$51))</formula>
    </cfRule>
  </conditionalFormatting>
  <conditionalFormatting sqref="AW51">
    <cfRule type="expression" dxfId="1601" priority="42072" stopIfTrue="1">
      <formula>NOT(ISBLANK($AW$51))</formula>
    </cfRule>
  </conditionalFormatting>
  <conditionalFormatting sqref="AX51">
    <cfRule type="expression" dxfId="1600" priority="42073" stopIfTrue="1">
      <formula>NOT(ISBLANK($AX$51))</formula>
    </cfRule>
  </conditionalFormatting>
  <conditionalFormatting sqref="AY51">
    <cfRule type="expression" dxfId="1599" priority="42074" stopIfTrue="1">
      <formula>NOT(ISBLANK($AY$51))</formula>
    </cfRule>
  </conditionalFormatting>
  <conditionalFormatting sqref="AZ51">
    <cfRule type="cellIs" dxfId="1598" priority="42075" stopIfTrue="1" operator="notEqual">
      <formula>"fully automated"</formula>
    </cfRule>
  </conditionalFormatting>
  <conditionalFormatting sqref="BA51">
    <cfRule type="expression" dxfId="1597" priority="42076" stopIfTrue="1">
      <formula>NOT(ISBLANK($BA$51))</formula>
    </cfRule>
  </conditionalFormatting>
  <conditionalFormatting sqref="BB51">
    <cfRule type="expression" dxfId="1596" priority="42077" stopIfTrue="1">
      <formula>NOT(ISBLANK($BB$51))</formula>
    </cfRule>
  </conditionalFormatting>
  <conditionalFormatting sqref="BC51">
    <cfRule type="expression" dxfId="1595" priority="42078" stopIfTrue="1">
      <formula>NOT(ISBLANK($BC$51))</formula>
    </cfRule>
  </conditionalFormatting>
  <conditionalFormatting sqref="A52">
    <cfRule type="cellIs" dxfId="1594" priority="42079" stopIfTrue="1" operator="notEqual">
      <formula>2</formula>
    </cfRule>
  </conditionalFormatting>
  <conditionalFormatting sqref="B52">
    <cfRule type="cellIs" dxfId="1593" priority="42080" stopIfTrue="1" operator="notEqual">
      <formula>3</formula>
    </cfRule>
  </conditionalFormatting>
  <conditionalFormatting sqref="C52">
    <cfRule type="cellIs" dxfId="1592" priority="42081" stopIfTrue="1" operator="notEqual">
      <formula>4</formula>
    </cfRule>
  </conditionalFormatting>
  <conditionalFormatting sqref="D52">
    <cfRule type="cellIs" dxfId="1591" priority="42082" stopIfTrue="1" operator="notEqual">
      <formula>0.74</formula>
    </cfRule>
  </conditionalFormatting>
  <conditionalFormatting sqref="E52">
    <cfRule type="cellIs" dxfId="1590" priority="42083" stopIfTrue="1" operator="notEqual">
      <formula>"MGD"</formula>
    </cfRule>
  </conditionalFormatting>
  <conditionalFormatting sqref="F52">
    <cfRule type="cellIs" dxfId="1589" priority="42084" stopIfTrue="1" operator="notEqual">
      <formula>0.251</formula>
    </cfRule>
  </conditionalFormatting>
  <conditionalFormatting sqref="G52">
    <cfRule type="cellIs" dxfId="1588" priority="42085" stopIfTrue="1" operator="notEqual">
      <formula>"MGD"</formula>
    </cfRule>
  </conditionalFormatting>
  <conditionalFormatting sqref="H52">
    <cfRule type="cellIs" dxfId="1587" priority="42086" stopIfTrue="1" operator="notEqual">
      <formula>"acetic acid"</formula>
    </cfRule>
  </conditionalFormatting>
  <conditionalFormatting sqref="I52">
    <cfRule type="cellIs" dxfId="1586" priority="42087" stopIfTrue="1" operator="notEqual">
      <formula>37.4</formula>
    </cfRule>
  </conditionalFormatting>
  <conditionalFormatting sqref="J52">
    <cfRule type="cellIs" dxfId="1585" priority="42088" stopIfTrue="1" operator="notEqual">
      <formula>15.3</formula>
    </cfRule>
  </conditionalFormatting>
  <conditionalFormatting sqref="K52">
    <cfRule type="cellIs" dxfId="1584" priority="42089" stopIfTrue="1" operator="notEqual">
      <formula>0</formula>
    </cfRule>
  </conditionalFormatting>
  <conditionalFormatting sqref="L52">
    <cfRule type="cellIs" dxfId="1583" priority="42090" stopIfTrue="1" operator="notEqual">
      <formula>12</formula>
    </cfRule>
  </conditionalFormatting>
  <conditionalFormatting sqref="M52">
    <cfRule type="cellIs" dxfId="1582" priority="42091" stopIfTrue="1" operator="notEqual">
      <formula>20.3</formula>
    </cfRule>
  </conditionalFormatting>
  <conditionalFormatting sqref="N52">
    <cfRule type="cellIs" dxfId="1581" priority="42092" stopIfTrue="1" operator="notEqual">
      <formula>"additional phosphorous required"</formula>
    </cfRule>
  </conditionalFormatting>
  <conditionalFormatting sqref="O52">
    <cfRule type="expression" dxfId="1580" priority="42093" stopIfTrue="1">
      <formula>NOT(ISBLANK($O$52))</formula>
    </cfRule>
  </conditionalFormatting>
  <conditionalFormatting sqref="P52">
    <cfRule type="cellIs" dxfId="1579" priority="42094" stopIfTrue="1" operator="notEqual">
      <formula>2</formula>
    </cfRule>
  </conditionalFormatting>
  <conditionalFormatting sqref="Q52">
    <cfRule type="cellIs" dxfId="1578" priority="42095" stopIfTrue="1" operator="notEqual">
      <formula>10</formula>
    </cfRule>
  </conditionalFormatting>
  <conditionalFormatting sqref="R52">
    <cfRule type="cellIs" dxfId="1577" priority="42096" stopIfTrue="1" operator="notEqual">
      <formula>"yes"</formula>
    </cfRule>
  </conditionalFormatting>
  <conditionalFormatting sqref="S52">
    <cfRule type="expression" dxfId="1576" priority="42097" stopIfTrue="1">
      <formula>NOT(ISBLANK($S$52))</formula>
    </cfRule>
  </conditionalFormatting>
  <conditionalFormatting sqref="T52">
    <cfRule type="expression" dxfId="1575" priority="42098" stopIfTrue="1">
      <formula>NOT(ISBLANK($T$52))</formula>
    </cfRule>
  </conditionalFormatting>
  <conditionalFormatting sqref="U52">
    <cfRule type="expression" dxfId="1574" priority="42099" stopIfTrue="1">
      <formula>NOT(ISBLANK($U$52))</formula>
    </cfRule>
  </conditionalFormatting>
  <conditionalFormatting sqref="V52">
    <cfRule type="expression" dxfId="1573" priority="42100" stopIfTrue="1">
      <formula>NOT(ISBLANK($V$52))</formula>
    </cfRule>
  </conditionalFormatting>
  <conditionalFormatting sqref="W52">
    <cfRule type="expression" dxfId="1572" priority="42101" stopIfTrue="1">
      <formula>NOT(ISBLANK($W$52))</formula>
    </cfRule>
  </conditionalFormatting>
  <conditionalFormatting sqref="X52">
    <cfRule type="expression" dxfId="1571" priority="42102" stopIfTrue="1">
      <formula>NOT(ISBLANK($X$52))</formula>
    </cfRule>
  </conditionalFormatting>
  <conditionalFormatting sqref="Y52">
    <cfRule type="expression" dxfId="1570" priority="42103" stopIfTrue="1">
      <formula>NOT(ISBLANK($Y$52))</formula>
    </cfRule>
  </conditionalFormatting>
  <conditionalFormatting sqref="Z52">
    <cfRule type="expression" dxfId="1569" priority="42104" stopIfTrue="1">
      <formula>NOT(ISBLANK($Z$52))</formula>
    </cfRule>
  </conditionalFormatting>
  <conditionalFormatting sqref="AA52">
    <cfRule type="cellIs" dxfId="1568" priority="42105" stopIfTrue="1" operator="notEqual">
      <formula>"aeration"</formula>
    </cfRule>
  </conditionalFormatting>
  <conditionalFormatting sqref="AB52">
    <cfRule type="cellIs" dxfId="1567" priority="42106" stopIfTrue="1" operator="notEqual">
      <formula>"yes"</formula>
    </cfRule>
  </conditionalFormatting>
  <conditionalFormatting sqref="AC52">
    <cfRule type="cellIs" dxfId="1566" priority="42107" stopIfTrue="1" operator="notEqual">
      <formula>"pressure vessel"</formula>
    </cfRule>
  </conditionalFormatting>
  <conditionalFormatting sqref="AD52">
    <cfRule type="cellIs" dxfId="1565" priority="42108" stopIfTrue="1" operator="notEqual">
      <formula>"yes"</formula>
    </cfRule>
  </conditionalFormatting>
  <conditionalFormatting sqref="AE52">
    <cfRule type="expression" dxfId="1564" priority="42109" stopIfTrue="1">
      <formula>NOT(ISBLANK($AE$52))</formula>
    </cfRule>
  </conditionalFormatting>
  <conditionalFormatting sqref="AF52">
    <cfRule type="expression" dxfId="1563" priority="42110" stopIfTrue="1">
      <formula>NOT(ISBLANK($AF$52))</formula>
    </cfRule>
  </conditionalFormatting>
  <conditionalFormatting sqref="AG52">
    <cfRule type="expression" dxfId="1562" priority="42111" stopIfTrue="1">
      <formula>NOT(ISBLANK($AG$52))</formula>
    </cfRule>
  </conditionalFormatting>
  <conditionalFormatting sqref="AH52">
    <cfRule type="expression" dxfId="1561" priority="42112" stopIfTrue="1">
      <formula>NOT(ISBLANK($AH$52))</formula>
    </cfRule>
  </conditionalFormatting>
  <conditionalFormatting sqref="AI52">
    <cfRule type="cellIs" dxfId="1560" priority="42113" stopIfTrue="1" operator="notEqual">
      <formula>"yes"</formula>
    </cfRule>
  </conditionalFormatting>
  <conditionalFormatting sqref="AJ52">
    <cfRule type="cellIs" dxfId="1559" priority="42114" stopIfTrue="1" operator="notEqual">
      <formula>4.9</formula>
    </cfRule>
  </conditionalFormatting>
  <conditionalFormatting sqref="AK52">
    <cfRule type="cellIs" dxfId="1558" priority="42115" stopIfTrue="1" operator="notEqual">
      <formula>"upright"</formula>
    </cfRule>
  </conditionalFormatting>
  <conditionalFormatting sqref="AL52">
    <cfRule type="cellIs" dxfId="1557" priority="42116" stopIfTrue="1" operator="notEqual">
      <formula>8.5</formula>
    </cfRule>
  </conditionalFormatting>
  <conditionalFormatting sqref="AM52">
    <cfRule type="cellIs" dxfId="1556" priority="42117" stopIfTrue="1" operator="notEqual">
      <formula>9.5</formula>
    </cfRule>
  </conditionalFormatting>
  <conditionalFormatting sqref="AN52">
    <cfRule type="expression" dxfId="1555" priority="42118" stopIfTrue="1">
      <formula>NOT(ISBLANK($AN$52))</formula>
    </cfRule>
  </conditionalFormatting>
  <conditionalFormatting sqref="AO52">
    <cfRule type="cellIs" dxfId="1554" priority="42119" stopIfTrue="1" operator="notEqual">
      <formula>36</formula>
    </cfRule>
  </conditionalFormatting>
  <conditionalFormatting sqref="AP52">
    <cfRule type="cellIs" dxfId="1553" priority="42120" stopIfTrue="1" operator="notEqual">
      <formula>"yes"</formula>
    </cfRule>
  </conditionalFormatting>
  <conditionalFormatting sqref="AQ52">
    <cfRule type="cellIs" dxfId="1552" priority="42121" stopIfTrue="1" operator="notEqual">
      <formula>"recycle"</formula>
    </cfRule>
  </conditionalFormatting>
  <conditionalFormatting sqref="AR52">
    <cfRule type="cellIs" dxfId="1551" priority="42122" stopIfTrue="1" operator="notEqual">
      <formula>"holding tank"</formula>
    </cfRule>
  </conditionalFormatting>
  <conditionalFormatting sqref="AS52">
    <cfRule type="cellIs" dxfId="1550" priority="42123" stopIfTrue="1" operator="notEqual">
      <formula>"none"</formula>
    </cfRule>
  </conditionalFormatting>
  <conditionalFormatting sqref="AT52">
    <cfRule type="cellIs" dxfId="1549" priority="42124" stopIfTrue="1" operator="notEqual">
      <formula>"non-hazardous"</formula>
    </cfRule>
  </conditionalFormatting>
  <conditionalFormatting sqref="AU52">
    <cfRule type="expression" dxfId="1548" priority="42125" stopIfTrue="1">
      <formula>NOT(ISBLANK($AU$52))</formula>
    </cfRule>
  </conditionalFormatting>
  <conditionalFormatting sqref="AV52">
    <cfRule type="expression" dxfId="1547" priority="42126" stopIfTrue="1">
      <formula>NOT(ISBLANK($AV$52))</formula>
    </cfRule>
  </conditionalFormatting>
  <conditionalFormatting sqref="AW52">
    <cfRule type="expression" dxfId="1546" priority="42127" stopIfTrue="1">
      <formula>NOT(ISBLANK($AW$52))</formula>
    </cfRule>
  </conditionalFormatting>
  <conditionalFormatting sqref="AX52">
    <cfRule type="expression" dxfId="1545" priority="42128" stopIfTrue="1">
      <formula>NOT(ISBLANK($AX$52))</formula>
    </cfRule>
  </conditionalFormatting>
  <conditionalFormatting sqref="AY52">
    <cfRule type="expression" dxfId="1544" priority="42129" stopIfTrue="1">
      <formula>NOT(ISBLANK($AY$52))</formula>
    </cfRule>
  </conditionalFormatting>
  <conditionalFormatting sqref="AZ52">
    <cfRule type="cellIs" dxfId="1543" priority="42130" stopIfTrue="1" operator="notEqual">
      <formula>"fully automated"</formula>
    </cfRule>
  </conditionalFormatting>
  <conditionalFormatting sqref="BA52">
    <cfRule type="expression" dxfId="1542" priority="42131" stopIfTrue="1">
      <formula>NOT(ISBLANK($BA$52))</formula>
    </cfRule>
  </conditionalFormatting>
  <conditionalFormatting sqref="BB52">
    <cfRule type="expression" dxfId="1541" priority="42132" stopIfTrue="1">
      <formula>NOT(ISBLANK($BB$52))</formula>
    </cfRule>
  </conditionalFormatting>
  <conditionalFormatting sqref="BC52">
    <cfRule type="expression" dxfId="1540" priority="42133" stopIfTrue="1">
      <formula>NOT(ISBLANK($BC$52))</formula>
    </cfRule>
  </conditionalFormatting>
  <conditionalFormatting sqref="A53">
    <cfRule type="cellIs" dxfId="1539" priority="42134" stopIfTrue="1" operator="notEqual">
      <formula>2</formula>
    </cfRule>
  </conditionalFormatting>
  <conditionalFormatting sqref="B53">
    <cfRule type="cellIs" dxfId="1538" priority="42135" stopIfTrue="1" operator="notEqual">
      <formula>3</formula>
    </cfRule>
  </conditionalFormatting>
  <conditionalFormatting sqref="C53">
    <cfRule type="cellIs" dxfId="1537" priority="42136" stopIfTrue="1" operator="notEqual">
      <formula>5</formula>
    </cfRule>
  </conditionalFormatting>
  <conditionalFormatting sqref="D53">
    <cfRule type="cellIs" dxfId="1536" priority="42137" stopIfTrue="1" operator="notEqual">
      <formula>2.152</formula>
    </cfRule>
  </conditionalFormatting>
  <conditionalFormatting sqref="E53">
    <cfRule type="cellIs" dxfId="1535" priority="42138" stopIfTrue="1" operator="notEqual">
      <formula>"MGD"</formula>
    </cfRule>
  </conditionalFormatting>
  <conditionalFormatting sqref="F53">
    <cfRule type="cellIs" dxfId="1534" priority="42139" stopIfTrue="1" operator="notEqual">
      <formula>0.819</formula>
    </cfRule>
  </conditionalFormatting>
  <conditionalFormatting sqref="G53">
    <cfRule type="cellIs" dxfId="1533" priority="42140" stopIfTrue="1" operator="notEqual">
      <formula>"MGD"</formula>
    </cfRule>
  </conditionalFormatting>
  <conditionalFormatting sqref="H53">
    <cfRule type="cellIs" dxfId="1532" priority="42141" stopIfTrue="1" operator="notEqual">
      <formula>"acetic acid"</formula>
    </cfRule>
  </conditionalFormatting>
  <conditionalFormatting sqref="I53">
    <cfRule type="cellIs" dxfId="1531" priority="42142" stopIfTrue="1" operator="notEqual">
      <formula>37.4</formula>
    </cfRule>
  </conditionalFormatting>
  <conditionalFormatting sqref="J53">
    <cfRule type="cellIs" dxfId="1530" priority="42143" stopIfTrue="1" operator="notEqual">
      <formula>15.3</formula>
    </cfRule>
  </conditionalFormatting>
  <conditionalFormatting sqref="K53">
    <cfRule type="cellIs" dxfId="1529" priority="42144" stopIfTrue="1" operator="notEqual">
      <formula>0</formula>
    </cfRule>
  </conditionalFormatting>
  <conditionalFormatting sqref="L53">
    <cfRule type="cellIs" dxfId="1528" priority="42145" stopIfTrue="1" operator="notEqual">
      <formula>12</formula>
    </cfRule>
  </conditionalFormatting>
  <conditionalFormatting sqref="M53">
    <cfRule type="cellIs" dxfId="1527" priority="42146" stopIfTrue="1" operator="notEqual">
      <formula>20.3</formula>
    </cfRule>
  </conditionalFormatting>
  <conditionalFormatting sqref="N53">
    <cfRule type="cellIs" dxfId="1526" priority="42147" stopIfTrue="1" operator="notEqual">
      <formula>"additional phosphorous required"</formula>
    </cfRule>
  </conditionalFormatting>
  <conditionalFormatting sqref="O53">
    <cfRule type="expression" dxfId="1525" priority="42148" stopIfTrue="1">
      <formula>NOT(ISBLANK($O$53))</formula>
    </cfRule>
  </conditionalFormatting>
  <conditionalFormatting sqref="P53">
    <cfRule type="cellIs" dxfId="1524" priority="42149" stopIfTrue="1" operator="notEqual">
      <formula>2</formula>
    </cfRule>
  </conditionalFormatting>
  <conditionalFormatting sqref="Q53">
    <cfRule type="cellIs" dxfId="1523" priority="42150" stopIfTrue="1" operator="notEqual">
      <formula>10</formula>
    </cfRule>
  </conditionalFormatting>
  <conditionalFormatting sqref="R53">
    <cfRule type="cellIs" dxfId="1522" priority="42151" stopIfTrue="1" operator="notEqual">
      <formula>"yes"</formula>
    </cfRule>
  </conditionalFormatting>
  <conditionalFormatting sqref="S53">
    <cfRule type="expression" dxfId="1521" priority="42152" stopIfTrue="1">
      <formula>NOT(ISBLANK($S$53))</formula>
    </cfRule>
  </conditionalFormatting>
  <conditionalFormatting sqref="T53">
    <cfRule type="expression" dxfId="1520" priority="42153" stopIfTrue="1">
      <formula>NOT(ISBLANK($T$53))</formula>
    </cfRule>
  </conditionalFormatting>
  <conditionalFormatting sqref="U53">
    <cfRule type="expression" dxfId="1519" priority="42154" stopIfTrue="1">
      <formula>NOT(ISBLANK($U$53))</formula>
    </cfRule>
  </conditionalFormatting>
  <conditionalFormatting sqref="V53">
    <cfRule type="expression" dxfId="1518" priority="42155" stopIfTrue="1">
      <formula>NOT(ISBLANK($V$53))</formula>
    </cfRule>
  </conditionalFormatting>
  <conditionalFormatting sqref="W53">
    <cfRule type="expression" dxfId="1517" priority="42156" stopIfTrue="1">
      <formula>NOT(ISBLANK($W$53))</formula>
    </cfRule>
  </conditionalFormatting>
  <conditionalFormatting sqref="X53">
    <cfRule type="expression" dxfId="1516" priority="42157" stopIfTrue="1">
      <formula>NOT(ISBLANK($X$53))</formula>
    </cfRule>
  </conditionalFormatting>
  <conditionalFormatting sqref="Y53">
    <cfRule type="expression" dxfId="1515" priority="42158" stopIfTrue="1">
      <formula>NOT(ISBLANK($Y$53))</formula>
    </cfRule>
  </conditionalFormatting>
  <conditionalFormatting sqref="Z53">
    <cfRule type="expression" dxfId="1514" priority="42159" stopIfTrue="1">
      <formula>NOT(ISBLANK($Z$53))</formula>
    </cfRule>
  </conditionalFormatting>
  <conditionalFormatting sqref="AA53">
    <cfRule type="cellIs" dxfId="1513" priority="42160" stopIfTrue="1" operator="notEqual">
      <formula>"aeration"</formula>
    </cfRule>
  </conditionalFormatting>
  <conditionalFormatting sqref="AB53">
    <cfRule type="cellIs" dxfId="1512" priority="42161" stopIfTrue="1" operator="notEqual">
      <formula>"yes"</formula>
    </cfRule>
  </conditionalFormatting>
  <conditionalFormatting sqref="AC53">
    <cfRule type="cellIs" dxfId="1511" priority="42162" stopIfTrue="1" operator="notEqual">
      <formula>"gravity basin"</formula>
    </cfRule>
  </conditionalFormatting>
  <conditionalFormatting sqref="AD53">
    <cfRule type="cellIs" dxfId="1510" priority="42163" stopIfTrue="1" operator="notEqual">
      <formula>"yes"</formula>
    </cfRule>
  </conditionalFormatting>
  <conditionalFormatting sqref="AE53">
    <cfRule type="cellIs" dxfId="1509" priority="42164" stopIfTrue="1" operator="notEqual">
      <formula>"yes"</formula>
    </cfRule>
  </conditionalFormatting>
  <conditionalFormatting sqref="AF53">
    <cfRule type="cellIs" dxfId="1508" priority="42165" stopIfTrue="1" operator="notEqual">
      <formula>8.5</formula>
    </cfRule>
  </conditionalFormatting>
  <conditionalFormatting sqref="AG53">
    <cfRule type="cellIs" dxfId="1507" priority="42166" stopIfTrue="1" operator="notEqual">
      <formula>8.5</formula>
    </cfRule>
  </conditionalFormatting>
  <conditionalFormatting sqref="AH53">
    <cfRule type="cellIs" dxfId="1506" priority="42167" stopIfTrue="1" operator="notEqual">
      <formula>7</formula>
    </cfRule>
  </conditionalFormatting>
  <conditionalFormatting sqref="AI53">
    <cfRule type="expression" dxfId="1505" priority="42168" stopIfTrue="1">
      <formula>NOT(ISBLANK($AI$53))</formula>
    </cfRule>
  </conditionalFormatting>
  <conditionalFormatting sqref="AJ53">
    <cfRule type="expression" dxfId="1504" priority="42169" stopIfTrue="1">
      <formula>NOT(ISBLANK($AJ$53))</formula>
    </cfRule>
  </conditionalFormatting>
  <conditionalFormatting sqref="AK53">
    <cfRule type="expression" dxfId="1503" priority="42170" stopIfTrue="1">
      <formula>NOT(ISBLANK($AK$53))</formula>
    </cfRule>
  </conditionalFormatting>
  <conditionalFormatting sqref="AL53">
    <cfRule type="expression" dxfId="1502" priority="42171" stopIfTrue="1">
      <formula>NOT(ISBLANK($AL$53))</formula>
    </cfRule>
  </conditionalFormatting>
  <conditionalFormatting sqref="AM53">
    <cfRule type="expression" dxfId="1501" priority="42172" stopIfTrue="1">
      <formula>NOT(ISBLANK($AM$53))</formula>
    </cfRule>
  </conditionalFormatting>
  <conditionalFormatting sqref="AN53">
    <cfRule type="expression" dxfId="1500" priority="42173" stopIfTrue="1">
      <formula>NOT(ISBLANK($AN$53))</formula>
    </cfRule>
  </conditionalFormatting>
  <conditionalFormatting sqref="AO53">
    <cfRule type="cellIs" dxfId="1499" priority="42174" stopIfTrue="1" operator="notEqual">
      <formula>36</formula>
    </cfRule>
  </conditionalFormatting>
  <conditionalFormatting sqref="AP53">
    <cfRule type="cellIs" dxfId="1498" priority="42175" stopIfTrue="1" operator="notEqual">
      <formula>"yes"</formula>
    </cfRule>
  </conditionalFormatting>
  <conditionalFormatting sqref="AQ53">
    <cfRule type="cellIs" dxfId="1497" priority="42176" stopIfTrue="1" operator="notEqual">
      <formula>"recycle"</formula>
    </cfRule>
  </conditionalFormatting>
  <conditionalFormatting sqref="AR53">
    <cfRule type="cellIs" dxfId="1496" priority="42177" stopIfTrue="1" operator="notEqual">
      <formula>"holding tank"</formula>
    </cfRule>
  </conditionalFormatting>
  <conditionalFormatting sqref="AS53">
    <cfRule type="cellIs" dxfId="1495" priority="42178" stopIfTrue="1" operator="notEqual">
      <formula>"none"</formula>
    </cfRule>
  </conditionalFormatting>
  <conditionalFormatting sqref="AT53">
    <cfRule type="cellIs" dxfId="1494" priority="42179" stopIfTrue="1" operator="notEqual">
      <formula>"non-hazardous"</formula>
    </cfRule>
  </conditionalFormatting>
  <conditionalFormatting sqref="AU53">
    <cfRule type="expression" dxfId="1493" priority="42180" stopIfTrue="1">
      <formula>NOT(ISBLANK($AU$53))</formula>
    </cfRule>
  </conditionalFormatting>
  <conditionalFormatting sqref="AV53">
    <cfRule type="expression" dxfId="1492" priority="42181" stopIfTrue="1">
      <formula>NOT(ISBLANK($AV$53))</formula>
    </cfRule>
  </conditionalFormatting>
  <conditionalFormatting sqref="AW53">
    <cfRule type="expression" dxfId="1491" priority="42182" stopIfTrue="1">
      <formula>NOT(ISBLANK($AW$53))</formula>
    </cfRule>
  </conditionalFormatting>
  <conditionalFormatting sqref="AX53">
    <cfRule type="expression" dxfId="1490" priority="42183" stopIfTrue="1">
      <formula>NOT(ISBLANK($AX$53))</formula>
    </cfRule>
  </conditionalFormatting>
  <conditionalFormatting sqref="AY53">
    <cfRule type="expression" dxfId="1489" priority="42184" stopIfTrue="1">
      <formula>NOT(ISBLANK($AY$53))</formula>
    </cfRule>
  </conditionalFormatting>
  <conditionalFormatting sqref="AZ53">
    <cfRule type="cellIs" dxfId="1488" priority="42185" stopIfTrue="1" operator="notEqual">
      <formula>"fully automated"</formula>
    </cfRule>
  </conditionalFormatting>
  <conditionalFormatting sqref="BA53">
    <cfRule type="expression" dxfId="1487" priority="42186" stopIfTrue="1">
      <formula>NOT(ISBLANK($BA$53))</formula>
    </cfRule>
  </conditionalFormatting>
  <conditionalFormatting sqref="BB53">
    <cfRule type="expression" dxfId="1486" priority="42187" stopIfTrue="1">
      <formula>NOT(ISBLANK($BB$53))</formula>
    </cfRule>
  </conditionalFormatting>
  <conditionalFormatting sqref="BC53">
    <cfRule type="expression" dxfId="1485" priority="42188" stopIfTrue="1">
      <formula>NOT(ISBLANK($BC$53))</formula>
    </cfRule>
  </conditionalFormatting>
  <conditionalFormatting sqref="A54">
    <cfRule type="cellIs" dxfId="1484" priority="42189" stopIfTrue="1" operator="notEqual">
      <formula>2</formula>
    </cfRule>
  </conditionalFormatting>
  <conditionalFormatting sqref="B54">
    <cfRule type="cellIs" dxfId="1483" priority="42190" stopIfTrue="1" operator="notEqual">
      <formula>3</formula>
    </cfRule>
  </conditionalFormatting>
  <conditionalFormatting sqref="C54">
    <cfRule type="cellIs" dxfId="1482" priority="42191" stopIfTrue="1" operator="notEqual">
      <formula>6</formula>
    </cfRule>
  </conditionalFormatting>
  <conditionalFormatting sqref="D54">
    <cfRule type="cellIs" dxfId="1481" priority="42192" stopIfTrue="1" operator="notEqual">
      <formula>7.365</formula>
    </cfRule>
  </conditionalFormatting>
  <conditionalFormatting sqref="E54">
    <cfRule type="cellIs" dxfId="1480" priority="42193" stopIfTrue="1" operator="notEqual">
      <formula>"MGD"</formula>
    </cfRule>
  </conditionalFormatting>
  <conditionalFormatting sqref="F54">
    <cfRule type="cellIs" dxfId="1479" priority="42194" stopIfTrue="1" operator="notEqual">
      <formula>3.2</formula>
    </cfRule>
  </conditionalFormatting>
  <conditionalFormatting sqref="G54">
    <cfRule type="cellIs" dxfId="1478" priority="42195" stopIfTrue="1" operator="notEqual">
      <formula>"MGD"</formula>
    </cfRule>
  </conditionalFormatting>
  <conditionalFormatting sqref="H54">
    <cfRule type="cellIs" dxfId="1477" priority="42196" stopIfTrue="1" operator="notEqual">
      <formula>"acetic acid"</formula>
    </cfRule>
  </conditionalFormatting>
  <conditionalFormatting sqref="I54">
    <cfRule type="cellIs" dxfId="1476" priority="42197" stopIfTrue="1" operator="notEqual">
      <formula>37.4</formula>
    </cfRule>
  </conditionalFormatting>
  <conditionalFormatting sqref="J54">
    <cfRule type="cellIs" dxfId="1475" priority="42198" stopIfTrue="1" operator="notEqual">
      <formula>15.3</formula>
    </cfRule>
  </conditionalFormatting>
  <conditionalFormatting sqref="K54">
    <cfRule type="cellIs" dxfId="1474" priority="42199" stopIfTrue="1" operator="notEqual">
      <formula>0</formula>
    </cfRule>
  </conditionalFormatting>
  <conditionalFormatting sqref="L54">
    <cfRule type="cellIs" dxfId="1473" priority="42200" stopIfTrue="1" operator="notEqual">
      <formula>12</formula>
    </cfRule>
  </conditionalFormatting>
  <conditionalFormatting sqref="M54">
    <cfRule type="cellIs" dxfId="1472" priority="42201" stopIfTrue="1" operator="notEqual">
      <formula>20.3</formula>
    </cfRule>
  </conditionalFormatting>
  <conditionalFormatting sqref="N54">
    <cfRule type="cellIs" dxfId="1471" priority="42202" stopIfTrue="1" operator="notEqual">
      <formula>"additional phosphorous required"</formula>
    </cfRule>
  </conditionalFormatting>
  <conditionalFormatting sqref="O54">
    <cfRule type="expression" dxfId="1470" priority="42203" stopIfTrue="1">
      <formula>NOT(ISBLANK($O$54))</formula>
    </cfRule>
  </conditionalFormatting>
  <conditionalFormatting sqref="P54">
    <cfRule type="cellIs" dxfId="1469" priority="42204" stopIfTrue="1" operator="notEqual">
      <formula>2</formula>
    </cfRule>
  </conditionalFormatting>
  <conditionalFormatting sqref="Q54">
    <cfRule type="cellIs" dxfId="1468" priority="42205" stopIfTrue="1" operator="notEqual">
      <formula>10</formula>
    </cfRule>
  </conditionalFormatting>
  <conditionalFormatting sqref="R54">
    <cfRule type="cellIs" dxfId="1467" priority="42206" stopIfTrue="1" operator="notEqual">
      <formula>"yes"</formula>
    </cfRule>
  </conditionalFormatting>
  <conditionalFormatting sqref="S54">
    <cfRule type="expression" dxfId="1466" priority="42207" stopIfTrue="1">
      <formula>NOT(ISBLANK($S$54))</formula>
    </cfRule>
  </conditionalFormatting>
  <conditionalFormatting sqref="T54">
    <cfRule type="expression" dxfId="1465" priority="42208" stopIfTrue="1">
      <formula>NOT(ISBLANK($T$54))</formula>
    </cfRule>
  </conditionalFormatting>
  <conditionalFormatting sqref="U54">
    <cfRule type="expression" dxfId="1464" priority="42209" stopIfTrue="1">
      <formula>NOT(ISBLANK($U$54))</formula>
    </cfRule>
  </conditionalFormatting>
  <conditionalFormatting sqref="V54">
    <cfRule type="expression" dxfId="1463" priority="42210" stopIfTrue="1">
      <formula>NOT(ISBLANK($V$54))</formula>
    </cfRule>
  </conditionalFormatting>
  <conditionalFormatting sqref="W54">
    <cfRule type="expression" dxfId="1462" priority="42211" stopIfTrue="1">
      <formula>NOT(ISBLANK($W$54))</formula>
    </cfRule>
  </conditionalFormatting>
  <conditionalFormatting sqref="X54">
    <cfRule type="expression" dxfId="1461" priority="42212" stopIfTrue="1">
      <formula>NOT(ISBLANK($X$54))</formula>
    </cfRule>
  </conditionalFormatting>
  <conditionalFormatting sqref="Y54">
    <cfRule type="expression" dxfId="1460" priority="42213" stopIfTrue="1">
      <formula>NOT(ISBLANK($Y$54))</formula>
    </cfRule>
  </conditionalFormatting>
  <conditionalFormatting sqref="Z54">
    <cfRule type="expression" dxfId="1459" priority="42214" stopIfTrue="1">
      <formula>NOT(ISBLANK($Z$54))</formula>
    </cfRule>
  </conditionalFormatting>
  <conditionalFormatting sqref="AA54">
    <cfRule type="cellIs" dxfId="1458" priority="42215" stopIfTrue="1" operator="notEqual">
      <formula>"aeration"</formula>
    </cfRule>
  </conditionalFormatting>
  <conditionalFormatting sqref="AB54">
    <cfRule type="cellIs" dxfId="1457" priority="42216" stopIfTrue="1" operator="notEqual">
      <formula>"yes"</formula>
    </cfRule>
  </conditionalFormatting>
  <conditionalFormatting sqref="AC54">
    <cfRule type="cellIs" dxfId="1456" priority="42217" stopIfTrue="1" operator="notEqual">
      <formula>"gravity basin"</formula>
    </cfRule>
  </conditionalFormatting>
  <conditionalFormatting sqref="AD54">
    <cfRule type="cellIs" dxfId="1455" priority="42218" stopIfTrue="1" operator="notEqual">
      <formula>"yes"</formula>
    </cfRule>
  </conditionalFormatting>
  <conditionalFormatting sqref="AE54">
    <cfRule type="cellIs" dxfId="1454" priority="42219" stopIfTrue="1" operator="notEqual">
      <formula>"yes"</formula>
    </cfRule>
  </conditionalFormatting>
  <conditionalFormatting sqref="AF54">
    <cfRule type="cellIs" dxfId="1453" priority="42220" stopIfTrue="1" operator="notEqual">
      <formula>13</formula>
    </cfRule>
  </conditionalFormatting>
  <conditionalFormatting sqref="AG54">
    <cfRule type="cellIs" dxfId="1452" priority="42221" stopIfTrue="1" operator="notEqual">
      <formula>13</formula>
    </cfRule>
  </conditionalFormatting>
  <conditionalFormatting sqref="AH54">
    <cfRule type="cellIs" dxfId="1451" priority="42222" stopIfTrue="1" operator="notEqual">
      <formula>6.8</formula>
    </cfRule>
  </conditionalFormatting>
  <conditionalFormatting sqref="AI54">
    <cfRule type="expression" dxfId="1450" priority="42223" stopIfTrue="1">
      <formula>NOT(ISBLANK($AI$54))</formula>
    </cfRule>
  </conditionalFormatting>
  <conditionalFormatting sqref="AJ54">
    <cfRule type="expression" dxfId="1449" priority="42224" stopIfTrue="1">
      <formula>NOT(ISBLANK($AJ$54))</formula>
    </cfRule>
  </conditionalFormatting>
  <conditionalFormatting sqref="AK54">
    <cfRule type="expression" dxfId="1448" priority="42225" stopIfTrue="1">
      <formula>NOT(ISBLANK($AK$54))</formula>
    </cfRule>
  </conditionalFormatting>
  <conditionalFormatting sqref="AL54">
    <cfRule type="expression" dxfId="1447" priority="42226" stopIfTrue="1">
      <formula>NOT(ISBLANK($AL$54))</formula>
    </cfRule>
  </conditionalFormatting>
  <conditionalFormatting sqref="AM54">
    <cfRule type="expression" dxfId="1446" priority="42227" stopIfTrue="1">
      <formula>NOT(ISBLANK($AM$54))</formula>
    </cfRule>
  </conditionalFormatting>
  <conditionalFormatting sqref="AN54">
    <cfRule type="expression" dxfId="1445" priority="42228" stopIfTrue="1">
      <formula>NOT(ISBLANK($AN$54))</formula>
    </cfRule>
  </conditionalFormatting>
  <conditionalFormatting sqref="AO54">
    <cfRule type="cellIs" dxfId="1444" priority="42229" stopIfTrue="1" operator="notEqual">
      <formula>36</formula>
    </cfRule>
  </conditionalFormatting>
  <conditionalFormatting sqref="AP54">
    <cfRule type="cellIs" dxfId="1443" priority="42230" stopIfTrue="1" operator="notEqual">
      <formula>"yes"</formula>
    </cfRule>
  </conditionalFormatting>
  <conditionalFormatting sqref="AQ54">
    <cfRule type="cellIs" dxfId="1442" priority="42231" stopIfTrue="1" operator="notEqual">
      <formula>"recycle"</formula>
    </cfRule>
  </conditionalFormatting>
  <conditionalFormatting sqref="AR54">
    <cfRule type="cellIs" dxfId="1441" priority="42232" stopIfTrue="1" operator="notEqual">
      <formula>"holding tank"</formula>
    </cfRule>
  </conditionalFormatting>
  <conditionalFormatting sqref="AS54">
    <cfRule type="cellIs" dxfId="1440" priority="42233" stopIfTrue="1" operator="notEqual">
      <formula>"none"</formula>
    </cfRule>
  </conditionalFormatting>
  <conditionalFormatting sqref="AT54">
    <cfRule type="cellIs" dxfId="1439" priority="42234" stopIfTrue="1" operator="notEqual">
      <formula>"non-hazardous"</formula>
    </cfRule>
  </conditionalFormatting>
  <conditionalFormatting sqref="AU54">
    <cfRule type="expression" dxfId="1438" priority="42235" stopIfTrue="1">
      <formula>NOT(ISBLANK($AU$54))</formula>
    </cfRule>
  </conditionalFormatting>
  <conditionalFormatting sqref="AV54">
    <cfRule type="expression" dxfId="1437" priority="42236" stopIfTrue="1">
      <formula>NOT(ISBLANK($AV$54))</formula>
    </cfRule>
  </conditionalFormatting>
  <conditionalFormatting sqref="AW54">
    <cfRule type="expression" dxfId="1436" priority="42237" stopIfTrue="1">
      <formula>NOT(ISBLANK($AW$54))</formula>
    </cfRule>
  </conditionalFormatting>
  <conditionalFormatting sqref="AX54">
    <cfRule type="expression" dxfId="1435" priority="42238" stopIfTrue="1">
      <formula>NOT(ISBLANK($AX$54))</formula>
    </cfRule>
  </conditionalFormatting>
  <conditionalFormatting sqref="AY54">
    <cfRule type="expression" dxfId="1434" priority="42239" stopIfTrue="1">
      <formula>NOT(ISBLANK($AY$54))</formula>
    </cfRule>
  </conditionalFormatting>
  <conditionalFormatting sqref="AZ54">
    <cfRule type="cellIs" dxfId="1433" priority="42240" stopIfTrue="1" operator="notEqual">
      <formula>"fully automated"</formula>
    </cfRule>
  </conditionalFormatting>
  <conditionalFormatting sqref="BA54">
    <cfRule type="expression" dxfId="1432" priority="42241" stopIfTrue="1">
      <formula>NOT(ISBLANK($BA$54))</formula>
    </cfRule>
  </conditionalFormatting>
  <conditionalFormatting sqref="BB54">
    <cfRule type="expression" dxfId="1431" priority="42242" stopIfTrue="1">
      <formula>NOT(ISBLANK($BB$54))</formula>
    </cfRule>
  </conditionalFormatting>
  <conditionalFormatting sqref="BC54">
    <cfRule type="expression" dxfId="1430" priority="42243" stopIfTrue="1">
      <formula>NOT(ISBLANK($BC$54))</formula>
    </cfRule>
  </conditionalFormatting>
  <conditionalFormatting sqref="A55">
    <cfRule type="cellIs" dxfId="1429" priority="42244" stopIfTrue="1" operator="notEqual">
      <formula>2</formula>
    </cfRule>
  </conditionalFormatting>
  <conditionalFormatting sqref="B55">
    <cfRule type="cellIs" dxfId="1428" priority="42245" stopIfTrue="1" operator="notEqual">
      <formula>3</formula>
    </cfRule>
  </conditionalFormatting>
  <conditionalFormatting sqref="C55">
    <cfRule type="cellIs" dxfId="1427" priority="42246" stopIfTrue="1" operator="notEqual">
      <formula>7</formula>
    </cfRule>
  </conditionalFormatting>
  <conditionalFormatting sqref="D55">
    <cfRule type="cellIs" dxfId="1426" priority="42247" stopIfTrue="1" operator="notEqual">
      <formula>22.614</formula>
    </cfRule>
  </conditionalFormatting>
  <conditionalFormatting sqref="E55">
    <cfRule type="cellIs" dxfId="1425" priority="42248" stopIfTrue="1" operator="notEqual">
      <formula>"MGD"</formula>
    </cfRule>
  </conditionalFormatting>
  <conditionalFormatting sqref="F55">
    <cfRule type="cellIs" dxfId="1424" priority="42249" stopIfTrue="1" operator="notEqual">
      <formula>11.066</formula>
    </cfRule>
  </conditionalFormatting>
  <conditionalFormatting sqref="G55">
    <cfRule type="cellIs" dxfId="1423" priority="42250" stopIfTrue="1" operator="notEqual">
      <formula>"MGD"</formula>
    </cfRule>
  </conditionalFormatting>
  <conditionalFormatting sqref="H55">
    <cfRule type="cellIs" dxfId="1422" priority="42251" stopIfTrue="1" operator="notEqual">
      <formula>"acetic acid"</formula>
    </cfRule>
  </conditionalFormatting>
  <conditionalFormatting sqref="I55">
    <cfRule type="cellIs" dxfId="1421" priority="42252" stopIfTrue="1" operator="notEqual">
      <formula>37.4</formula>
    </cfRule>
  </conditionalFormatting>
  <conditionalFormatting sqref="J55">
    <cfRule type="cellIs" dxfId="1420" priority="42253" stopIfTrue="1" operator="notEqual">
      <formula>15.3</formula>
    </cfRule>
  </conditionalFormatting>
  <conditionalFormatting sqref="K55">
    <cfRule type="cellIs" dxfId="1419" priority="42254" stopIfTrue="1" operator="notEqual">
      <formula>0</formula>
    </cfRule>
  </conditionalFormatting>
  <conditionalFormatting sqref="L55">
    <cfRule type="cellIs" dxfId="1418" priority="42255" stopIfTrue="1" operator="notEqual">
      <formula>12</formula>
    </cfRule>
  </conditionalFormatting>
  <conditionalFormatting sqref="M55">
    <cfRule type="cellIs" dxfId="1417" priority="42256" stopIfTrue="1" operator="notEqual">
      <formula>20.3</formula>
    </cfRule>
  </conditionalFormatting>
  <conditionalFormatting sqref="N55">
    <cfRule type="cellIs" dxfId="1416" priority="42257" stopIfTrue="1" operator="notEqual">
      <formula>"additional phosphorous required"</formula>
    </cfRule>
  </conditionalFormatting>
  <conditionalFormatting sqref="O55">
    <cfRule type="expression" dxfId="1415" priority="42258" stopIfTrue="1">
      <formula>NOT(ISBLANK($O$55))</formula>
    </cfRule>
  </conditionalFormatting>
  <conditionalFormatting sqref="P55">
    <cfRule type="cellIs" dxfId="1414" priority="42259" stopIfTrue="1" operator="notEqual">
      <formula>2</formula>
    </cfRule>
  </conditionalFormatting>
  <conditionalFormatting sqref="Q55">
    <cfRule type="cellIs" dxfId="1413" priority="42260" stopIfTrue="1" operator="notEqual">
      <formula>10</formula>
    </cfRule>
  </conditionalFormatting>
  <conditionalFormatting sqref="R55">
    <cfRule type="cellIs" dxfId="1412" priority="42261" stopIfTrue="1" operator="notEqual">
      <formula>"yes"</formula>
    </cfRule>
  </conditionalFormatting>
  <conditionalFormatting sqref="S55">
    <cfRule type="expression" dxfId="1411" priority="42262" stopIfTrue="1">
      <formula>NOT(ISBLANK($S$55))</formula>
    </cfRule>
  </conditionalFormatting>
  <conditionalFormatting sqref="T55">
    <cfRule type="expression" dxfId="1410" priority="42263" stopIfTrue="1">
      <formula>NOT(ISBLANK($T$55))</formula>
    </cfRule>
  </conditionalFormatting>
  <conditionalFormatting sqref="U55">
    <cfRule type="expression" dxfId="1409" priority="42264" stopIfTrue="1">
      <formula>NOT(ISBLANK($U$55))</formula>
    </cfRule>
  </conditionalFormatting>
  <conditionalFormatting sqref="V55">
    <cfRule type="expression" dxfId="1408" priority="42265" stopIfTrue="1">
      <formula>NOT(ISBLANK($V$55))</formula>
    </cfRule>
  </conditionalFormatting>
  <conditionalFormatting sqref="W55">
    <cfRule type="expression" dxfId="1407" priority="42266" stopIfTrue="1">
      <formula>NOT(ISBLANK($W$55))</formula>
    </cfRule>
  </conditionalFormatting>
  <conditionalFormatting sqref="X55">
    <cfRule type="expression" dxfId="1406" priority="42267" stopIfTrue="1">
      <formula>NOT(ISBLANK($X$55))</formula>
    </cfRule>
  </conditionalFormatting>
  <conditionalFormatting sqref="Y55">
    <cfRule type="expression" dxfId="1405" priority="42268" stopIfTrue="1">
      <formula>NOT(ISBLANK($Y$55))</formula>
    </cfRule>
  </conditionalFormatting>
  <conditionalFormatting sqref="Z55">
    <cfRule type="expression" dxfId="1404" priority="42269" stopIfTrue="1">
      <formula>NOT(ISBLANK($Z$55))</formula>
    </cfRule>
  </conditionalFormatting>
  <conditionalFormatting sqref="AA55">
    <cfRule type="cellIs" dxfId="1403" priority="42270" stopIfTrue="1" operator="notEqual">
      <formula>"aeration"</formula>
    </cfRule>
  </conditionalFormatting>
  <conditionalFormatting sqref="AB55">
    <cfRule type="cellIs" dxfId="1402" priority="42271" stopIfTrue="1" operator="notEqual">
      <formula>"yes"</formula>
    </cfRule>
  </conditionalFormatting>
  <conditionalFormatting sqref="AC55">
    <cfRule type="cellIs" dxfId="1401" priority="42272" stopIfTrue="1" operator="notEqual">
      <formula>"gravity basin"</formula>
    </cfRule>
  </conditionalFormatting>
  <conditionalFormatting sqref="AD55">
    <cfRule type="cellIs" dxfId="1400" priority="42273" stopIfTrue="1" operator="notEqual">
      <formula>"yes"</formula>
    </cfRule>
  </conditionalFormatting>
  <conditionalFormatting sqref="AE55">
    <cfRule type="cellIs" dxfId="1399" priority="42274" stopIfTrue="1" operator="notEqual">
      <formula>"yes"</formula>
    </cfRule>
  </conditionalFormatting>
  <conditionalFormatting sqref="AF55">
    <cfRule type="cellIs" dxfId="1398" priority="42275" stopIfTrue="1" operator="notEqual">
      <formula>13</formula>
    </cfRule>
  </conditionalFormatting>
  <conditionalFormatting sqref="AG55">
    <cfRule type="cellIs" dxfId="1397" priority="42276" stopIfTrue="1" operator="notEqual">
      <formula>13</formula>
    </cfRule>
  </conditionalFormatting>
  <conditionalFormatting sqref="AH55">
    <cfRule type="cellIs" dxfId="1396" priority="42277" stopIfTrue="1" operator="notEqual">
      <formula>8.9</formula>
    </cfRule>
  </conditionalFormatting>
  <conditionalFormatting sqref="AI55">
    <cfRule type="expression" dxfId="1395" priority="42278" stopIfTrue="1">
      <formula>NOT(ISBLANK($AI$55))</formula>
    </cfRule>
  </conditionalFormatting>
  <conditionalFormatting sqref="AJ55">
    <cfRule type="expression" dxfId="1394" priority="42279" stopIfTrue="1">
      <formula>NOT(ISBLANK($AJ$55))</formula>
    </cfRule>
  </conditionalFormatting>
  <conditionalFormatting sqref="AK55">
    <cfRule type="expression" dxfId="1393" priority="42280" stopIfTrue="1">
      <formula>NOT(ISBLANK($AK$55))</formula>
    </cfRule>
  </conditionalFormatting>
  <conditionalFormatting sqref="AL55">
    <cfRule type="expression" dxfId="1392" priority="42281" stopIfTrue="1">
      <formula>NOT(ISBLANK($AL$55))</formula>
    </cfRule>
  </conditionalFormatting>
  <conditionalFormatting sqref="AM55">
    <cfRule type="expression" dxfId="1391" priority="42282" stopIfTrue="1">
      <formula>NOT(ISBLANK($AM$55))</formula>
    </cfRule>
  </conditionalFormatting>
  <conditionalFormatting sqref="AN55">
    <cfRule type="expression" dxfId="1390" priority="42283" stopIfTrue="1">
      <formula>NOT(ISBLANK($AN$55))</formula>
    </cfRule>
  </conditionalFormatting>
  <conditionalFormatting sqref="AO55">
    <cfRule type="cellIs" dxfId="1389" priority="42284" stopIfTrue="1" operator="notEqual">
      <formula>36</formula>
    </cfRule>
  </conditionalFormatting>
  <conditionalFormatting sqref="AP55">
    <cfRule type="cellIs" dxfId="1388" priority="42285" stopIfTrue="1" operator="notEqual">
      <formula>"yes"</formula>
    </cfRule>
  </conditionalFormatting>
  <conditionalFormatting sqref="AQ55">
    <cfRule type="cellIs" dxfId="1387" priority="42286" stopIfTrue="1" operator="notEqual">
      <formula>"recycle"</formula>
    </cfRule>
  </conditionalFormatting>
  <conditionalFormatting sqref="AR55">
    <cfRule type="cellIs" dxfId="1386" priority="42287" stopIfTrue="1" operator="notEqual">
      <formula>"holding tank"</formula>
    </cfRule>
  </conditionalFormatting>
  <conditionalFormatting sqref="AS55">
    <cfRule type="cellIs" dxfId="1385" priority="42288" stopIfTrue="1" operator="notEqual">
      <formula>"none"</formula>
    </cfRule>
  </conditionalFormatting>
  <conditionalFormatting sqref="AT55">
    <cfRule type="cellIs" dxfId="1384" priority="42289" stopIfTrue="1" operator="notEqual">
      <formula>"non-hazardous"</formula>
    </cfRule>
  </conditionalFormatting>
  <conditionalFormatting sqref="AU55">
    <cfRule type="expression" dxfId="1383" priority="42290" stopIfTrue="1">
      <formula>NOT(ISBLANK($AU$55))</formula>
    </cfRule>
  </conditionalFormatting>
  <conditionalFormatting sqref="AV55">
    <cfRule type="expression" dxfId="1382" priority="42291" stopIfTrue="1">
      <formula>NOT(ISBLANK($AV$55))</formula>
    </cfRule>
  </conditionalFormatting>
  <conditionalFormatting sqref="AW55">
    <cfRule type="expression" dxfId="1381" priority="42292" stopIfTrue="1">
      <formula>NOT(ISBLANK($AW$55))</formula>
    </cfRule>
  </conditionalFormatting>
  <conditionalFormatting sqref="AX55">
    <cfRule type="expression" dxfId="1380" priority="42293" stopIfTrue="1">
      <formula>NOT(ISBLANK($AX$55))</formula>
    </cfRule>
  </conditionalFormatting>
  <conditionalFormatting sqref="AY55">
    <cfRule type="expression" dxfId="1379" priority="42294" stopIfTrue="1">
      <formula>NOT(ISBLANK($AY$55))</formula>
    </cfRule>
  </conditionalFormatting>
  <conditionalFormatting sqref="AZ55">
    <cfRule type="cellIs" dxfId="1378" priority="42295" stopIfTrue="1" operator="notEqual">
      <formula>"fully automated"</formula>
    </cfRule>
  </conditionalFormatting>
  <conditionalFormatting sqref="BA55">
    <cfRule type="expression" dxfId="1377" priority="42296" stopIfTrue="1">
      <formula>NOT(ISBLANK($BA$55))</formula>
    </cfRule>
  </conditionalFormatting>
  <conditionalFormatting sqref="BB55">
    <cfRule type="expression" dxfId="1376" priority="42297" stopIfTrue="1">
      <formula>NOT(ISBLANK($BB$55))</formula>
    </cfRule>
  </conditionalFormatting>
  <conditionalFormatting sqref="BC55">
    <cfRule type="expression" dxfId="1375" priority="42298" stopIfTrue="1">
      <formula>NOT(ISBLANK($BC$55))</formula>
    </cfRule>
  </conditionalFormatting>
  <conditionalFormatting sqref="A56">
    <cfRule type="cellIs" dxfId="1374" priority="42299" stopIfTrue="1" operator="notEqual">
      <formula>2</formula>
    </cfRule>
  </conditionalFormatting>
  <conditionalFormatting sqref="B56">
    <cfRule type="cellIs" dxfId="1373" priority="42300" stopIfTrue="1" operator="notEqual">
      <formula>3</formula>
    </cfRule>
  </conditionalFormatting>
  <conditionalFormatting sqref="C56">
    <cfRule type="cellIs" dxfId="1372" priority="42301" stopIfTrue="1" operator="notEqual">
      <formula>8</formula>
    </cfRule>
  </conditionalFormatting>
  <conditionalFormatting sqref="D56">
    <cfRule type="cellIs" dxfId="1371" priority="42302" stopIfTrue="1" operator="notEqual">
      <formula>75.072</formula>
    </cfRule>
  </conditionalFormatting>
  <conditionalFormatting sqref="E56">
    <cfRule type="cellIs" dxfId="1370" priority="42303" stopIfTrue="1" operator="notEqual">
      <formula>"MGD"</formula>
    </cfRule>
  </conditionalFormatting>
  <conditionalFormatting sqref="F56">
    <cfRule type="cellIs" dxfId="1369" priority="42304" stopIfTrue="1" operator="notEqual">
      <formula>37.536</formula>
    </cfRule>
  </conditionalFormatting>
  <conditionalFormatting sqref="G56">
    <cfRule type="cellIs" dxfId="1368" priority="42305" stopIfTrue="1" operator="notEqual">
      <formula>"MGD"</formula>
    </cfRule>
  </conditionalFormatting>
  <conditionalFormatting sqref="H56">
    <cfRule type="cellIs" dxfId="1367" priority="42306" stopIfTrue="1" operator="notEqual">
      <formula>"acetic acid"</formula>
    </cfRule>
  </conditionalFormatting>
  <conditionalFormatting sqref="I56">
    <cfRule type="cellIs" dxfId="1366" priority="42307" stopIfTrue="1" operator="notEqual">
      <formula>37.4</formula>
    </cfRule>
  </conditionalFormatting>
  <conditionalFormatting sqref="J56">
    <cfRule type="cellIs" dxfId="1365" priority="42308" stopIfTrue="1" operator="notEqual">
      <formula>15.3</formula>
    </cfRule>
  </conditionalFormatting>
  <conditionalFormatting sqref="K56">
    <cfRule type="cellIs" dxfId="1364" priority="42309" stopIfTrue="1" operator="notEqual">
      <formula>0</formula>
    </cfRule>
  </conditionalFormatting>
  <conditionalFormatting sqref="L56">
    <cfRule type="cellIs" dxfId="1363" priority="42310" stopIfTrue="1" operator="notEqual">
      <formula>12</formula>
    </cfRule>
  </conditionalFormatting>
  <conditionalFormatting sqref="M56">
    <cfRule type="cellIs" dxfId="1362" priority="42311" stopIfTrue="1" operator="notEqual">
      <formula>20.3</formula>
    </cfRule>
  </conditionalFormatting>
  <conditionalFormatting sqref="N56">
    <cfRule type="cellIs" dxfId="1361" priority="42312" stopIfTrue="1" operator="notEqual">
      <formula>"additional phosphorous required"</formula>
    </cfRule>
  </conditionalFormatting>
  <conditionalFormatting sqref="O56">
    <cfRule type="expression" dxfId="1360" priority="42313" stopIfTrue="1">
      <formula>NOT(ISBLANK($O$56))</formula>
    </cfRule>
  </conditionalFormatting>
  <conditionalFormatting sqref="P56">
    <cfRule type="cellIs" dxfId="1359" priority="42314" stopIfTrue="1" operator="notEqual">
      <formula>2</formula>
    </cfRule>
  </conditionalFormatting>
  <conditionalFormatting sqref="Q56">
    <cfRule type="cellIs" dxfId="1358" priority="42315" stopIfTrue="1" operator="notEqual">
      <formula>10</formula>
    </cfRule>
  </conditionalFormatting>
  <conditionalFormatting sqref="R56">
    <cfRule type="cellIs" dxfId="1357" priority="42316" stopIfTrue="1" operator="notEqual">
      <formula>"yes"</formula>
    </cfRule>
  </conditionalFormatting>
  <conditionalFormatting sqref="S56">
    <cfRule type="expression" dxfId="1356" priority="42317" stopIfTrue="1">
      <formula>NOT(ISBLANK($S$56))</formula>
    </cfRule>
  </conditionalFormatting>
  <conditionalFormatting sqref="T56">
    <cfRule type="expression" dxfId="1355" priority="42318" stopIfTrue="1">
      <formula>NOT(ISBLANK($T$56))</formula>
    </cfRule>
  </conditionalFormatting>
  <conditionalFormatting sqref="U56">
    <cfRule type="expression" dxfId="1354" priority="42319" stopIfTrue="1">
      <formula>NOT(ISBLANK($U$56))</formula>
    </cfRule>
  </conditionalFormatting>
  <conditionalFormatting sqref="V56">
    <cfRule type="expression" dxfId="1353" priority="42320" stopIfTrue="1">
      <formula>NOT(ISBLANK($V$56))</formula>
    </cfRule>
  </conditionalFormatting>
  <conditionalFormatting sqref="W56">
    <cfRule type="expression" dxfId="1352" priority="42321" stopIfTrue="1">
      <formula>NOT(ISBLANK($W$56))</formula>
    </cfRule>
  </conditionalFormatting>
  <conditionalFormatting sqref="X56">
    <cfRule type="expression" dxfId="1351" priority="42322" stopIfTrue="1">
      <formula>NOT(ISBLANK($X$56))</formula>
    </cfRule>
  </conditionalFormatting>
  <conditionalFormatting sqref="Y56">
    <cfRule type="expression" dxfId="1350" priority="42323" stopIfTrue="1">
      <formula>NOT(ISBLANK($Y$56))</formula>
    </cfRule>
  </conditionalFormatting>
  <conditionalFormatting sqref="Z56">
    <cfRule type="expression" dxfId="1349" priority="42324" stopIfTrue="1">
      <formula>NOT(ISBLANK($Z$56))</formula>
    </cfRule>
  </conditionalFormatting>
  <conditionalFormatting sqref="AA56">
    <cfRule type="cellIs" dxfId="1348" priority="42325" stopIfTrue="1" operator="notEqual">
      <formula>"aeration"</formula>
    </cfRule>
  </conditionalFormatting>
  <conditionalFormatting sqref="AB56">
    <cfRule type="cellIs" dxfId="1347" priority="42326" stopIfTrue="1" operator="notEqual">
      <formula>"yes"</formula>
    </cfRule>
  </conditionalFormatting>
  <conditionalFormatting sqref="AC56">
    <cfRule type="cellIs" dxfId="1346" priority="42327" stopIfTrue="1" operator="notEqual">
      <formula>"gravity basin"</formula>
    </cfRule>
  </conditionalFormatting>
  <conditionalFormatting sqref="AD56">
    <cfRule type="cellIs" dxfId="1345" priority="42328" stopIfTrue="1" operator="notEqual">
      <formula>"yes"</formula>
    </cfRule>
  </conditionalFormatting>
  <conditionalFormatting sqref="AE56">
    <cfRule type="cellIs" dxfId="1344" priority="42329" stopIfTrue="1" operator="notEqual">
      <formula>"yes"</formula>
    </cfRule>
  </conditionalFormatting>
  <conditionalFormatting sqref="AF56">
    <cfRule type="cellIs" dxfId="1343" priority="42330" stopIfTrue="1" operator="notEqual">
      <formula>30</formula>
    </cfRule>
  </conditionalFormatting>
  <conditionalFormatting sqref="AG56">
    <cfRule type="cellIs" dxfId="1342" priority="42331" stopIfTrue="1" operator="notEqual">
      <formula>30</formula>
    </cfRule>
  </conditionalFormatting>
  <conditionalFormatting sqref="AH56">
    <cfRule type="cellIs" dxfId="1341" priority="42332" stopIfTrue="1" operator="notEqual">
      <formula>9.7</formula>
    </cfRule>
  </conditionalFormatting>
  <conditionalFormatting sqref="AI56">
    <cfRule type="expression" dxfId="1340" priority="42333" stopIfTrue="1">
      <formula>NOT(ISBLANK($AI$56))</formula>
    </cfRule>
  </conditionalFormatting>
  <conditionalFormatting sqref="AJ56">
    <cfRule type="expression" dxfId="1339" priority="42334" stopIfTrue="1">
      <formula>NOT(ISBLANK($AJ$56))</formula>
    </cfRule>
  </conditionalFormatting>
  <conditionalFormatting sqref="AK56">
    <cfRule type="expression" dxfId="1338" priority="42335" stopIfTrue="1">
      <formula>NOT(ISBLANK($AK$56))</formula>
    </cfRule>
  </conditionalFormatting>
  <conditionalFormatting sqref="AL56">
    <cfRule type="expression" dxfId="1337" priority="42336" stopIfTrue="1">
      <formula>NOT(ISBLANK($AL$56))</formula>
    </cfRule>
  </conditionalFormatting>
  <conditionalFormatting sqref="AM56">
    <cfRule type="expression" dxfId="1336" priority="42337" stopIfTrue="1">
      <formula>NOT(ISBLANK($AM$56))</formula>
    </cfRule>
  </conditionalFormatting>
  <conditionalFormatting sqref="AN56">
    <cfRule type="expression" dxfId="1335" priority="42338" stopIfTrue="1">
      <formula>NOT(ISBLANK($AN$56))</formula>
    </cfRule>
  </conditionalFormatting>
  <conditionalFormatting sqref="AO56">
    <cfRule type="cellIs" dxfId="1334" priority="42339" stopIfTrue="1" operator="notEqual">
      <formula>36</formula>
    </cfRule>
  </conditionalFormatting>
  <conditionalFormatting sqref="AP56">
    <cfRule type="cellIs" dxfId="1333" priority="42340" stopIfTrue="1" operator="notEqual">
      <formula>"yes"</formula>
    </cfRule>
  </conditionalFormatting>
  <conditionalFormatting sqref="AQ56">
    <cfRule type="cellIs" dxfId="1332" priority="42341" stopIfTrue="1" operator="notEqual">
      <formula>"recycle"</formula>
    </cfRule>
  </conditionalFormatting>
  <conditionalFormatting sqref="AR56">
    <cfRule type="cellIs" dxfId="1331" priority="42342" stopIfTrue="1" operator="notEqual">
      <formula>"holding tank"</formula>
    </cfRule>
  </conditionalFormatting>
  <conditionalFormatting sqref="AS56">
    <cfRule type="cellIs" dxfId="1330" priority="42343" stopIfTrue="1" operator="notEqual">
      <formula>"none"</formula>
    </cfRule>
  </conditionalFormatting>
  <conditionalFormatting sqref="AT56">
    <cfRule type="cellIs" dxfId="1329" priority="42344" stopIfTrue="1" operator="notEqual">
      <formula>"non-hazardous"</formula>
    </cfRule>
  </conditionalFormatting>
  <conditionalFormatting sqref="AU56">
    <cfRule type="expression" dxfId="1328" priority="42345" stopIfTrue="1">
      <formula>NOT(ISBLANK($AU$56))</formula>
    </cfRule>
  </conditionalFormatting>
  <conditionalFormatting sqref="AV56">
    <cfRule type="expression" dxfId="1327" priority="42346" stopIfTrue="1">
      <formula>NOT(ISBLANK($AV$56))</formula>
    </cfRule>
  </conditionalFormatting>
  <conditionalFormatting sqref="AW56">
    <cfRule type="expression" dxfId="1326" priority="42347" stopIfTrue="1">
      <formula>NOT(ISBLANK($AW$56))</formula>
    </cfRule>
  </conditionalFormatting>
  <conditionalFormatting sqref="AX56">
    <cfRule type="expression" dxfId="1325" priority="42348" stopIfTrue="1">
      <formula>NOT(ISBLANK($AX$56))</formula>
    </cfRule>
  </conditionalFormatting>
  <conditionalFormatting sqref="AY56">
    <cfRule type="expression" dxfId="1324" priority="42349" stopIfTrue="1">
      <formula>NOT(ISBLANK($AY$56))</formula>
    </cfRule>
  </conditionalFormatting>
  <conditionalFormatting sqref="AZ56">
    <cfRule type="cellIs" dxfId="1323" priority="42350" stopIfTrue="1" operator="notEqual">
      <formula>"fully automated"</formula>
    </cfRule>
  </conditionalFormatting>
  <conditionalFormatting sqref="BA56">
    <cfRule type="expression" dxfId="1322" priority="42351" stopIfTrue="1">
      <formula>NOT(ISBLANK($BA$56))</formula>
    </cfRule>
  </conditionalFormatting>
  <conditionalFormatting sqref="BB56">
    <cfRule type="expression" dxfId="1321" priority="42352" stopIfTrue="1">
      <formula>NOT(ISBLANK($BB$56))</formula>
    </cfRule>
  </conditionalFormatting>
  <conditionalFormatting sqref="BC56">
    <cfRule type="expression" dxfId="1320" priority="42353" stopIfTrue="1">
      <formula>NOT(ISBLANK($BC$56))</formula>
    </cfRule>
  </conditionalFormatting>
  <conditionalFormatting sqref="A57">
    <cfRule type="cellIs" dxfId="1319" priority="42354" stopIfTrue="1" operator="notEqual">
      <formula>3</formula>
    </cfRule>
  </conditionalFormatting>
  <conditionalFormatting sqref="B57">
    <cfRule type="cellIs" dxfId="1318" priority="42355" stopIfTrue="1" operator="notEqual">
      <formula>1</formula>
    </cfRule>
  </conditionalFormatting>
  <conditionalFormatting sqref="C57">
    <cfRule type="cellIs" dxfId="1317" priority="42356" stopIfTrue="1" operator="notEqual">
      <formula>1</formula>
    </cfRule>
  </conditionalFormatting>
  <conditionalFormatting sqref="D57">
    <cfRule type="cellIs" dxfId="1316" priority="42357" stopIfTrue="1" operator="notEqual">
      <formula>0.03</formula>
    </cfRule>
  </conditionalFormatting>
  <conditionalFormatting sqref="E57">
    <cfRule type="cellIs" dxfId="1315" priority="42358" stopIfTrue="1" operator="notEqual">
      <formula>"MGD"</formula>
    </cfRule>
  </conditionalFormatting>
  <conditionalFormatting sqref="F57">
    <cfRule type="cellIs" dxfId="1314" priority="42359" stopIfTrue="1" operator="notEqual">
      <formula>0.007</formula>
    </cfRule>
  </conditionalFormatting>
  <conditionalFormatting sqref="G57">
    <cfRule type="cellIs" dxfId="1313" priority="42360" stopIfTrue="1" operator="notEqual">
      <formula>"MGD"</formula>
    </cfRule>
  </conditionalFormatting>
  <conditionalFormatting sqref="H57">
    <cfRule type="expression" dxfId="1312" priority="42361" stopIfTrue="1">
      <formula>NOT(ISBLANK($H$57))</formula>
    </cfRule>
  </conditionalFormatting>
  <conditionalFormatting sqref="I57">
    <cfRule type="expression" dxfId="1311" priority="42362" stopIfTrue="1">
      <formula>NOT(ISBLANK($I$57))</formula>
    </cfRule>
  </conditionalFormatting>
  <conditionalFormatting sqref="J57">
    <cfRule type="expression" dxfId="1310" priority="42363" stopIfTrue="1">
      <formula>NOT(ISBLANK($J$57))</formula>
    </cfRule>
  </conditionalFormatting>
  <conditionalFormatting sqref="K57">
    <cfRule type="expression" dxfId="1309" priority="42364" stopIfTrue="1">
      <formula>NOT(ISBLANK($K$57))</formula>
    </cfRule>
  </conditionalFormatting>
  <conditionalFormatting sqref="L57">
    <cfRule type="expression" dxfId="1308" priority="42365" stopIfTrue="1">
      <formula>NOT(ISBLANK($L$57))</formula>
    </cfRule>
  </conditionalFormatting>
  <conditionalFormatting sqref="M57">
    <cfRule type="expression" dxfId="1307" priority="42366" stopIfTrue="1">
      <formula>NOT(ISBLANK($M$57))</formula>
    </cfRule>
  </conditionalFormatting>
  <conditionalFormatting sqref="N57">
    <cfRule type="expression" dxfId="1306" priority="42367" stopIfTrue="1">
      <formula>NOT(ISBLANK($N$57))</formula>
    </cfRule>
  </conditionalFormatting>
  <conditionalFormatting sqref="O57">
    <cfRule type="expression" dxfId="1305" priority="42368" stopIfTrue="1">
      <formula>NOT(ISBLANK($O$57))</formula>
    </cfRule>
  </conditionalFormatting>
  <conditionalFormatting sqref="P57">
    <cfRule type="expression" dxfId="1304" priority="42369" stopIfTrue="1">
      <formula>NOT(ISBLANK($P$57))</formula>
    </cfRule>
  </conditionalFormatting>
  <conditionalFormatting sqref="Q57">
    <cfRule type="expression" dxfId="1303" priority="42370" stopIfTrue="1">
      <formula>NOT(ISBLANK($Q$57))</formula>
    </cfRule>
  </conditionalFormatting>
  <conditionalFormatting sqref="R57">
    <cfRule type="expression" dxfId="1302" priority="42371" stopIfTrue="1">
      <formula>NOT(ISBLANK($R$57))</formula>
    </cfRule>
  </conditionalFormatting>
  <conditionalFormatting sqref="S57">
    <cfRule type="expression" dxfId="1301" priority="42372" stopIfTrue="1">
      <formula>NOT(ISBLANK($S$57))</formula>
    </cfRule>
  </conditionalFormatting>
  <conditionalFormatting sqref="T57">
    <cfRule type="expression" dxfId="1300" priority="42373" stopIfTrue="1">
      <formula>NOT(ISBLANK($T$57))</formula>
    </cfRule>
  </conditionalFormatting>
  <conditionalFormatting sqref="U57">
    <cfRule type="expression" dxfId="1299" priority="42374" stopIfTrue="1">
      <formula>NOT(ISBLANK($U$57))</formula>
    </cfRule>
  </conditionalFormatting>
  <conditionalFormatting sqref="V57">
    <cfRule type="expression" dxfId="1298" priority="42375" stopIfTrue="1">
      <formula>NOT(ISBLANK($V$57))</formula>
    </cfRule>
  </conditionalFormatting>
  <conditionalFormatting sqref="W57">
    <cfRule type="expression" dxfId="1297" priority="42376" stopIfTrue="1">
      <formula>NOT(ISBLANK($W$57))</formula>
    </cfRule>
  </conditionalFormatting>
  <conditionalFormatting sqref="X57">
    <cfRule type="expression" dxfId="1296" priority="42377" stopIfTrue="1">
      <formula>NOT(ISBLANK($X$57))</formula>
    </cfRule>
  </conditionalFormatting>
  <conditionalFormatting sqref="Y57">
    <cfRule type="expression" dxfId="1295" priority="42378" stopIfTrue="1">
      <formula>NOT(ISBLANK($Y$57))</formula>
    </cfRule>
  </conditionalFormatting>
  <conditionalFormatting sqref="Z57">
    <cfRule type="expression" dxfId="1294" priority="42379" stopIfTrue="1">
      <formula>NOT(ISBLANK($Z$57))</formula>
    </cfRule>
  </conditionalFormatting>
  <conditionalFormatting sqref="AA57">
    <cfRule type="expression" dxfId="1293" priority="42380" stopIfTrue="1">
      <formula>NOT(ISBLANK($AA$57))</formula>
    </cfRule>
  </conditionalFormatting>
  <conditionalFormatting sqref="AB57">
    <cfRule type="expression" dxfId="1292" priority="42381" stopIfTrue="1">
      <formula>NOT(ISBLANK($AB$57))</formula>
    </cfRule>
  </conditionalFormatting>
  <conditionalFormatting sqref="AC57">
    <cfRule type="expression" dxfId="1291" priority="42382" stopIfTrue="1">
      <formula>NOT(ISBLANK($AC$57))</formula>
    </cfRule>
  </conditionalFormatting>
  <conditionalFormatting sqref="AD57">
    <cfRule type="expression" dxfId="1290" priority="42383" stopIfTrue="1">
      <formula>NOT(ISBLANK($AD$57))</formula>
    </cfRule>
  </conditionalFormatting>
  <conditionalFormatting sqref="AE57">
    <cfRule type="expression" dxfId="1289" priority="42384" stopIfTrue="1">
      <formula>NOT(ISBLANK($AE$57))</formula>
    </cfRule>
  </conditionalFormatting>
  <conditionalFormatting sqref="AF57">
    <cfRule type="expression" dxfId="1288" priority="42385" stopIfTrue="1">
      <formula>NOT(ISBLANK($AF$57))</formula>
    </cfRule>
  </conditionalFormatting>
  <conditionalFormatting sqref="AG57">
    <cfRule type="expression" dxfId="1287" priority="42386" stopIfTrue="1">
      <formula>NOT(ISBLANK($AG$57))</formula>
    </cfRule>
  </conditionalFormatting>
  <conditionalFormatting sqref="AH57">
    <cfRule type="expression" dxfId="1286" priority="42387" stopIfTrue="1">
      <formula>NOT(ISBLANK($AH$57))</formula>
    </cfRule>
  </conditionalFormatting>
  <conditionalFormatting sqref="AI57">
    <cfRule type="expression" dxfId="1285" priority="42388" stopIfTrue="1">
      <formula>NOT(ISBLANK($AI$57))</formula>
    </cfRule>
  </conditionalFormatting>
  <conditionalFormatting sqref="AJ57">
    <cfRule type="expression" dxfId="1284" priority="42389" stopIfTrue="1">
      <formula>NOT(ISBLANK($AJ$57))</formula>
    </cfRule>
  </conditionalFormatting>
  <conditionalFormatting sqref="AK57">
    <cfRule type="expression" dxfId="1283" priority="42390" stopIfTrue="1">
      <formula>NOT(ISBLANK($AK$57))</formula>
    </cfRule>
  </conditionalFormatting>
  <conditionalFormatting sqref="AL57">
    <cfRule type="expression" dxfId="1282" priority="42391" stopIfTrue="1">
      <formula>NOT(ISBLANK($AL$57))</formula>
    </cfRule>
  </conditionalFormatting>
  <conditionalFormatting sqref="AM57">
    <cfRule type="expression" dxfId="1281" priority="42392" stopIfTrue="1">
      <formula>NOT(ISBLANK($AM$57))</formula>
    </cfRule>
  </conditionalFormatting>
  <conditionalFormatting sqref="AN57">
    <cfRule type="expression" dxfId="1280" priority="42393" stopIfTrue="1">
      <formula>NOT(ISBLANK($AN$57))</formula>
    </cfRule>
  </conditionalFormatting>
  <conditionalFormatting sqref="AO57">
    <cfRule type="expression" dxfId="1279" priority="42394" stopIfTrue="1">
      <formula>NOT(ISBLANK($AO$57))</formula>
    </cfRule>
  </conditionalFormatting>
  <conditionalFormatting sqref="AP57">
    <cfRule type="expression" dxfId="1278" priority="42395" stopIfTrue="1">
      <formula>NOT(ISBLANK($AP$57))</formula>
    </cfRule>
  </conditionalFormatting>
  <conditionalFormatting sqref="AQ57">
    <cfRule type="expression" dxfId="1277" priority="42396" stopIfTrue="1">
      <formula>NOT(ISBLANK($AQ$57))</formula>
    </cfRule>
  </conditionalFormatting>
  <conditionalFormatting sqref="AR57">
    <cfRule type="expression" dxfId="1276" priority="42397" stopIfTrue="1">
      <formula>NOT(ISBLANK($AR$57))</formula>
    </cfRule>
  </conditionalFormatting>
  <conditionalFormatting sqref="AS57">
    <cfRule type="expression" dxfId="1275" priority="42398" stopIfTrue="1">
      <formula>NOT(ISBLANK($AS$57))</formula>
    </cfRule>
  </conditionalFormatting>
  <conditionalFormatting sqref="AT57">
    <cfRule type="expression" dxfId="1274" priority="42399" stopIfTrue="1">
      <formula>NOT(ISBLANK($AT$57))</formula>
    </cfRule>
  </conditionalFormatting>
  <conditionalFormatting sqref="AU57">
    <cfRule type="expression" dxfId="1273" priority="42400" stopIfTrue="1">
      <formula>NOT(ISBLANK($AU$57))</formula>
    </cfRule>
  </conditionalFormatting>
  <conditionalFormatting sqref="AV57">
    <cfRule type="expression" dxfId="1272" priority="42401" stopIfTrue="1">
      <formula>NOT(ISBLANK($AV$57))</formula>
    </cfRule>
  </conditionalFormatting>
  <conditionalFormatting sqref="AW57">
    <cfRule type="expression" dxfId="1271" priority="42402" stopIfTrue="1">
      <formula>NOT(ISBLANK($AW$57))</formula>
    </cfRule>
  </conditionalFormatting>
  <conditionalFormatting sqref="AX57">
    <cfRule type="expression" dxfId="1270" priority="42403" stopIfTrue="1">
      <formula>NOT(ISBLANK($AX$57))</formula>
    </cfRule>
  </conditionalFormatting>
  <conditionalFormatting sqref="AY57">
    <cfRule type="expression" dxfId="1269" priority="42404" stopIfTrue="1">
      <formula>NOT(ISBLANK($AY$57))</formula>
    </cfRule>
  </conditionalFormatting>
  <conditionalFormatting sqref="AZ57">
    <cfRule type="cellIs" dxfId="1268" priority="42405" stopIfTrue="1" operator="notEqual">
      <formula>"fully automated"</formula>
    </cfRule>
  </conditionalFormatting>
  <conditionalFormatting sqref="BA57">
    <cfRule type="expression" dxfId="1267" priority="42406" stopIfTrue="1">
      <formula>NOT(ISBLANK($BA$57))</formula>
    </cfRule>
  </conditionalFormatting>
  <conditionalFormatting sqref="BB57">
    <cfRule type="expression" dxfId="1266" priority="42407" stopIfTrue="1">
      <formula>NOT(ISBLANK($BB$57))</formula>
    </cfRule>
  </conditionalFormatting>
  <conditionalFormatting sqref="BC57">
    <cfRule type="expression" dxfId="1265" priority="42408" stopIfTrue="1">
      <formula>NOT(ISBLANK($BC$57))</formula>
    </cfRule>
  </conditionalFormatting>
  <conditionalFormatting sqref="A58">
    <cfRule type="cellIs" dxfId="1264" priority="42409" stopIfTrue="1" operator="notEqual">
      <formula>3</formula>
    </cfRule>
  </conditionalFormatting>
  <conditionalFormatting sqref="B58">
    <cfRule type="cellIs" dxfId="1263" priority="42410" stopIfTrue="1" operator="notEqual">
      <formula>1</formula>
    </cfRule>
  </conditionalFormatting>
  <conditionalFormatting sqref="C58">
    <cfRule type="cellIs" dxfId="1262" priority="42411" stopIfTrue="1" operator="notEqual">
      <formula>2</formula>
    </cfRule>
  </conditionalFormatting>
  <conditionalFormatting sqref="D58">
    <cfRule type="cellIs" dxfId="1261" priority="42412" stopIfTrue="1" operator="notEqual">
      <formula>0.124</formula>
    </cfRule>
  </conditionalFormatting>
  <conditionalFormatting sqref="E58">
    <cfRule type="cellIs" dxfId="1260" priority="42413" stopIfTrue="1" operator="notEqual">
      <formula>"MGD"</formula>
    </cfRule>
  </conditionalFormatting>
  <conditionalFormatting sqref="F58">
    <cfRule type="cellIs" dxfId="1259" priority="42414" stopIfTrue="1" operator="notEqual">
      <formula>0.035</formula>
    </cfRule>
  </conditionalFormatting>
  <conditionalFormatting sqref="G58">
    <cfRule type="cellIs" dxfId="1258" priority="42415" stopIfTrue="1" operator="notEqual">
      <formula>"MGD"</formula>
    </cfRule>
  </conditionalFormatting>
  <conditionalFormatting sqref="H58">
    <cfRule type="expression" dxfId="1257" priority="42416" stopIfTrue="1">
      <formula>NOT(ISBLANK($H$58))</formula>
    </cfRule>
  </conditionalFormatting>
  <conditionalFormatting sqref="I58">
    <cfRule type="expression" dxfId="1256" priority="42417" stopIfTrue="1">
      <formula>NOT(ISBLANK($I$58))</formula>
    </cfRule>
  </conditionalFormatting>
  <conditionalFormatting sqref="J58">
    <cfRule type="expression" dxfId="1255" priority="42418" stopIfTrue="1">
      <formula>NOT(ISBLANK($J$58))</formula>
    </cfRule>
  </conditionalFormatting>
  <conditionalFormatting sqref="K58">
    <cfRule type="expression" dxfId="1254" priority="42419" stopIfTrue="1">
      <formula>NOT(ISBLANK($K$58))</formula>
    </cfRule>
  </conditionalFormatting>
  <conditionalFormatting sqref="L58">
    <cfRule type="expression" dxfId="1253" priority="42420" stopIfTrue="1">
      <formula>NOT(ISBLANK($L$58))</formula>
    </cfRule>
  </conditionalFormatting>
  <conditionalFormatting sqref="M58">
    <cfRule type="expression" dxfId="1252" priority="42421" stopIfTrue="1">
      <formula>NOT(ISBLANK($M$58))</formula>
    </cfRule>
  </conditionalFormatting>
  <conditionalFormatting sqref="N58">
    <cfRule type="expression" dxfId="1251" priority="42422" stopIfTrue="1">
      <formula>NOT(ISBLANK($N$58))</formula>
    </cfRule>
  </conditionalFormatting>
  <conditionalFormatting sqref="O58">
    <cfRule type="expression" dxfId="1250" priority="42423" stopIfTrue="1">
      <formula>NOT(ISBLANK($O$58))</formula>
    </cfRule>
  </conditionalFormatting>
  <conditionalFormatting sqref="P58">
    <cfRule type="expression" dxfId="1249" priority="42424" stopIfTrue="1">
      <formula>NOT(ISBLANK($P$58))</formula>
    </cfRule>
  </conditionalFormatting>
  <conditionalFormatting sqref="Q58">
    <cfRule type="expression" dxfId="1248" priority="42425" stopIfTrue="1">
      <formula>NOT(ISBLANK($Q$58))</formula>
    </cfRule>
  </conditionalFormatting>
  <conditionalFormatting sqref="R58">
    <cfRule type="expression" dxfId="1247" priority="42426" stopIfTrue="1">
      <formula>NOT(ISBLANK($R$58))</formula>
    </cfRule>
  </conditionalFormatting>
  <conditionalFormatting sqref="S58">
    <cfRule type="expression" dxfId="1246" priority="42427" stopIfTrue="1">
      <formula>NOT(ISBLANK($S$58))</formula>
    </cfRule>
  </conditionalFormatting>
  <conditionalFormatting sqref="T58">
    <cfRule type="expression" dxfId="1245" priority="42428" stopIfTrue="1">
      <formula>NOT(ISBLANK($T$58))</formula>
    </cfRule>
  </conditionalFormatting>
  <conditionalFormatting sqref="U58">
    <cfRule type="expression" dxfId="1244" priority="42429" stopIfTrue="1">
      <formula>NOT(ISBLANK($U$58))</formula>
    </cfRule>
  </conditionalFormatting>
  <conditionalFormatting sqref="V58">
    <cfRule type="expression" dxfId="1243" priority="42430" stopIfTrue="1">
      <formula>NOT(ISBLANK($V$58))</formula>
    </cfRule>
  </conditionalFormatting>
  <conditionalFormatting sqref="W58">
    <cfRule type="expression" dxfId="1242" priority="42431" stopIfTrue="1">
      <formula>NOT(ISBLANK($W$58))</formula>
    </cfRule>
  </conditionalFormatting>
  <conditionalFormatting sqref="X58">
    <cfRule type="expression" dxfId="1241" priority="42432" stopIfTrue="1">
      <formula>NOT(ISBLANK($X$58))</formula>
    </cfRule>
  </conditionalFormatting>
  <conditionalFormatting sqref="Y58">
    <cfRule type="expression" dxfId="1240" priority="42433" stopIfTrue="1">
      <formula>NOT(ISBLANK($Y$58))</formula>
    </cfRule>
  </conditionalFormatting>
  <conditionalFormatting sqref="Z58">
    <cfRule type="expression" dxfId="1239" priority="42434" stopIfTrue="1">
      <formula>NOT(ISBLANK($Z$58))</formula>
    </cfRule>
  </conditionalFormatting>
  <conditionalFormatting sqref="AA58">
    <cfRule type="expression" dxfId="1238" priority="42435" stopIfTrue="1">
      <formula>NOT(ISBLANK($AA$58))</formula>
    </cfRule>
  </conditionalFormatting>
  <conditionalFormatting sqref="AB58">
    <cfRule type="expression" dxfId="1237" priority="42436" stopIfTrue="1">
      <formula>NOT(ISBLANK($AB$58))</formula>
    </cfRule>
  </conditionalFormatting>
  <conditionalFormatting sqref="AC58">
    <cfRule type="expression" dxfId="1236" priority="42437" stopIfTrue="1">
      <formula>NOT(ISBLANK($AC$58))</formula>
    </cfRule>
  </conditionalFormatting>
  <conditionalFormatting sqref="AD58">
    <cfRule type="expression" dxfId="1235" priority="42438" stopIfTrue="1">
      <formula>NOT(ISBLANK($AD$58))</formula>
    </cfRule>
  </conditionalFormatting>
  <conditionalFormatting sqref="AE58">
    <cfRule type="expression" dxfId="1234" priority="42439" stopIfTrue="1">
      <formula>NOT(ISBLANK($AE$58))</formula>
    </cfRule>
  </conditionalFormatting>
  <conditionalFormatting sqref="AF58">
    <cfRule type="expression" dxfId="1233" priority="42440" stopIfTrue="1">
      <formula>NOT(ISBLANK($AF$58))</formula>
    </cfRule>
  </conditionalFormatting>
  <conditionalFormatting sqref="AG58">
    <cfRule type="expression" dxfId="1232" priority="42441" stopIfTrue="1">
      <formula>NOT(ISBLANK($AG$58))</formula>
    </cfRule>
  </conditionalFormatting>
  <conditionalFormatting sqref="AH58">
    <cfRule type="expression" dxfId="1231" priority="42442" stopIfTrue="1">
      <formula>NOT(ISBLANK($AH$58))</formula>
    </cfRule>
  </conditionalFormatting>
  <conditionalFormatting sqref="AI58">
    <cfRule type="expression" dxfId="1230" priority="42443" stopIfTrue="1">
      <formula>NOT(ISBLANK($AI$58))</formula>
    </cfRule>
  </conditionalFormatting>
  <conditionalFormatting sqref="AJ58">
    <cfRule type="expression" dxfId="1229" priority="42444" stopIfTrue="1">
      <formula>NOT(ISBLANK($AJ$58))</formula>
    </cfRule>
  </conditionalFormatting>
  <conditionalFormatting sqref="AK58">
    <cfRule type="expression" dxfId="1228" priority="42445" stopIfTrue="1">
      <formula>NOT(ISBLANK($AK$58))</formula>
    </cfRule>
  </conditionalFormatting>
  <conditionalFormatting sqref="AL58">
    <cfRule type="expression" dxfId="1227" priority="42446" stopIfTrue="1">
      <formula>NOT(ISBLANK($AL$58))</formula>
    </cfRule>
  </conditionalFormatting>
  <conditionalFormatting sqref="AM58">
    <cfRule type="expression" dxfId="1226" priority="42447" stopIfTrue="1">
      <formula>NOT(ISBLANK($AM$58))</formula>
    </cfRule>
  </conditionalFormatting>
  <conditionalFormatting sqref="AN58">
    <cfRule type="expression" dxfId="1225" priority="42448" stopIfTrue="1">
      <formula>NOT(ISBLANK($AN$58))</formula>
    </cfRule>
  </conditionalFormatting>
  <conditionalFormatting sqref="AO58">
    <cfRule type="expression" dxfId="1224" priority="42449" stopIfTrue="1">
      <formula>NOT(ISBLANK($AO$58))</formula>
    </cfRule>
  </conditionalFormatting>
  <conditionalFormatting sqref="AP58">
    <cfRule type="expression" dxfId="1223" priority="42450" stopIfTrue="1">
      <formula>NOT(ISBLANK($AP$58))</formula>
    </cfRule>
  </conditionalFormatting>
  <conditionalFormatting sqref="AQ58">
    <cfRule type="expression" dxfId="1222" priority="42451" stopIfTrue="1">
      <formula>NOT(ISBLANK($AQ$58))</formula>
    </cfRule>
  </conditionalFormatting>
  <conditionalFormatting sqref="AR58">
    <cfRule type="expression" dxfId="1221" priority="42452" stopIfTrue="1">
      <formula>NOT(ISBLANK($AR$58))</formula>
    </cfRule>
  </conditionalFormatting>
  <conditionalFormatting sqref="AS58">
    <cfRule type="expression" dxfId="1220" priority="42453" stopIfTrue="1">
      <formula>NOT(ISBLANK($AS$58))</formula>
    </cfRule>
  </conditionalFormatting>
  <conditionalFormatting sqref="AT58">
    <cfRule type="expression" dxfId="1219" priority="42454" stopIfTrue="1">
      <formula>NOT(ISBLANK($AT$58))</formula>
    </cfRule>
  </conditionalFormatting>
  <conditionalFormatting sqref="AU58">
    <cfRule type="expression" dxfId="1218" priority="42455" stopIfTrue="1">
      <formula>NOT(ISBLANK($AU$58))</formula>
    </cfRule>
  </conditionalFormatting>
  <conditionalFormatting sqref="AV58">
    <cfRule type="expression" dxfId="1217" priority="42456" stopIfTrue="1">
      <formula>NOT(ISBLANK($AV$58))</formula>
    </cfRule>
  </conditionalFormatting>
  <conditionalFormatting sqref="AW58">
    <cfRule type="expression" dxfId="1216" priority="42457" stopIfTrue="1">
      <formula>NOT(ISBLANK($AW$58))</formula>
    </cfRule>
  </conditionalFormatting>
  <conditionalFormatting sqref="AX58">
    <cfRule type="expression" dxfId="1215" priority="42458" stopIfTrue="1">
      <formula>NOT(ISBLANK($AX$58))</formula>
    </cfRule>
  </conditionalFormatting>
  <conditionalFormatting sqref="AY58">
    <cfRule type="expression" dxfId="1214" priority="42459" stopIfTrue="1">
      <formula>NOT(ISBLANK($AY$58))</formula>
    </cfRule>
  </conditionalFormatting>
  <conditionalFormatting sqref="AZ58">
    <cfRule type="cellIs" dxfId="1213" priority="42460" stopIfTrue="1" operator="notEqual">
      <formula>"fully automated"</formula>
    </cfRule>
  </conditionalFormatting>
  <conditionalFormatting sqref="BA58">
    <cfRule type="expression" dxfId="1212" priority="42461" stopIfTrue="1">
      <formula>NOT(ISBLANK($BA$58))</formula>
    </cfRule>
  </conditionalFormatting>
  <conditionalFormatting sqref="BB58">
    <cfRule type="expression" dxfId="1211" priority="42462" stopIfTrue="1">
      <formula>NOT(ISBLANK($BB$58))</formula>
    </cfRule>
  </conditionalFormatting>
  <conditionalFormatting sqref="BC58">
    <cfRule type="expression" dxfId="1210" priority="42463" stopIfTrue="1">
      <formula>NOT(ISBLANK($BC$58))</formula>
    </cfRule>
  </conditionalFormatting>
  <conditionalFormatting sqref="A59">
    <cfRule type="cellIs" dxfId="1209" priority="42464" stopIfTrue="1" operator="notEqual">
      <formula>3</formula>
    </cfRule>
  </conditionalFormatting>
  <conditionalFormatting sqref="B59">
    <cfRule type="cellIs" dxfId="1208" priority="42465" stopIfTrue="1" operator="notEqual">
      <formula>1</formula>
    </cfRule>
  </conditionalFormatting>
  <conditionalFormatting sqref="C59">
    <cfRule type="cellIs" dxfId="1207" priority="42466" stopIfTrue="1" operator="notEqual">
      <formula>3</formula>
    </cfRule>
  </conditionalFormatting>
  <conditionalFormatting sqref="D59">
    <cfRule type="cellIs" dxfId="1206" priority="42467" stopIfTrue="1" operator="notEqual">
      <formula>0.305</formula>
    </cfRule>
  </conditionalFormatting>
  <conditionalFormatting sqref="E59">
    <cfRule type="cellIs" dxfId="1205" priority="42468" stopIfTrue="1" operator="notEqual">
      <formula>"MGD"</formula>
    </cfRule>
  </conditionalFormatting>
  <conditionalFormatting sqref="F59">
    <cfRule type="cellIs" dxfId="1204" priority="42469" stopIfTrue="1" operator="notEqual">
      <formula>0.094</formula>
    </cfRule>
  </conditionalFormatting>
  <conditionalFormatting sqref="G59">
    <cfRule type="cellIs" dxfId="1203" priority="42470" stopIfTrue="1" operator="notEqual">
      <formula>"MGD"</formula>
    </cfRule>
  </conditionalFormatting>
  <conditionalFormatting sqref="H59">
    <cfRule type="expression" dxfId="1202" priority="42471" stopIfTrue="1">
      <formula>NOT(ISBLANK($H$59))</formula>
    </cfRule>
  </conditionalFormatting>
  <conditionalFormatting sqref="I59">
    <cfRule type="expression" dxfId="1201" priority="42472" stopIfTrue="1">
      <formula>NOT(ISBLANK($I$59))</formula>
    </cfRule>
  </conditionalFormatting>
  <conditionalFormatting sqref="J59">
    <cfRule type="expression" dxfId="1200" priority="42473" stopIfTrue="1">
      <formula>NOT(ISBLANK($J$59))</formula>
    </cfRule>
  </conditionalFormatting>
  <conditionalFormatting sqref="K59">
    <cfRule type="expression" dxfId="1199" priority="42474" stopIfTrue="1">
      <formula>NOT(ISBLANK($K$59))</formula>
    </cfRule>
  </conditionalFormatting>
  <conditionalFormatting sqref="L59">
    <cfRule type="expression" dxfId="1198" priority="42475" stopIfTrue="1">
      <formula>NOT(ISBLANK($L$59))</formula>
    </cfRule>
  </conditionalFormatting>
  <conditionalFormatting sqref="M59">
    <cfRule type="expression" dxfId="1197" priority="42476" stopIfTrue="1">
      <formula>NOT(ISBLANK($M$59))</formula>
    </cfRule>
  </conditionalFormatting>
  <conditionalFormatting sqref="N59">
    <cfRule type="expression" dxfId="1196" priority="42477" stopIfTrue="1">
      <formula>NOT(ISBLANK($N$59))</formula>
    </cfRule>
  </conditionalFormatting>
  <conditionalFormatting sqref="O59">
    <cfRule type="expression" dxfId="1195" priority="42478" stopIfTrue="1">
      <formula>NOT(ISBLANK($O$59))</formula>
    </cfRule>
  </conditionalFormatting>
  <conditionalFormatting sqref="P59">
    <cfRule type="expression" dxfId="1194" priority="42479" stopIfTrue="1">
      <formula>NOT(ISBLANK($P$59))</formula>
    </cfRule>
  </conditionalFormatting>
  <conditionalFormatting sqref="Q59">
    <cfRule type="expression" dxfId="1193" priority="42480" stopIfTrue="1">
      <formula>NOT(ISBLANK($Q$59))</formula>
    </cfRule>
  </conditionalFormatting>
  <conditionalFormatting sqref="R59">
    <cfRule type="expression" dxfId="1192" priority="42481" stopIfTrue="1">
      <formula>NOT(ISBLANK($R$59))</formula>
    </cfRule>
  </conditionalFormatting>
  <conditionalFormatting sqref="S59">
    <cfRule type="expression" dxfId="1191" priority="42482" stopIfTrue="1">
      <formula>NOT(ISBLANK($S$59))</formula>
    </cfRule>
  </conditionalFormatting>
  <conditionalFormatting sqref="T59">
    <cfRule type="expression" dxfId="1190" priority="42483" stopIfTrue="1">
      <formula>NOT(ISBLANK($T$59))</formula>
    </cfRule>
  </conditionalFormatting>
  <conditionalFormatting sqref="U59">
    <cfRule type="expression" dxfId="1189" priority="42484" stopIfTrue="1">
      <formula>NOT(ISBLANK($U$59))</formula>
    </cfRule>
  </conditionalFormatting>
  <conditionalFormatting sqref="V59">
    <cfRule type="expression" dxfId="1188" priority="42485" stopIfTrue="1">
      <formula>NOT(ISBLANK($V$59))</formula>
    </cfRule>
  </conditionalFormatting>
  <conditionalFormatting sqref="W59">
    <cfRule type="expression" dxfId="1187" priority="42486" stopIfTrue="1">
      <formula>NOT(ISBLANK($W$59))</formula>
    </cfRule>
  </conditionalFormatting>
  <conditionalFormatting sqref="X59">
    <cfRule type="expression" dxfId="1186" priority="42487" stopIfTrue="1">
      <formula>NOT(ISBLANK($X$59))</formula>
    </cfRule>
  </conditionalFormatting>
  <conditionalFormatting sqref="Y59">
    <cfRule type="expression" dxfId="1185" priority="42488" stopIfTrue="1">
      <formula>NOT(ISBLANK($Y$59))</formula>
    </cfRule>
  </conditionalFormatting>
  <conditionalFormatting sqref="Z59">
    <cfRule type="expression" dxfId="1184" priority="42489" stopIfTrue="1">
      <formula>NOT(ISBLANK($Z$59))</formula>
    </cfRule>
  </conditionalFormatting>
  <conditionalFormatting sqref="AA59">
    <cfRule type="expression" dxfId="1183" priority="42490" stopIfTrue="1">
      <formula>NOT(ISBLANK($AA$59))</formula>
    </cfRule>
  </conditionalFormatting>
  <conditionalFormatting sqref="AB59">
    <cfRule type="expression" dxfId="1182" priority="42491" stopIfTrue="1">
      <formula>NOT(ISBLANK($AB$59))</formula>
    </cfRule>
  </conditionalFormatting>
  <conditionalFormatting sqref="AC59">
    <cfRule type="expression" dxfId="1181" priority="42492" stopIfTrue="1">
      <formula>NOT(ISBLANK($AC$59))</formula>
    </cfRule>
  </conditionalFormatting>
  <conditionalFormatting sqref="AD59">
    <cfRule type="expression" dxfId="1180" priority="42493" stopIfTrue="1">
      <formula>NOT(ISBLANK($AD$59))</formula>
    </cfRule>
  </conditionalFormatting>
  <conditionalFormatting sqref="AE59">
    <cfRule type="expression" dxfId="1179" priority="42494" stopIfTrue="1">
      <formula>NOT(ISBLANK($AE$59))</formula>
    </cfRule>
  </conditionalFormatting>
  <conditionalFormatting sqref="AF59">
    <cfRule type="expression" dxfId="1178" priority="42495" stopIfTrue="1">
      <formula>NOT(ISBLANK($AF$59))</formula>
    </cfRule>
  </conditionalFormatting>
  <conditionalFormatting sqref="AG59">
    <cfRule type="expression" dxfId="1177" priority="42496" stopIfTrue="1">
      <formula>NOT(ISBLANK($AG$59))</formula>
    </cfRule>
  </conditionalFormatting>
  <conditionalFormatting sqref="AH59">
    <cfRule type="expression" dxfId="1176" priority="42497" stopIfTrue="1">
      <formula>NOT(ISBLANK($AH$59))</formula>
    </cfRule>
  </conditionalFormatting>
  <conditionalFormatting sqref="AI59">
    <cfRule type="expression" dxfId="1175" priority="42498" stopIfTrue="1">
      <formula>NOT(ISBLANK($AI$59))</formula>
    </cfRule>
  </conditionalFormatting>
  <conditionalFormatting sqref="AJ59">
    <cfRule type="expression" dxfId="1174" priority="42499" stopIfTrue="1">
      <formula>NOT(ISBLANK($AJ$59))</formula>
    </cfRule>
  </conditionalFormatting>
  <conditionalFormatting sqref="AK59">
    <cfRule type="expression" dxfId="1173" priority="42500" stopIfTrue="1">
      <formula>NOT(ISBLANK($AK$59))</formula>
    </cfRule>
  </conditionalFormatting>
  <conditionalFormatting sqref="AL59">
    <cfRule type="expression" dxfId="1172" priority="42501" stopIfTrue="1">
      <formula>NOT(ISBLANK($AL$59))</formula>
    </cfRule>
  </conditionalFormatting>
  <conditionalFormatting sqref="AM59">
    <cfRule type="expression" dxfId="1171" priority="42502" stopIfTrue="1">
      <formula>NOT(ISBLANK($AM$59))</formula>
    </cfRule>
  </conditionalFormatting>
  <conditionalFormatting sqref="AN59">
    <cfRule type="expression" dxfId="1170" priority="42503" stopIfTrue="1">
      <formula>NOT(ISBLANK($AN$59))</formula>
    </cfRule>
  </conditionalFormatting>
  <conditionalFormatting sqref="AO59">
    <cfRule type="expression" dxfId="1169" priority="42504" stopIfTrue="1">
      <formula>NOT(ISBLANK($AO$59))</formula>
    </cfRule>
  </conditionalFormatting>
  <conditionalFormatting sqref="AP59">
    <cfRule type="expression" dxfId="1168" priority="42505" stopIfTrue="1">
      <formula>NOT(ISBLANK($AP$59))</formula>
    </cfRule>
  </conditionalFormatting>
  <conditionalFormatting sqref="AQ59">
    <cfRule type="expression" dxfId="1167" priority="42506" stopIfTrue="1">
      <formula>NOT(ISBLANK($AQ$59))</formula>
    </cfRule>
  </conditionalFormatting>
  <conditionalFormatting sqref="AR59">
    <cfRule type="expression" dxfId="1166" priority="42507" stopIfTrue="1">
      <formula>NOT(ISBLANK($AR$59))</formula>
    </cfRule>
  </conditionalFormatting>
  <conditionalFormatting sqref="AS59">
    <cfRule type="expression" dxfId="1165" priority="42508" stopIfTrue="1">
      <formula>NOT(ISBLANK($AS$59))</formula>
    </cfRule>
  </conditionalFormatting>
  <conditionalFormatting sqref="AT59">
    <cfRule type="expression" dxfId="1164" priority="42509" stopIfTrue="1">
      <formula>NOT(ISBLANK($AT$59))</formula>
    </cfRule>
  </conditionalFormatting>
  <conditionalFormatting sqref="AU59">
    <cfRule type="expression" dxfId="1163" priority="42510" stopIfTrue="1">
      <formula>NOT(ISBLANK($AU$59))</formula>
    </cfRule>
  </conditionalFormatting>
  <conditionalFormatting sqref="AV59">
    <cfRule type="expression" dxfId="1162" priority="42511" stopIfTrue="1">
      <formula>NOT(ISBLANK($AV$59))</formula>
    </cfRule>
  </conditionalFormatting>
  <conditionalFormatting sqref="AW59">
    <cfRule type="expression" dxfId="1161" priority="42512" stopIfTrue="1">
      <formula>NOT(ISBLANK($AW$59))</formula>
    </cfRule>
  </conditionalFormatting>
  <conditionalFormatting sqref="AX59">
    <cfRule type="expression" dxfId="1160" priority="42513" stopIfTrue="1">
      <formula>NOT(ISBLANK($AX$59))</formula>
    </cfRule>
  </conditionalFormatting>
  <conditionalFormatting sqref="AY59">
    <cfRule type="expression" dxfId="1159" priority="42514" stopIfTrue="1">
      <formula>NOT(ISBLANK($AY$59))</formula>
    </cfRule>
  </conditionalFormatting>
  <conditionalFormatting sqref="AZ59">
    <cfRule type="cellIs" dxfId="1158" priority="42515" stopIfTrue="1" operator="notEqual">
      <formula>"fully automated"</formula>
    </cfRule>
  </conditionalFormatting>
  <conditionalFormatting sqref="BA59">
    <cfRule type="expression" dxfId="1157" priority="42516" stopIfTrue="1">
      <formula>NOT(ISBLANK($BA$59))</formula>
    </cfRule>
  </conditionalFormatting>
  <conditionalFormatting sqref="BB59">
    <cfRule type="expression" dxfId="1156" priority="42517" stopIfTrue="1">
      <formula>NOT(ISBLANK($BB$59))</formula>
    </cfRule>
  </conditionalFormatting>
  <conditionalFormatting sqref="BC59">
    <cfRule type="expression" dxfId="1155" priority="42518" stopIfTrue="1">
      <formula>NOT(ISBLANK($BC$59))</formula>
    </cfRule>
  </conditionalFormatting>
  <conditionalFormatting sqref="A60">
    <cfRule type="cellIs" dxfId="1154" priority="42519" stopIfTrue="1" operator="notEqual">
      <formula>3</formula>
    </cfRule>
  </conditionalFormatting>
  <conditionalFormatting sqref="B60">
    <cfRule type="cellIs" dxfId="1153" priority="42520" stopIfTrue="1" operator="notEqual">
      <formula>1</formula>
    </cfRule>
  </conditionalFormatting>
  <conditionalFormatting sqref="C60">
    <cfRule type="cellIs" dxfId="1152" priority="42521" stopIfTrue="1" operator="notEqual">
      <formula>4</formula>
    </cfRule>
  </conditionalFormatting>
  <conditionalFormatting sqref="D60">
    <cfRule type="cellIs" dxfId="1151" priority="42522" stopIfTrue="1" operator="notEqual">
      <formula>0.74</formula>
    </cfRule>
  </conditionalFormatting>
  <conditionalFormatting sqref="E60">
    <cfRule type="cellIs" dxfId="1150" priority="42523" stopIfTrue="1" operator="notEqual">
      <formula>"MGD"</formula>
    </cfRule>
  </conditionalFormatting>
  <conditionalFormatting sqref="F60">
    <cfRule type="cellIs" dxfId="1149" priority="42524" stopIfTrue="1" operator="notEqual">
      <formula>0.251</formula>
    </cfRule>
  </conditionalFormatting>
  <conditionalFormatting sqref="G60">
    <cfRule type="cellIs" dxfId="1148" priority="42525" stopIfTrue="1" operator="notEqual">
      <formula>"MGD"</formula>
    </cfRule>
  </conditionalFormatting>
  <conditionalFormatting sqref="H60">
    <cfRule type="expression" dxfId="1147" priority="42526" stopIfTrue="1">
      <formula>NOT(ISBLANK($H$60))</formula>
    </cfRule>
  </conditionalFormatting>
  <conditionalFormatting sqref="I60">
    <cfRule type="expression" dxfId="1146" priority="42527" stopIfTrue="1">
      <formula>NOT(ISBLANK($I$60))</formula>
    </cfRule>
  </conditionalFormatting>
  <conditionalFormatting sqref="J60">
    <cfRule type="expression" dxfId="1145" priority="42528" stopIfTrue="1">
      <formula>NOT(ISBLANK($J$60))</formula>
    </cfRule>
  </conditionalFormatting>
  <conditionalFormatting sqref="K60">
    <cfRule type="expression" dxfId="1144" priority="42529" stopIfTrue="1">
      <formula>NOT(ISBLANK($K$60))</formula>
    </cfRule>
  </conditionalFormatting>
  <conditionalFormatting sqref="L60">
    <cfRule type="expression" dxfId="1143" priority="42530" stopIfTrue="1">
      <formula>NOT(ISBLANK($L$60))</formula>
    </cfRule>
  </conditionalFormatting>
  <conditionalFormatting sqref="M60">
    <cfRule type="expression" dxfId="1142" priority="42531" stopIfTrue="1">
      <formula>NOT(ISBLANK($M$60))</formula>
    </cfRule>
  </conditionalFormatting>
  <conditionalFormatting sqref="N60">
    <cfRule type="expression" dxfId="1141" priority="42532" stopIfTrue="1">
      <formula>NOT(ISBLANK($N$60))</formula>
    </cfRule>
  </conditionalFormatting>
  <conditionalFormatting sqref="O60">
    <cfRule type="expression" dxfId="1140" priority="42533" stopIfTrue="1">
      <formula>NOT(ISBLANK($O$60))</formula>
    </cfRule>
  </conditionalFormatting>
  <conditionalFormatting sqref="P60">
    <cfRule type="expression" dxfId="1139" priority="42534" stopIfTrue="1">
      <formula>NOT(ISBLANK($P$60))</formula>
    </cfRule>
  </conditionalFormatting>
  <conditionalFormatting sqref="Q60">
    <cfRule type="expression" dxfId="1138" priority="42535" stopIfTrue="1">
      <formula>NOT(ISBLANK($Q$60))</formula>
    </cfRule>
  </conditionalFormatting>
  <conditionalFormatting sqref="R60">
    <cfRule type="expression" dxfId="1137" priority="42536" stopIfTrue="1">
      <formula>NOT(ISBLANK($R$60))</formula>
    </cfRule>
  </conditionalFormatting>
  <conditionalFormatting sqref="S60">
    <cfRule type="expression" dxfId="1136" priority="42537" stopIfTrue="1">
      <formula>NOT(ISBLANK($S$60))</formula>
    </cfRule>
  </conditionalFormatting>
  <conditionalFormatting sqref="T60">
    <cfRule type="expression" dxfId="1135" priority="42538" stopIfTrue="1">
      <formula>NOT(ISBLANK($T$60))</formula>
    </cfRule>
  </conditionalFormatting>
  <conditionalFormatting sqref="U60">
    <cfRule type="expression" dxfId="1134" priority="42539" stopIfTrue="1">
      <formula>NOT(ISBLANK($U$60))</formula>
    </cfRule>
  </conditionalFormatting>
  <conditionalFormatting sqref="V60">
    <cfRule type="expression" dxfId="1133" priority="42540" stopIfTrue="1">
      <formula>NOT(ISBLANK($V$60))</formula>
    </cfRule>
  </conditionalFormatting>
  <conditionalFormatting sqref="W60">
    <cfRule type="expression" dxfId="1132" priority="42541" stopIfTrue="1">
      <formula>NOT(ISBLANK($W$60))</formula>
    </cfRule>
  </conditionalFormatting>
  <conditionalFormatting sqref="X60">
    <cfRule type="expression" dxfId="1131" priority="42542" stopIfTrue="1">
      <formula>NOT(ISBLANK($X$60))</formula>
    </cfRule>
  </conditionalFormatting>
  <conditionalFormatting sqref="Y60">
    <cfRule type="expression" dxfId="1130" priority="42543" stopIfTrue="1">
      <formula>NOT(ISBLANK($Y$60))</formula>
    </cfRule>
  </conditionalFormatting>
  <conditionalFormatting sqref="Z60">
    <cfRule type="expression" dxfId="1129" priority="42544" stopIfTrue="1">
      <formula>NOT(ISBLANK($Z$60))</formula>
    </cfRule>
  </conditionalFormatting>
  <conditionalFormatting sqref="AA60">
    <cfRule type="expression" dxfId="1128" priority="42545" stopIfTrue="1">
      <formula>NOT(ISBLANK($AA$60))</formula>
    </cfRule>
  </conditionalFormatting>
  <conditionalFormatting sqref="AB60">
    <cfRule type="expression" dxfId="1127" priority="42546" stopIfTrue="1">
      <formula>NOT(ISBLANK($AB$60))</formula>
    </cfRule>
  </conditionalFormatting>
  <conditionalFormatting sqref="AC60">
    <cfRule type="expression" dxfId="1126" priority="42547" stopIfTrue="1">
      <formula>NOT(ISBLANK($AC$60))</formula>
    </cfRule>
  </conditionalFormatting>
  <conditionalFormatting sqref="AD60">
    <cfRule type="expression" dxfId="1125" priority="42548" stopIfTrue="1">
      <formula>NOT(ISBLANK($AD$60))</formula>
    </cfRule>
  </conditionalFormatting>
  <conditionalFormatting sqref="AE60">
    <cfRule type="expression" dxfId="1124" priority="42549" stopIfTrue="1">
      <formula>NOT(ISBLANK($AE$60))</formula>
    </cfRule>
  </conditionalFormatting>
  <conditionalFormatting sqref="AF60">
    <cfRule type="expression" dxfId="1123" priority="42550" stopIfTrue="1">
      <formula>NOT(ISBLANK($AF$60))</formula>
    </cfRule>
  </conditionalFormatting>
  <conditionalFormatting sqref="AG60">
    <cfRule type="expression" dxfId="1122" priority="42551" stopIfTrue="1">
      <formula>NOT(ISBLANK($AG$60))</formula>
    </cfRule>
  </conditionalFormatting>
  <conditionalFormatting sqref="AH60">
    <cfRule type="expression" dxfId="1121" priority="42552" stopIfTrue="1">
      <formula>NOT(ISBLANK($AH$60))</formula>
    </cfRule>
  </conditionalFormatting>
  <conditionalFormatting sqref="AI60">
    <cfRule type="expression" dxfId="1120" priority="42553" stopIfTrue="1">
      <formula>NOT(ISBLANK($AI$60))</formula>
    </cfRule>
  </conditionalFormatting>
  <conditionalFormatting sqref="AJ60">
    <cfRule type="expression" dxfId="1119" priority="42554" stopIfTrue="1">
      <formula>NOT(ISBLANK($AJ$60))</formula>
    </cfRule>
  </conditionalFormatting>
  <conditionalFormatting sqref="AK60">
    <cfRule type="expression" dxfId="1118" priority="42555" stopIfTrue="1">
      <formula>NOT(ISBLANK($AK$60))</formula>
    </cfRule>
  </conditionalFormatting>
  <conditionalFormatting sqref="AL60">
    <cfRule type="expression" dxfId="1117" priority="42556" stopIfTrue="1">
      <formula>NOT(ISBLANK($AL$60))</formula>
    </cfRule>
  </conditionalFormatting>
  <conditionalFormatting sqref="AM60">
    <cfRule type="expression" dxfId="1116" priority="42557" stopIfTrue="1">
      <formula>NOT(ISBLANK($AM$60))</formula>
    </cfRule>
  </conditionalFormatting>
  <conditionalFormatting sqref="AN60">
    <cfRule type="expression" dxfId="1115" priority="42558" stopIfTrue="1">
      <formula>NOT(ISBLANK($AN$60))</formula>
    </cfRule>
  </conditionalFormatting>
  <conditionalFormatting sqref="AO60">
    <cfRule type="expression" dxfId="1114" priority="42559" stopIfTrue="1">
      <formula>NOT(ISBLANK($AO$60))</formula>
    </cfRule>
  </conditionalFormatting>
  <conditionalFormatting sqref="AP60">
    <cfRule type="expression" dxfId="1113" priority="42560" stopIfTrue="1">
      <formula>NOT(ISBLANK($AP$60))</formula>
    </cfRule>
  </conditionalFormatting>
  <conditionalFormatting sqref="AQ60">
    <cfRule type="expression" dxfId="1112" priority="42561" stopIfTrue="1">
      <formula>NOT(ISBLANK($AQ$60))</formula>
    </cfRule>
  </conditionalFormatting>
  <conditionalFormatting sqref="AR60">
    <cfRule type="expression" dxfId="1111" priority="42562" stopIfTrue="1">
      <formula>NOT(ISBLANK($AR$60))</formula>
    </cfRule>
  </conditionalFormatting>
  <conditionalFormatting sqref="AS60">
    <cfRule type="expression" dxfId="1110" priority="42563" stopIfTrue="1">
      <formula>NOT(ISBLANK($AS$60))</formula>
    </cfRule>
  </conditionalFormatting>
  <conditionalFormatting sqref="AT60">
    <cfRule type="expression" dxfId="1109" priority="42564" stopIfTrue="1">
      <formula>NOT(ISBLANK($AT$60))</formula>
    </cfRule>
  </conditionalFormatting>
  <conditionalFormatting sqref="AU60">
    <cfRule type="expression" dxfId="1108" priority="42565" stopIfTrue="1">
      <formula>NOT(ISBLANK($AU$60))</formula>
    </cfRule>
  </conditionalFormatting>
  <conditionalFormatting sqref="AV60">
    <cfRule type="expression" dxfId="1107" priority="42566" stopIfTrue="1">
      <formula>NOT(ISBLANK($AV$60))</formula>
    </cfRule>
  </conditionalFormatting>
  <conditionalFormatting sqref="AW60">
    <cfRule type="expression" dxfId="1106" priority="42567" stopIfTrue="1">
      <formula>NOT(ISBLANK($AW$60))</formula>
    </cfRule>
  </conditionalFormatting>
  <conditionalFormatting sqref="AX60">
    <cfRule type="expression" dxfId="1105" priority="42568" stopIfTrue="1">
      <formula>NOT(ISBLANK($AX$60))</formula>
    </cfRule>
  </conditionalFormatting>
  <conditionalFormatting sqref="AY60">
    <cfRule type="expression" dxfId="1104" priority="42569" stopIfTrue="1">
      <formula>NOT(ISBLANK($AY$60))</formula>
    </cfRule>
  </conditionalFormatting>
  <conditionalFormatting sqref="AZ60">
    <cfRule type="cellIs" dxfId="1103" priority="42570" stopIfTrue="1" operator="notEqual">
      <formula>"fully automated"</formula>
    </cfRule>
  </conditionalFormatting>
  <conditionalFormatting sqref="BA60">
    <cfRule type="expression" dxfId="1102" priority="42571" stopIfTrue="1">
      <formula>NOT(ISBLANK($BA$60))</formula>
    </cfRule>
  </conditionalFormatting>
  <conditionalFormatting sqref="BB60">
    <cfRule type="expression" dxfId="1101" priority="42572" stopIfTrue="1">
      <formula>NOT(ISBLANK($BB$60))</formula>
    </cfRule>
  </conditionalFormatting>
  <conditionalFormatting sqref="BC60">
    <cfRule type="expression" dxfId="1100" priority="42573" stopIfTrue="1">
      <formula>NOT(ISBLANK($BC$60))</formula>
    </cfRule>
  </conditionalFormatting>
  <conditionalFormatting sqref="A61">
    <cfRule type="cellIs" dxfId="1099" priority="42574" stopIfTrue="1" operator="notEqual">
      <formula>3</formula>
    </cfRule>
  </conditionalFormatting>
  <conditionalFormatting sqref="B61">
    <cfRule type="cellIs" dxfId="1098" priority="42575" stopIfTrue="1" operator="notEqual">
      <formula>1</formula>
    </cfRule>
  </conditionalFormatting>
  <conditionalFormatting sqref="C61">
    <cfRule type="cellIs" dxfId="1097" priority="42576" stopIfTrue="1" operator="notEqual">
      <formula>5</formula>
    </cfRule>
  </conditionalFormatting>
  <conditionalFormatting sqref="D61">
    <cfRule type="cellIs" dxfId="1096" priority="42577" stopIfTrue="1" operator="notEqual">
      <formula>2.152</formula>
    </cfRule>
  </conditionalFormatting>
  <conditionalFormatting sqref="E61">
    <cfRule type="cellIs" dxfId="1095" priority="42578" stopIfTrue="1" operator="notEqual">
      <formula>"MGD"</formula>
    </cfRule>
  </conditionalFormatting>
  <conditionalFormatting sqref="F61">
    <cfRule type="cellIs" dxfId="1094" priority="42579" stopIfTrue="1" operator="notEqual">
      <formula>0.819</formula>
    </cfRule>
  </conditionalFormatting>
  <conditionalFormatting sqref="G61">
    <cfRule type="cellIs" dxfId="1093" priority="42580" stopIfTrue="1" operator="notEqual">
      <formula>"MGD"</formula>
    </cfRule>
  </conditionalFormatting>
  <conditionalFormatting sqref="H61">
    <cfRule type="expression" dxfId="1092" priority="42581" stopIfTrue="1">
      <formula>NOT(ISBLANK($H$61))</formula>
    </cfRule>
  </conditionalFormatting>
  <conditionalFormatting sqref="I61">
    <cfRule type="expression" dxfId="1091" priority="42582" stopIfTrue="1">
      <formula>NOT(ISBLANK($I$61))</formula>
    </cfRule>
  </conditionalFormatting>
  <conditionalFormatting sqref="J61">
    <cfRule type="expression" dxfId="1090" priority="42583" stopIfTrue="1">
      <formula>NOT(ISBLANK($J$61))</formula>
    </cfRule>
  </conditionalFormatting>
  <conditionalFormatting sqref="K61">
    <cfRule type="expression" dxfId="1089" priority="42584" stopIfTrue="1">
      <formula>NOT(ISBLANK($K$61))</formula>
    </cfRule>
  </conditionalFormatting>
  <conditionalFormatting sqref="L61">
    <cfRule type="expression" dxfId="1088" priority="42585" stopIfTrue="1">
      <formula>NOT(ISBLANK($L$61))</formula>
    </cfRule>
  </conditionalFormatting>
  <conditionalFormatting sqref="M61">
    <cfRule type="expression" dxfId="1087" priority="42586" stopIfTrue="1">
      <formula>NOT(ISBLANK($M$61))</formula>
    </cfRule>
  </conditionalFormatting>
  <conditionalFormatting sqref="N61">
    <cfRule type="expression" dxfId="1086" priority="42587" stopIfTrue="1">
      <formula>NOT(ISBLANK($N$61))</formula>
    </cfRule>
  </conditionalFormatting>
  <conditionalFormatting sqref="O61">
    <cfRule type="expression" dxfId="1085" priority="42588" stopIfTrue="1">
      <formula>NOT(ISBLANK($O$61))</formula>
    </cfRule>
  </conditionalFormatting>
  <conditionalFormatting sqref="P61">
    <cfRule type="expression" dxfId="1084" priority="42589" stopIfTrue="1">
      <formula>NOT(ISBLANK($P$61))</formula>
    </cfRule>
  </conditionalFormatting>
  <conditionalFormatting sqref="Q61">
    <cfRule type="expression" dxfId="1083" priority="42590" stopIfTrue="1">
      <formula>NOT(ISBLANK($Q$61))</formula>
    </cfRule>
  </conditionalFormatting>
  <conditionalFormatting sqref="R61">
    <cfRule type="expression" dxfId="1082" priority="42591" stopIfTrue="1">
      <formula>NOT(ISBLANK($R$61))</formula>
    </cfRule>
  </conditionalFormatting>
  <conditionalFormatting sqref="S61">
    <cfRule type="expression" dxfId="1081" priority="42592" stopIfTrue="1">
      <formula>NOT(ISBLANK($S$61))</formula>
    </cfRule>
  </conditionalFormatting>
  <conditionalFormatting sqref="T61">
    <cfRule type="expression" dxfId="1080" priority="42593" stopIfTrue="1">
      <formula>NOT(ISBLANK($T$61))</formula>
    </cfRule>
  </conditionalFormatting>
  <conditionalFormatting sqref="U61">
    <cfRule type="expression" dxfId="1079" priority="42594" stopIfTrue="1">
      <formula>NOT(ISBLANK($U$61))</formula>
    </cfRule>
  </conditionalFormatting>
  <conditionalFormatting sqref="V61">
    <cfRule type="expression" dxfId="1078" priority="42595" stopIfTrue="1">
      <formula>NOT(ISBLANK($V$61))</formula>
    </cfRule>
  </conditionalFormatting>
  <conditionalFormatting sqref="W61">
    <cfRule type="expression" dxfId="1077" priority="42596" stopIfTrue="1">
      <formula>NOT(ISBLANK($W$61))</formula>
    </cfRule>
  </conditionalFormatting>
  <conditionalFormatting sqref="X61">
    <cfRule type="expression" dxfId="1076" priority="42597" stopIfTrue="1">
      <formula>NOT(ISBLANK($X$61))</formula>
    </cfRule>
  </conditionalFormatting>
  <conditionalFormatting sqref="Y61">
    <cfRule type="expression" dxfId="1075" priority="42598" stopIfTrue="1">
      <formula>NOT(ISBLANK($Y$61))</formula>
    </cfRule>
  </conditionalFormatting>
  <conditionalFormatting sqref="Z61">
    <cfRule type="expression" dxfId="1074" priority="42599" stopIfTrue="1">
      <formula>NOT(ISBLANK($Z$61))</formula>
    </cfRule>
  </conditionalFormatting>
  <conditionalFormatting sqref="AA61">
    <cfRule type="expression" dxfId="1073" priority="42600" stopIfTrue="1">
      <formula>NOT(ISBLANK($AA$61))</formula>
    </cfRule>
  </conditionalFormatting>
  <conditionalFormatting sqref="AB61">
    <cfRule type="expression" dxfId="1072" priority="42601" stopIfTrue="1">
      <formula>NOT(ISBLANK($AB$61))</formula>
    </cfRule>
  </conditionalFormatting>
  <conditionalFormatting sqref="AC61">
    <cfRule type="expression" dxfId="1071" priority="42602" stopIfTrue="1">
      <formula>NOT(ISBLANK($AC$61))</formula>
    </cfRule>
  </conditionalFormatting>
  <conditionalFormatting sqref="AD61">
    <cfRule type="expression" dxfId="1070" priority="42603" stopIfTrue="1">
      <formula>NOT(ISBLANK($AD$61))</formula>
    </cfRule>
  </conditionalFormatting>
  <conditionalFormatting sqref="AE61">
    <cfRule type="expression" dxfId="1069" priority="42604" stopIfTrue="1">
      <formula>NOT(ISBLANK($AE$61))</formula>
    </cfRule>
  </conditionalFormatting>
  <conditionalFormatting sqref="AF61">
    <cfRule type="expression" dxfId="1068" priority="42605" stopIfTrue="1">
      <formula>NOT(ISBLANK($AF$61))</formula>
    </cfRule>
  </conditionalFormatting>
  <conditionalFormatting sqref="AG61">
    <cfRule type="expression" dxfId="1067" priority="42606" stopIfTrue="1">
      <formula>NOT(ISBLANK($AG$61))</formula>
    </cfRule>
  </conditionalFormatting>
  <conditionalFormatting sqref="AH61">
    <cfRule type="expression" dxfId="1066" priority="42607" stopIfTrue="1">
      <formula>NOT(ISBLANK($AH$61))</formula>
    </cfRule>
  </conditionalFormatting>
  <conditionalFormatting sqref="AI61">
    <cfRule type="expression" dxfId="1065" priority="42608" stopIfTrue="1">
      <formula>NOT(ISBLANK($AI$61))</formula>
    </cfRule>
  </conditionalFormatting>
  <conditionalFormatting sqref="AJ61">
    <cfRule type="expression" dxfId="1064" priority="42609" stopIfTrue="1">
      <formula>NOT(ISBLANK($AJ$61))</formula>
    </cfRule>
  </conditionalFormatting>
  <conditionalFormatting sqref="AK61">
    <cfRule type="expression" dxfId="1063" priority="42610" stopIfTrue="1">
      <formula>NOT(ISBLANK($AK$61))</formula>
    </cfRule>
  </conditionalFormatting>
  <conditionalFormatting sqref="AL61">
    <cfRule type="expression" dxfId="1062" priority="42611" stopIfTrue="1">
      <formula>NOT(ISBLANK($AL$61))</formula>
    </cfRule>
  </conditionalFormatting>
  <conditionalFormatting sqref="AM61">
    <cfRule type="expression" dxfId="1061" priority="42612" stopIfTrue="1">
      <formula>NOT(ISBLANK($AM$61))</formula>
    </cfRule>
  </conditionalFormatting>
  <conditionalFormatting sqref="AN61">
    <cfRule type="expression" dxfId="1060" priority="42613" stopIfTrue="1">
      <formula>NOT(ISBLANK($AN$61))</formula>
    </cfRule>
  </conditionalFormatting>
  <conditionalFormatting sqref="AO61">
    <cfRule type="expression" dxfId="1059" priority="42614" stopIfTrue="1">
      <formula>NOT(ISBLANK($AO$61))</formula>
    </cfRule>
  </conditionalFormatting>
  <conditionalFormatting sqref="AP61">
    <cfRule type="expression" dxfId="1058" priority="42615" stopIfTrue="1">
      <formula>NOT(ISBLANK($AP$61))</formula>
    </cfRule>
  </conditionalFormatting>
  <conditionalFormatting sqref="AQ61">
    <cfRule type="expression" dxfId="1057" priority="42616" stopIfTrue="1">
      <formula>NOT(ISBLANK($AQ$61))</formula>
    </cfRule>
  </conditionalFormatting>
  <conditionalFormatting sqref="AR61">
    <cfRule type="expression" dxfId="1056" priority="42617" stopIfTrue="1">
      <formula>NOT(ISBLANK($AR$61))</formula>
    </cfRule>
  </conditionalFormatting>
  <conditionalFormatting sqref="AS61">
    <cfRule type="expression" dxfId="1055" priority="42618" stopIfTrue="1">
      <formula>NOT(ISBLANK($AS$61))</formula>
    </cfRule>
  </conditionalFormatting>
  <conditionalFormatting sqref="AT61">
    <cfRule type="expression" dxfId="1054" priority="42619" stopIfTrue="1">
      <formula>NOT(ISBLANK($AT$61))</formula>
    </cfRule>
  </conditionalFormatting>
  <conditionalFormatting sqref="AU61">
    <cfRule type="expression" dxfId="1053" priority="42620" stopIfTrue="1">
      <formula>NOT(ISBLANK($AU$61))</formula>
    </cfRule>
  </conditionalFormatting>
  <conditionalFormatting sqref="AV61">
    <cfRule type="expression" dxfId="1052" priority="42621" stopIfTrue="1">
      <formula>NOT(ISBLANK($AV$61))</formula>
    </cfRule>
  </conditionalFormatting>
  <conditionalFormatting sqref="AW61">
    <cfRule type="expression" dxfId="1051" priority="42622" stopIfTrue="1">
      <formula>NOT(ISBLANK($AW$61))</formula>
    </cfRule>
  </conditionalFormatting>
  <conditionalFormatting sqref="AX61">
    <cfRule type="expression" dxfId="1050" priority="42623" stopIfTrue="1">
      <formula>NOT(ISBLANK($AX$61))</formula>
    </cfRule>
  </conditionalFormatting>
  <conditionalFormatting sqref="AY61">
    <cfRule type="expression" dxfId="1049" priority="42624" stopIfTrue="1">
      <formula>NOT(ISBLANK($AY$61))</formula>
    </cfRule>
  </conditionalFormatting>
  <conditionalFormatting sqref="AZ61">
    <cfRule type="cellIs" dxfId="1048" priority="42625" stopIfTrue="1" operator="notEqual">
      <formula>"fully automated"</formula>
    </cfRule>
  </conditionalFormatting>
  <conditionalFormatting sqref="BA61">
    <cfRule type="expression" dxfId="1047" priority="42626" stopIfTrue="1">
      <formula>NOT(ISBLANK($BA$61))</formula>
    </cfRule>
  </conditionalFormatting>
  <conditionalFormatting sqref="BB61">
    <cfRule type="expression" dxfId="1046" priority="42627" stopIfTrue="1">
      <formula>NOT(ISBLANK($BB$61))</formula>
    </cfRule>
  </conditionalFormatting>
  <conditionalFormatting sqref="BC61">
    <cfRule type="expression" dxfId="1045" priority="42628" stopIfTrue="1">
      <formula>NOT(ISBLANK($BC$61))</formula>
    </cfRule>
  </conditionalFormatting>
  <conditionalFormatting sqref="A62">
    <cfRule type="cellIs" dxfId="1044" priority="42629" stopIfTrue="1" operator="notEqual">
      <formula>3</formula>
    </cfRule>
  </conditionalFormatting>
  <conditionalFormatting sqref="B62">
    <cfRule type="cellIs" dxfId="1043" priority="42630" stopIfTrue="1" operator="notEqual">
      <formula>1</formula>
    </cfRule>
  </conditionalFormatting>
  <conditionalFormatting sqref="C62">
    <cfRule type="cellIs" dxfId="1042" priority="42631" stopIfTrue="1" operator="notEqual">
      <formula>6</formula>
    </cfRule>
  </conditionalFormatting>
  <conditionalFormatting sqref="D62">
    <cfRule type="cellIs" dxfId="1041" priority="42632" stopIfTrue="1" operator="notEqual">
      <formula>7.365</formula>
    </cfRule>
  </conditionalFormatting>
  <conditionalFormatting sqref="E62">
    <cfRule type="cellIs" dxfId="1040" priority="42633" stopIfTrue="1" operator="notEqual">
      <formula>"MGD"</formula>
    </cfRule>
  </conditionalFormatting>
  <conditionalFormatting sqref="F62">
    <cfRule type="cellIs" dxfId="1039" priority="42634" stopIfTrue="1" operator="notEqual">
      <formula>3.2</formula>
    </cfRule>
  </conditionalFormatting>
  <conditionalFormatting sqref="G62">
    <cfRule type="cellIs" dxfId="1038" priority="42635" stopIfTrue="1" operator="notEqual">
      <formula>"MGD"</formula>
    </cfRule>
  </conditionalFormatting>
  <conditionalFormatting sqref="H62">
    <cfRule type="expression" dxfId="1037" priority="42636" stopIfTrue="1">
      <formula>NOT(ISBLANK($H$62))</formula>
    </cfRule>
  </conditionalFormatting>
  <conditionalFormatting sqref="I62">
    <cfRule type="expression" dxfId="1036" priority="42637" stopIfTrue="1">
      <formula>NOT(ISBLANK($I$62))</formula>
    </cfRule>
  </conditionalFormatting>
  <conditionalFormatting sqref="J62">
    <cfRule type="expression" dxfId="1035" priority="42638" stopIfTrue="1">
      <formula>NOT(ISBLANK($J$62))</formula>
    </cfRule>
  </conditionalFormatting>
  <conditionalFormatting sqref="K62">
    <cfRule type="expression" dxfId="1034" priority="42639" stopIfTrue="1">
      <formula>NOT(ISBLANK($K$62))</formula>
    </cfRule>
  </conditionalFormatting>
  <conditionalFormatting sqref="L62">
    <cfRule type="expression" dxfId="1033" priority="42640" stopIfTrue="1">
      <formula>NOT(ISBLANK($L$62))</formula>
    </cfRule>
  </conditionalFormatting>
  <conditionalFormatting sqref="M62">
    <cfRule type="expression" dxfId="1032" priority="42641" stopIfTrue="1">
      <formula>NOT(ISBLANK($M$62))</formula>
    </cfRule>
  </conditionalFormatting>
  <conditionalFormatting sqref="N62">
    <cfRule type="expression" dxfId="1031" priority="42642" stopIfTrue="1">
      <formula>NOT(ISBLANK($N$62))</formula>
    </cfRule>
  </conditionalFormatting>
  <conditionalFormatting sqref="O62">
    <cfRule type="expression" dxfId="1030" priority="42643" stopIfTrue="1">
      <formula>NOT(ISBLANK($O$62))</formula>
    </cfRule>
  </conditionalFormatting>
  <conditionalFormatting sqref="P62">
    <cfRule type="expression" dxfId="1029" priority="42644" stopIfTrue="1">
      <formula>NOT(ISBLANK($P$62))</formula>
    </cfRule>
  </conditionalFormatting>
  <conditionalFormatting sqref="Q62">
    <cfRule type="expression" dxfId="1028" priority="42645" stopIfTrue="1">
      <formula>NOT(ISBLANK($Q$62))</formula>
    </cfRule>
  </conditionalFormatting>
  <conditionalFormatting sqref="R62">
    <cfRule type="expression" dxfId="1027" priority="42646" stopIfTrue="1">
      <formula>NOT(ISBLANK($R$62))</formula>
    </cfRule>
  </conditionalFormatting>
  <conditionalFormatting sqref="S62">
    <cfRule type="expression" dxfId="1026" priority="42647" stopIfTrue="1">
      <formula>NOT(ISBLANK($S$62))</formula>
    </cfRule>
  </conditionalFormatting>
  <conditionalFormatting sqref="T62">
    <cfRule type="expression" dxfId="1025" priority="42648" stopIfTrue="1">
      <formula>NOT(ISBLANK($T$62))</formula>
    </cfRule>
  </conditionalFormatting>
  <conditionalFormatting sqref="U62">
    <cfRule type="expression" dxfId="1024" priority="42649" stopIfTrue="1">
      <formula>NOT(ISBLANK($U$62))</formula>
    </cfRule>
  </conditionalFormatting>
  <conditionalFormatting sqref="V62">
    <cfRule type="expression" dxfId="1023" priority="42650" stopIfTrue="1">
      <formula>NOT(ISBLANK($V$62))</formula>
    </cfRule>
  </conditionalFormatting>
  <conditionalFormatting sqref="W62">
    <cfRule type="expression" dxfId="1022" priority="42651" stopIfTrue="1">
      <formula>NOT(ISBLANK($W$62))</formula>
    </cfRule>
  </conditionalFormatting>
  <conditionalFormatting sqref="X62">
    <cfRule type="expression" dxfId="1021" priority="42652" stopIfTrue="1">
      <formula>NOT(ISBLANK($X$62))</formula>
    </cfRule>
  </conditionalFormatting>
  <conditionalFormatting sqref="Y62">
    <cfRule type="expression" dxfId="1020" priority="42653" stopIfTrue="1">
      <formula>NOT(ISBLANK($Y$62))</formula>
    </cfRule>
  </conditionalFormatting>
  <conditionalFormatting sqref="Z62">
    <cfRule type="expression" dxfId="1019" priority="42654" stopIfTrue="1">
      <formula>NOT(ISBLANK($Z$62))</formula>
    </cfRule>
  </conditionalFormatting>
  <conditionalFormatting sqref="AA62">
    <cfRule type="expression" dxfId="1018" priority="42655" stopIfTrue="1">
      <formula>NOT(ISBLANK($AA$62))</formula>
    </cfRule>
  </conditionalFormatting>
  <conditionalFormatting sqref="AB62">
    <cfRule type="expression" dxfId="1017" priority="42656" stopIfTrue="1">
      <formula>NOT(ISBLANK($AB$62))</formula>
    </cfRule>
  </conditionalFormatting>
  <conditionalFormatting sqref="AC62">
    <cfRule type="expression" dxfId="1016" priority="42657" stopIfTrue="1">
      <formula>NOT(ISBLANK($AC$62))</formula>
    </cfRule>
  </conditionalFormatting>
  <conditionalFormatting sqref="AD62">
    <cfRule type="expression" dxfId="1015" priority="42658" stopIfTrue="1">
      <formula>NOT(ISBLANK($AD$62))</formula>
    </cfRule>
  </conditionalFormatting>
  <conditionalFormatting sqref="AE62">
    <cfRule type="expression" dxfId="1014" priority="42659" stopIfTrue="1">
      <formula>NOT(ISBLANK($AE$62))</formula>
    </cfRule>
  </conditionalFormatting>
  <conditionalFormatting sqref="AF62">
    <cfRule type="expression" dxfId="1013" priority="42660" stopIfTrue="1">
      <formula>NOT(ISBLANK($AF$62))</formula>
    </cfRule>
  </conditionalFormatting>
  <conditionalFormatting sqref="AG62">
    <cfRule type="expression" dxfId="1012" priority="42661" stopIfTrue="1">
      <formula>NOT(ISBLANK($AG$62))</formula>
    </cfRule>
  </conditionalFormatting>
  <conditionalFormatting sqref="AH62">
    <cfRule type="expression" dxfId="1011" priority="42662" stopIfTrue="1">
      <formula>NOT(ISBLANK($AH$62))</formula>
    </cfRule>
  </conditionalFormatting>
  <conditionalFormatting sqref="AI62">
    <cfRule type="expression" dxfId="1010" priority="42663" stopIfTrue="1">
      <formula>NOT(ISBLANK($AI$62))</formula>
    </cfRule>
  </conditionalFormatting>
  <conditionalFormatting sqref="AJ62">
    <cfRule type="expression" dxfId="1009" priority="42664" stopIfTrue="1">
      <formula>NOT(ISBLANK($AJ$62))</formula>
    </cfRule>
  </conditionalFormatting>
  <conditionalFormatting sqref="AK62">
    <cfRule type="expression" dxfId="1008" priority="42665" stopIfTrue="1">
      <formula>NOT(ISBLANK($AK$62))</formula>
    </cfRule>
  </conditionalFormatting>
  <conditionalFormatting sqref="AL62">
    <cfRule type="expression" dxfId="1007" priority="42666" stopIfTrue="1">
      <formula>NOT(ISBLANK($AL$62))</formula>
    </cfRule>
  </conditionalFormatting>
  <conditionalFormatting sqref="AM62">
    <cfRule type="expression" dxfId="1006" priority="42667" stopIfTrue="1">
      <formula>NOT(ISBLANK($AM$62))</formula>
    </cfRule>
  </conditionalFormatting>
  <conditionalFormatting sqref="AN62">
    <cfRule type="expression" dxfId="1005" priority="42668" stopIfTrue="1">
      <formula>NOT(ISBLANK($AN$62))</formula>
    </cfRule>
  </conditionalFormatting>
  <conditionalFormatting sqref="AO62">
    <cfRule type="expression" dxfId="1004" priority="42669" stopIfTrue="1">
      <formula>NOT(ISBLANK($AO$62))</formula>
    </cfRule>
  </conditionalFormatting>
  <conditionalFormatting sqref="AP62">
    <cfRule type="expression" dxfId="1003" priority="42670" stopIfTrue="1">
      <formula>NOT(ISBLANK($AP$62))</formula>
    </cfRule>
  </conditionalFormatting>
  <conditionalFormatting sqref="AQ62">
    <cfRule type="expression" dxfId="1002" priority="42671" stopIfTrue="1">
      <formula>NOT(ISBLANK($AQ$62))</formula>
    </cfRule>
  </conditionalFormatting>
  <conditionalFormatting sqref="AR62">
    <cfRule type="expression" dxfId="1001" priority="42672" stopIfTrue="1">
      <formula>NOT(ISBLANK($AR$62))</formula>
    </cfRule>
  </conditionalFormatting>
  <conditionalFormatting sqref="AS62">
    <cfRule type="expression" dxfId="1000" priority="42673" stopIfTrue="1">
      <formula>NOT(ISBLANK($AS$62))</formula>
    </cfRule>
  </conditionalFormatting>
  <conditionalFormatting sqref="AT62">
    <cfRule type="expression" dxfId="999" priority="42674" stopIfTrue="1">
      <formula>NOT(ISBLANK($AT$62))</formula>
    </cfRule>
  </conditionalFormatting>
  <conditionalFormatting sqref="AU62">
    <cfRule type="expression" dxfId="998" priority="42675" stopIfTrue="1">
      <formula>NOT(ISBLANK($AU$62))</formula>
    </cfRule>
  </conditionalFormatting>
  <conditionalFormatting sqref="AV62">
    <cfRule type="expression" dxfId="997" priority="42676" stopIfTrue="1">
      <formula>NOT(ISBLANK($AV$62))</formula>
    </cfRule>
  </conditionalFormatting>
  <conditionalFormatting sqref="AW62">
    <cfRule type="expression" dxfId="996" priority="42677" stopIfTrue="1">
      <formula>NOT(ISBLANK($AW$62))</formula>
    </cfRule>
  </conditionalFormatting>
  <conditionalFormatting sqref="AX62">
    <cfRule type="expression" dxfId="995" priority="42678" stopIfTrue="1">
      <formula>NOT(ISBLANK($AX$62))</formula>
    </cfRule>
  </conditionalFormatting>
  <conditionalFormatting sqref="AY62">
    <cfRule type="expression" dxfId="994" priority="42679" stopIfTrue="1">
      <formula>NOT(ISBLANK($AY$62))</formula>
    </cfRule>
  </conditionalFormatting>
  <conditionalFormatting sqref="AZ62">
    <cfRule type="cellIs" dxfId="993" priority="42680" stopIfTrue="1" operator="notEqual">
      <formula>"fully automated"</formula>
    </cfRule>
  </conditionalFormatting>
  <conditionalFormatting sqref="BA62">
    <cfRule type="expression" dxfId="992" priority="42681" stopIfTrue="1">
      <formula>NOT(ISBLANK($BA$62))</formula>
    </cfRule>
  </conditionalFormatting>
  <conditionalFormatting sqref="BB62">
    <cfRule type="expression" dxfId="991" priority="42682" stopIfTrue="1">
      <formula>NOT(ISBLANK($BB$62))</formula>
    </cfRule>
  </conditionalFormatting>
  <conditionalFormatting sqref="BC62">
    <cfRule type="expression" dxfId="990" priority="42683" stopIfTrue="1">
      <formula>NOT(ISBLANK($BC$62))</formula>
    </cfRule>
  </conditionalFormatting>
  <conditionalFormatting sqref="A63">
    <cfRule type="cellIs" dxfId="989" priority="42684" stopIfTrue="1" operator="notEqual">
      <formula>3</formula>
    </cfRule>
  </conditionalFormatting>
  <conditionalFormatting sqref="B63">
    <cfRule type="cellIs" dxfId="988" priority="42685" stopIfTrue="1" operator="notEqual">
      <formula>1</formula>
    </cfRule>
  </conditionalFormatting>
  <conditionalFormatting sqref="C63">
    <cfRule type="cellIs" dxfId="987" priority="42686" stopIfTrue="1" operator="notEqual">
      <formula>7</formula>
    </cfRule>
  </conditionalFormatting>
  <conditionalFormatting sqref="D63">
    <cfRule type="cellIs" dxfId="986" priority="42687" stopIfTrue="1" operator="notEqual">
      <formula>22.614</formula>
    </cfRule>
  </conditionalFormatting>
  <conditionalFormatting sqref="E63">
    <cfRule type="cellIs" dxfId="985" priority="42688" stopIfTrue="1" operator="notEqual">
      <formula>"MGD"</formula>
    </cfRule>
  </conditionalFormatting>
  <conditionalFormatting sqref="F63">
    <cfRule type="cellIs" dxfId="984" priority="42689" stopIfTrue="1" operator="notEqual">
      <formula>11.066</formula>
    </cfRule>
  </conditionalFormatting>
  <conditionalFormatting sqref="G63">
    <cfRule type="cellIs" dxfId="983" priority="42690" stopIfTrue="1" operator="notEqual">
      <formula>"MGD"</formula>
    </cfRule>
  </conditionalFormatting>
  <conditionalFormatting sqref="H63">
    <cfRule type="expression" dxfId="982" priority="42691" stopIfTrue="1">
      <formula>NOT(ISBLANK($H$63))</formula>
    </cfRule>
  </conditionalFormatting>
  <conditionalFormatting sqref="I63">
    <cfRule type="expression" dxfId="981" priority="42692" stopIfTrue="1">
      <formula>NOT(ISBLANK($I$63))</formula>
    </cfRule>
  </conditionalFormatting>
  <conditionalFormatting sqref="J63">
    <cfRule type="expression" dxfId="980" priority="42693" stopIfTrue="1">
      <formula>NOT(ISBLANK($J$63))</formula>
    </cfRule>
  </conditionalFormatting>
  <conditionalFormatting sqref="K63">
    <cfRule type="expression" dxfId="979" priority="42694" stopIfTrue="1">
      <formula>NOT(ISBLANK($K$63))</formula>
    </cfRule>
  </conditionalFormatting>
  <conditionalFormatting sqref="L63">
    <cfRule type="expression" dxfId="978" priority="42695" stopIfTrue="1">
      <formula>NOT(ISBLANK($L$63))</formula>
    </cfRule>
  </conditionalFormatting>
  <conditionalFormatting sqref="M63">
    <cfRule type="expression" dxfId="977" priority="42696" stopIfTrue="1">
      <formula>NOT(ISBLANK($M$63))</formula>
    </cfRule>
  </conditionalFormatting>
  <conditionalFormatting sqref="N63">
    <cfRule type="expression" dxfId="976" priority="42697" stopIfTrue="1">
      <formula>NOT(ISBLANK($N$63))</formula>
    </cfRule>
  </conditionalFormatting>
  <conditionalFormatting sqref="O63">
    <cfRule type="expression" dxfId="975" priority="42698" stopIfTrue="1">
      <formula>NOT(ISBLANK($O$63))</formula>
    </cfRule>
  </conditionalFormatting>
  <conditionalFormatting sqref="P63">
    <cfRule type="expression" dxfId="974" priority="42699" stopIfTrue="1">
      <formula>NOT(ISBLANK($P$63))</formula>
    </cfRule>
  </conditionalFormatting>
  <conditionalFormatting sqref="Q63">
    <cfRule type="expression" dxfId="973" priority="42700" stopIfTrue="1">
      <formula>NOT(ISBLANK($Q$63))</formula>
    </cfRule>
  </conditionalFormatting>
  <conditionalFormatting sqref="R63">
    <cfRule type="expression" dxfId="972" priority="42701" stopIfTrue="1">
      <formula>NOT(ISBLANK($R$63))</formula>
    </cfRule>
  </conditionalFormatting>
  <conditionalFormatting sqref="S63">
    <cfRule type="expression" dxfId="971" priority="42702" stopIfTrue="1">
      <formula>NOT(ISBLANK($S$63))</formula>
    </cfRule>
  </conditionalFormatting>
  <conditionalFormatting sqref="T63">
    <cfRule type="expression" dxfId="970" priority="42703" stopIfTrue="1">
      <formula>NOT(ISBLANK($T$63))</formula>
    </cfRule>
  </conditionalFormatting>
  <conditionalFormatting sqref="U63">
    <cfRule type="expression" dxfId="969" priority="42704" stopIfTrue="1">
      <formula>NOT(ISBLANK($U$63))</formula>
    </cfRule>
  </conditionalFormatting>
  <conditionalFormatting sqref="V63">
    <cfRule type="expression" dxfId="968" priority="42705" stopIfTrue="1">
      <formula>NOT(ISBLANK($V$63))</formula>
    </cfRule>
  </conditionalFormatting>
  <conditionalFormatting sqref="W63">
    <cfRule type="expression" dxfId="967" priority="42706" stopIfTrue="1">
      <formula>NOT(ISBLANK($W$63))</formula>
    </cfRule>
  </conditionalFormatting>
  <conditionalFormatting sqref="X63">
    <cfRule type="expression" dxfId="966" priority="42707" stopIfTrue="1">
      <formula>NOT(ISBLANK($X$63))</formula>
    </cfRule>
  </conditionalFormatting>
  <conditionalFormatting sqref="Y63">
    <cfRule type="expression" dxfId="965" priority="42708" stopIfTrue="1">
      <formula>NOT(ISBLANK($Y$63))</formula>
    </cfRule>
  </conditionalFormatting>
  <conditionalFormatting sqref="Z63">
    <cfRule type="expression" dxfId="964" priority="42709" stopIfTrue="1">
      <formula>NOT(ISBLANK($Z$63))</formula>
    </cfRule>
  </conditionalFormatting>
  <conditionalFormatting sqref="AA63">
    <cfRule type="expression" dxfId="963" priority="42710" stopIfTrue="1">
      <formula>NOT(ISBLANK($AA$63))</formula>
    </cfRule>
  </conditionalFormatting>
  <conditionalFormatting sqref="AB63">
    <cfRule type="expression" dxfId="962" priority="42711" stopIfTrue="1">
      <formula>NOT(ISBLANK($AB$63))</formula>
    </cfRule>
  </conditionalFormatting>
  <conditionalFormatting sqref="AC63">
    <cfRule type="expression" dxfId="961" priority="42712" stopIfTrue="1">
      <formula>NOT(ISBLANK($AC$63))</formula>
    </cfRule>
  </conditionalFormatting>
  <conditionalFormatting sqref="AD63">
    <cfRule type="expression" dxfId="960" priority="42713" stopIfTrue="1">
      <formula>NOT(ISBLANK($AD$63))</formula>
    </cfRule>
  </conditionalFormatting>
  <conditionalFormatting sqref="AE63">
    <cfRule type="expression" dxfId="959" priority="42714" stopIfTrue="1">
      <formula>NOT(ISBLANK($AE$63))</formula>
    </cfRule>
  </conditionalFormatting>
  <conditionalFormatting sqref="AF63">
    <cfRule type="expression" dxfId="958" priority="42715" stopIfTrue="1">
      <formula>NOT(ISBLANK($AF$63))</formula>
    </cfRule>
  </conditionalFormatting>
  <conditionalFormatting sqref="AG63">
    <cfRule type="expression" dxfId="957" priority="42716" stopIfTrue="1">
      <formula>NOT(ISBLANK($AG$63))</formula>
    </cfRule>
  </conditionalFormatting>
  <conditionalFormatting sqref="AH63">
    <cfRule type="expression" dxfId="956" priority="42717" stopIfTrue="1">
      <formula>NOT(ISBLANK($AH$63))</formula>
    </cfRule>
  </conditionalFormatting>
  <conditionalFormatting sqref="AI63">
    <cfRule type="expression" dxfId="955" priority="42718" stopIfTrue="1">
      <formula>NOT(ISBLANK($AI$63))</formula>
    </cfRule>
  </conditionalFormatting>
  <conditionalFormatting sqref="AJ63">
    <cfRule type="expression" dxfId="954" priority="42719" stopIfTrue="1">
      <formula>NOT(ISBLANK($AJ$63))</formula>
    </cfRule>
  </conditionalFormatting>
  <conditionalFormatting sqref="AK63">
    <cfRule type="expression" dxfId="953" priority="42720" stopIfTrue="1">
      <formula>NOT(ISBLANK($AK$63))</formula>
    </cfRule>
  </conditionalFormatting>
  <conditionalFormatting sqref="AL63">
    <cfRule type="expression" dxfId="952" priority="42721" stopIfTrue="1">
      <formula>NOT(ISBLANK($AL$63))</formula>
    </cfRule>
  </conditionalFormatting>
  <conditionalFormatting sqref="AM63">
    <cfRule type="expression" dxfId="951" priority="42722" stopIfTrue="1">
      <formula>NOT(ISBLANK($AM$63))</formula>
    </cfRule>
  </conditionalFormatting>
  <conditionalFormatting sqref="AN63">
    <cfRule type="expression" dxfId="950" priority="42723" stopIfTrue="1">
      <formula>NOT(ISBLANK($AN$63))</formula>
    </cfRule>
  </conditionalFormatting>
  <conditionalFormatting sqref="AO63">
    <cfRule type="expression" dxfId="949" priority="42724" stopIfTrue="1">
      <formula>NOT(ISBLANK($AO$63))</formula>
    </cfRule>
  </conditionalFormatting>
  <conditionalFormatting sqref="AP63">
    <cfRule type="expression" dxfId="948" priority="42725" stopIfTrue="1">
      <formula>NOT(ISBLANK($AP$63))</formula>
    </cfRule>
  </conditionalFormatting>
  <conditionalFormatting sqref="AQ63">
    <cfRule type="expression" dxfId="947" priority="42726" stopIfTrue="1">
      <formula>NOT(ISBLANK($AQ$63))</formula>
    </cfRule>
  </conditionalFormatting>
  <conditionalFormatting sqref="AR63">
    <cfRule type="expression" dxfId="946" priority="42727" stopIfTrue="1">
      <formula>NOT(ISBLANK($AR$63))</formula>
    </cfRule>
  </conditionalFormatting>
  <conditionalFormatting sqref="AS63">
    <cfRule type="expression" dxfId="945" priority="42728" stopIfTrue="1">
      <formula>NOT(ISBLANK($AS$63))</formula>
    </cfRule>
  </conditionalFormatting>
  <conditionalFormatting sqref="AT63">
    <cfRule type="expression" dxfId="944" priority="42729" stopIfTrue="1">
      <formula>NOT(ISBLANK($AT$63))</formula>
    </cfRule>
  </conditionalFormatting>
  <conditionalFormatting sqref="AU63">
    <cfRule type="expression" dxfId="943" priority="42730" stopIfTrue="1">
      <formula>NOT(ISBLANK($AU$63))</formula>
    </cfRule>
  </conditionalFormatting>
  <conditionalFormatting sqref="AV63">
    <cfRule type="expression" dxfId="942" priority="42731" stopIfTrue="1">
      <formula>NOT(ISBLANK($AV$63))</formula>
    </cfRule>
  </conditionalFormatting>
  <conditionalFormatting sqref="AW63">
    <cfRule type="expression" dxfId="941" priority="42732" stopIfTrue="1">
      <formula>NOT(ISBLANK($AW$63))</formula>
    </cfRule>
  </conditionalFormatting>
  <conditionalFormatting sqref="AX63">
    <cfRule type="expression" dxfId="940" priority="42733" stopIfTrue="1">
      <formula>NOT(ISBLANK($AX$63))</formula>
    </cfRule>
  </conditionalFormatting>
  <conditionalFormatting sqref="AY63">
    <cfRule type="expression" dxfId="939" priority="42734" stopIfTrue="1">
      <formula>NOT(ISBLANK($AY$63))</formula>
    </cfRule>
  </conditionalFormatting>
  <conditionalFormatting sqref="AZ63">
    <cfRule type="cellIs" dxfId="938" priority="42735" stopIfTrue="1" operator="notEqual">
      <formula>"fully automated"</formula>
    </cfRule>
  </conditionalFormatting>
  <conditionalFormatting sqref="BA63">
    <cfRule type="expression" dxfId="937" priority="42736" stopIfTrue="1">
      <formula>NOT(ISBLANK($BA$63))</formula>
    </cfRule>
  </conditionalFormatting>
  <conditionalFormatting sqref="BB63">
    <cfRule type="expression" dxfId="936" priority="42737" stopIfTrue="1">
      <formula>NOT(ISBLANK($BB$63))</formula>
    </cfRule>
  </conditionalFormatting>
  <conditionalFormatting sqref="BC63">
    <cfRule type="expression" dxfId="935" priority="42738" stopIfTrue="1">
      <formula>NOT(ISBLANK($BC$63))</formula>
    </cfRule>
  </conditionalFormatting>
  <conditionalFormatting sqref="A64">
    <cfRule type="cellIs" dxfId="934" priority="42739" stopIfTrue="1" operator="notEqual">
      <formula>3</formula>
    </cfRule>
  </conditionalFormatting>
  <conditionalFormatting sqref="B64">
    <cfRule type="cellIs" dxfId="933" priority="42740" stopIfTrue="1" operator="notEqual">
      <formula>1</formula>
    </cfRule>
  </conditionalFormatting>
  <conditionalFormatting sqref="C64">
    <cfRule type="cellIs" dxfId="932" priority="42741" stopIfTrue="1" operator="notEqual">
      <formula>8</formula>
    </cfRule>
  </conditionalFormatting>
  <conditionalFormatting sqref="D64">
    <cfRule type="cellIs" dxfId="931" priority="42742" stopIfTrue="1" operator="notEqual">
      <formula>75.072</formula>
    </cfRule>
  </conditionalFormatting>
  <conditionalFormatting sqref="E64">
    <cfRule type="cellIs" dxfId="930" priority="42743" stopIfTrue="1" operator="notEqual">
      <formula>"MGD"</formula>
    </cfRule>
  </conditionalFormatting>
  <conditionalFormatting sqref="F64">
    <cfRule type="cellIs" dxfId="929" priority="42744" stopIfTrue="1" operator="notEqual">
      <formula>37.536</formula>
    </cfRule>
  </conditionalFormatting>
  <conditionalFormatting sqref="G64">
    <cfRule type="cellIs" dxfId="928" priority="42745" stopIfTrue="1" operator="notEqual">
      <formula>"MGD"</formula>
    </cfRule>
  </conditionalFormatting>
  <conditionalFormatting sqref="H64">
    <cfRule type="expression" dxfId="927" priority="42746" stopIfTrue="1">
      <formula>NOT(ISBLANK($H$64))</formula>
    </cfRule>
  </conditionalFormatting>
  <conditionalFormatting sqref="I64">
    <cfRule type="expression" dxfId="926" priority="42747" stopIfTrue="1">
      <formula>NOT(ISBLANK($I$64))</formula>
    </cfRule>
  </conditionalFormatting>
  <conditionalFormatting sqref="J64">
    <cfRule type="expression" dxfId="925" priority="42748" stopIfTrue="1">
      <formula>NOT(ISBLANK($J$64))</formula>
    </cfRule>
  </conditionalFormatting>
  <conditionalFormatting sqref="K64">
    <cfRule type="expression" dxfId="924" priority="42749" stopIfTrue="1">
      <formula>NOT(ISBLANK($K$64))</formula>
    </cfRule>
  </conditionalFormatting>
  <conditionalFormatting sqref="L64">
    <cfRule type="expression" dxfId="923" priority="42750" stopIfTrue="1">
      <formula>NOT(ISBLANK($L$64))</formula>
    </cfRule>
  </conditionalFormatting>
  <conditionalFormatting sqref="M64">
    <cfRule type="expression" dxfId="922" priority="42751" stopIfTrue="1">
      <formula>NOT(ISBLANK($M$64))</formula>
    </cfRule>
  </conditionalFormatting>
  <conditionalFormatting sqref="N64">
    <cfRule type="expression" dxfId="921" priority="42752" stopIfTrue="1">
      <formula>NOT(ISBLANK($N$64))</formula>
    </cfRule>
  </conditionalFormatting>
  <conditionalFormatting sqref="O64">
    <cfRule type="expression" dxfId="920" priority="42753" stopIfTrue="1">
      <formula>NOT(ISBLANK($O$64))</formula>
    </cfRule>
  </conditionalFormatting>
  <conditionalFormatting sqref="P64">
    <cfRule type="expression" dxfId="919" priority="42754" stopIfTrue="1">
      <formula>NOT(ISBLANK($P$64))</formula>
    </cfRule>
  </conditionalFormatting>
  <conditionalFormatting sqref="Q64">
    <cfRule type="expression" dxfId="918" priority="42755" stopIfTrue="1">
      <formula>NOT(ISBLANK($Q$64))</formula>
    </cfRule>
  </conditionalFormatting>
  <conditionalFormatting sqref="R64">
    <cfRule type="expression" dxfId="917" priority="42756" stopIfTrue="1">
      <formula>NOT(ISBLANK($R$64))</formula>
    </cfRule>
  </conditionalFormatting>
  <conditionalFormatting sqref="S64">
    <cfRule type="expression" dxfId="916" priority="42757" stopIfTrue="1">
      <formula>NOT(ISBLANK($S$64))</formula>
    </cfRule>
  </conditionalFormatting>
  <conditionalFormatting sqref="T64">
    <cfRule type="expression" dxfId="915" priority="42758" stopIfTrue="1">
      <formula>NOT(ISBLANK($T$64))</formula>
    </cfRule>
  </conditionalFormatting>
  <conditionalFormatting sqref="U64">
    <cfRule type="expression" dxfId="914" priority="42759" stopIfTrue="1">
      <formula>NOT(ISBLANK($U$64))</formula>
    </cfRule>
  </conditionalFormatting>
  <conditionalFormatting sqref="V64">
    <cfRule type="expression" dxfId="913" priority="42760" stopIfTrue="1">
      <formula>NOT(ISBLANK($V$64))</formula>
    </cfRule>
  </conditionalFormatting>
  <conditionalFormatting sqref="W64">
    <cfRule type="expression" dxfId="912" priority="42761" stopIfTrue="1">
      <formula>NOT(ISBLANK($W$64))</formula>
    </cfRule>
  </conditionalFormatting>
  <conditionalFormatting sqref="X64">
    <cfRule type="expression" dxfId="911" priority="42762" stopIfTrue="1">
      <formula>NOT(ISBLANK($X$64))</formula>
    </cfRule>
  </conditionalFormatting>
  <conditionalFormatting sqref="Y64">
    <cfRule type="expression" dxfId="910" priority="42763" stopIfTrue="1">
      <formula>NOT(ISBLANK($Y$64))</formula>
    </cfRule>
  </conditionalFormatting>
  <conditionalFormatting sqref="Z64">
    <cfRule type="expression" dxfId="909" priority="42764" stopIfTrue="1">
      <formula>NOT(ISBLANK($Z$64))</formula>
    </cfRule>
  </conditionalFormatting>
  <conditionalFormatting sqref="AA64">
    <cfRule type="expression" dxfId="908" priority="42765" stopIfTrue="1">
      <formula>NOT(ISBLANK($AA$64))</formula>
    </cfRule>
  </conditionalFormatting>
  <conditionalFormatting sqref="AB64">
    <cfRule type="expression" dxfId="907" priority="42766" stopIfTrue="1">
      <formula>NOT(ISBLANK($AB$64))</formula>
    </cfRule>
  </conditionalFormatting>
  <conditionalFormatting sqref="AC64">
    <cfRule type="expression" dxfId="906" priority="42767" stopIfTrue="1">
      <formula>NOT(ISBLANK($AC$64))</formula>
    </cfRule>
  </conditionalFormatting>
  <conditionalFormatting sqref="AD64">
    <cfRule type="expression" dxfId="905" priority="42768" stopIfTrue="1">
      <formula>NOT(ISBLANK($AD$64))</formula>
    </cfRule>
  </conditionalFormatting>
  <conditionalFormatting sqref="AE64">
    <cfRule type="expression" dxfId="904" priority="42769" stopIfTrue="1">
      <formula>NOT(ISBLANK($AE$64))</formula>
    </cfRule>
  </conditionalFormatting>
  <conditionalFormatting sqref="AF64">
    <cfRule type="expression" dxfId="903" priority="42770" stopIfTrue="1">
      <formula>NOT(ISBLANK($AF$64))</formula>
    </cfRule>
  </conditionalFormatting>
  <conditionalFormatting sqref="AG64">
    <cfRule type="expression" dxfId="902" priority="42771" stopIfTrue="1">
      <formula>NOT(ISBLANK($AG$64))</formula>
    </cfRule>
  </conditionalFormatting>
  <conditionalFormatting sqref="AH64">
    <cfRule type="expression" dxfId="901" priority="42772" stopIfTrue="1">
      <formula>NOT(ISBLANK($AH$64))</formula>
    </cfRule>
  </conditionalFormatting>
  <conditionalFormatting sqref="AI64">
    <cfRule type="expression" dxfId="900" priority="42773" stopIfTrue="1">
      <formula>NOT(ISBLANK($AI$64))</formula>
    </cfRule>
  </conditionalFormatting>
  <conditionalFormatting sqref="AJ64">
    <cfRule type="expression" dxfId="899" priority="42774" stopIfTrue="1">
      <formula>NOT(ISBLANK($AJ$64))</formula>
    </cfRule>
  </conditionalFormatting>
  <conditionalFormatting sqref="AK64">
    <cfRule type="expression" dxfId="898" priority="42775" stopIfTrue="1">
      <formula>NOT(ISBLANK($AK$64))</formula>
    </cfRule>
  </conditionalFormatting>
  <conditionalFormatting sqref="AL64">
    <cfRule type="expression" dxfId="897" priority="42776" stopIfTrue="1">
      <formula>NOT(ISBLANK($AL$64))</formula>
    </cfRule>
  </conditionalFormatting>
  <conditionalFormatting sqref="AM64">
    <cfRule type="expression" dxfId="896" priority="42777" stopIfTrue="1">
      <formula>NOT(ISBLANK($AM$64))</formula>
    </cfRule>
  </conditionalFormatting>
  <conditionalFormatting sqref="AN64">
    <cfRule type="expression" dxfId="895" priority="42778" stopIfTrue="1">
      <formula>NOT(ISBLANK($AN$64))</formula>
    </cfRule>
  </conditionalFormatting>
  <conditionalFormatting sqref="AO64">
    <cfRule type="expression" dxfId="894" priority="42779" stopIfTrue="1">
      <formula>NOT(ISBLANK($AO$64))</formula>
    </cfRule>
  </conditionalFormatting>
  <conditionalFormatting sqref="AP64">
    <cfRule type="expression" dxfId="893" priority="42780" stopIfTrue="1">
      <formula>NOT(ISBLANK($AP$64))</formula>
    </cfRule>
  </conditionalFormatting>
  <conditionalFormatting sqref="AQ64">
    <cfRule type="expression" dxfId="892" priority="42781" stopIfTrue="1">
      <formula>NOT(ISBLANK($AQ$64))</formula>
    </cfRule>
  </conditionalFormatting>
  <conditionalFormatting sqref="AR64">
    <cfRule type="expression" dxfId="891" priority="42782" stopIfTrue="1">
      <formula>NOT(ISBLANK($AR$64))</formula>
    </cfRule>
  </conditionalFormatting>
  <conditionalFormatting sqref="AS64">
    <cfRule type="expression" dxfId="890" priority="42783" stopIfTrue="1">
      <formula>NOT(ISBLANK($AS$64))</formula>
    </cfRule>
  </conditionalFormatting>
  <conditionalFormatting sqref="AT64">
    <cfRule type="expression" dxfId="889" priority="42784" stopIfTrue="1">
      <formula>NOT(ISBLANK($AT$64))</formula>
    </cfRule>
  </conditionalFormatting>
  <conditionalFormatting sqref="AU64">
    <cfRule type="expression" dxfId="888" priority="42785" stopIfTrue="1">
      <formula>NOT(ISBLANK($AU$64))</formula>
    </cfRule>
  </conditionalFormatting>
  <conditionalFormatting sqref="AV64">
    <cfRule type="expression" dxfId="887" priority="42786" stopIfTrue="1">
      <formula>NOT(ISBLANK($AV$64))</formula>
    </cfRule>
  </conditionalFormatting>
  <conditionalFormatting sqref="AW64">
    <cfRule type="expression" dxfId="886" priority="42787" stopIfTrue="1">
      <formula>NOT(ISBLANK($AW$64))</formula>
    </cfRule>
  </conditionalFormatting>
  <conditionalFormatting sqref="AX64">
    <cfRule type="expression" dxfId="885" priority="42788" stopIfTrue="1">
      <formula>NOT(ISBLANK($AX$64))</formula>
    </cfRule>
  </conditionalFormatting>
  <conditionalFormatting sqref="AY64">
    <cfRule type="expression" dxfId="884" priority="42789" stopIfTrue="1">
      <formula>NOT(ISBLANK($AY$64))</formula>
    </cfRule>
  </conditionalFormatting>
  <conditionalFormatting sqref="AZ64">
    <cfRule type="cellIs" dxfId="883" priority="42790" stopIfTrue="1" operator="notEqual">
      <formula>"fully automated"</formula>
    </cfRule>
  </conditionalFormatting>
  <conditionalFormatting sqref="BA64">
    <cfRule type="expression" dxfId="882" priority="42791" stopIfTrue="1">
      <formula>NOT(ISBLANK($BA$64))</formula>
    </cfRule>
  </conditionalFormatting>
  <conditionalFormatting sqref="BB64">
    <cfRule type="expression" dxfId="881" priority="42792" stopIfTrue="1">
      <formula>NOT(ISBLANK($BB$64))</formula>
    </cfRule>
  </conditionalFormatting>
  <conditionalFormatting sqref="BC64">
    <cfRule type="expression" dxfId="880" priority="42793" stopIfTrue="1">
      <formula>NOT(ISBLANK($BC$64))</formula>
    </cfRule>
  </conditionalFormatting>
  <conditionalFormatting sqref="A65">
    <cfRule type="cellIs" dxfId="879" priority="42794" stopIfTrue="1" operator="notEqual">
      <formula>3</formula>
    </cfRule>
  </conditionalFormatting>
  <conditionalFormatting sqref="B65">
    <cfRule type="cellIs" dxfId="878" priority="42795" stopIfTrue="1" operator="notEqual">
      <formula>2</formula>
    </cfRule>
  </conditionalFormatting>
  <conditionalFormatting sqref="C65">
    <cfRule type="cellIs" dxfId="877" priority="42796" stopIfTrue="1" operator="notEqual">
      <formula>1</formula>
    </cfRule>
  </conditionalFormatting>
  <conditionalFormatting sqref="D65">
    <cfRule type="cellIs" dxfId="876" priority="42797" stopIfTrue="1" operator="notEqual">
      <formula>0.03</formula>
    </cfRule>
  </conditionalFormatting>
  <conditionalFormatting sqref="E65">
    <cfRule type="cellIs" dxfId="875" priority="42798" stopIfTrue="1" operator="notEqual">
      <formula>"MGD"</formula>
    </cfRule>
  </conditionalFormatting>
  <conditionalFormatting sqref="F65">
    <cfRule type="cellIs" dxfId="874" priority="42799" stopIfTrue="1" operator="notEqual">
      <formula>0.007</formula>
    </cfRule>
  </conditionalFormatting>
  <conditionalFormatting sqref="G65">
    <cfRule type="cellIs" dxfId="873" priority="42800" stopIfTrue="1" operator="notEqual">
      <formula>"MGD"</formula>
    </cfRule>
  </conditionalFormatting>
  <conditionalFormatting sqref="H65">
    <cfRule type="expression" dxfId="872" priority="42801" stopIfTrue="1">
      <formula>NOT(ISBLANK($H$65))</formula>
    </cfRule>
  </conditionalFormatting>
  <conditionalFormatting sqref="I65">
    <cfRule type="expression" dxfId="871" priority="42802" stopIfTrue="1">
      <formula>NOT(ISBLANK($I$65))</formula>
    </cfRule>
  </conditionalFormatting>
  <conditionalFormatting sqref="J65">
    <cfRule type="expression" dxfId="870" priority="42803" stopIfTrue="1">
      <formula>NOT(ISBLANK($J$65))</formula>
    </cfRule>
  </conditionalFormatting>
  <conditionalFormatting sqref="K65">
    <cfRule type="expression" dxfId="869" priority="42804" stopIfTrue="1">
      <formula>NOT(ISBLANK($K$65))</formula>
    </cfRule>
  </conditionalFormatting>
  <conditionalFormatting sqref="L65">
    <cfRule type="expression" dxfId="868" priority="42805" stopIfTrue="1">
      <formula>NOT(ISBLANK($L$65))</formula>
    </cfRule>
  </conditionalFormatting>
  <conditionalFormatting sqref="M65">
    <cfRule type="expression" dxfId="867" priority="42806" stopIfTrue="1">
      <formula>NOT(ISBLANK($M$65))</formula>
    </cfRule>
  </conditionalFormatting>
  <conditionalFormatting sqref="N65">
    <cfRule type="expression" dxfId="866" priority="42807" stopIfTrue="1">
      <formula>NOT(ISBLANK($N$65))</formula>
    </cfRule>
  </conditionalFormatting>
  <conditionalFormatting sqref="O65">
    <cfRule type="expression" dxfId="865" priority="42808" stopIfTrue="1">
      <formula>NOT(ISBLANK($O$65))</formula>
    </cfRule>
  </conditionalFormatting>
  <conditionalFormatting sqref="P65">
    <cfRule type="expression" dxfId="864" priority="42809" stopIfTrue="1">
      <formula>NOT(ISBLANK($P$65))</formula>
    </cfRule>
  </conditionalFormatting>
  <conditionalFormatting sqref="Q65">
    <cfRule type="expression" dxfId="863" priority="42810" stopIfTrue="1">
      <formula>NOT(ISBLANK($Q$65))</formula>
    </cfRule>
  </conditionalFormatting>
  <conditionalFormatting sqref="R65">
    <cfRule type="expression" dxfId="862" priority="42811" stopIfTrue="1">
      <formula>NOT(ISBLANK($R$65))</formula>
    </cfRule>
  </conditionalFormatting>
  <conditionalFormatting sqref="S65">
    <cfRule type="expression" dxfId="861" priority="42812" stopIfTrue="1">
      <formula>NOT(ISBLANK($S$65))</formula>
    </cfRule>
  </conditionalFormatting>
  <conditionalFormatting sqref="T65">
    <cfRule type="expression" dxfId="860" priority="42813" stopIfTrue="1">
      <formula>NOT(ISBLANK($T$65))</formula>
    </cfRule>
  </conditionalFormatting>
  <conditionalFormatting sqref="U65">
    <cfRule type="expression" dxfId="859" priority="42814" stopIfTrue="1">
      <formula>NOT(ISBLANK($U$65))</formula>
    </cfRule>
  </conditionalFormatting>
  <conditionalFormatting sqref="V65">
    <cfRule type="expression" dxfId="858" priority="42815" stopIfTrue="1">
      <formula>NOT(ISBLANK($V$65))</formula>
    </cfRule>
  </conditionalFormatting>
  <conditionalFormatting sqref="W65">
    <cfRule type="expression" dxfId="857" priority="42816" stopIfTrue="1">
      <formula>NOT(ISBLANK($W$65))</formula>
    </cfRule>
  </conditionalFormatting>
  <conditionalFormatting sqref="X65">
    <cfRule type="expression" dxfId="856" priority="42817" stopIfTrue="1">
      <formula>NOT(ISBLANK($X$65))</formula>
    </cfRule>
  </conditionalFormatting>
  <conditionalFormatting sqref="Y65">
    <cfRule type="expression" dxfId="855" priority="42818" stopIfTrue="1">
      <formula>NOT(ISBLANK($Y$65))</formula>
    </cfRule>
  </conditionalFormatting>
  <conditionalFormatting sqref="Z65">
    <cfRule type="expression" dxfId="854" priority="42819" stopIfTrue="1">
      <formula>NOT(ISBLANK($Z$65))</formula>
    </cfRule>
  </conditionalFormatting>
  <conditionalFormatting sqref="AA65">
    <cfRule type="expression" dxfId="853" priority="42820" stopIfTrue="1">
      <formula>NOT(ISBLANK($AA$65))</formula>
    </cfRule>
  </conditionalFormatting>
  <conditionalFormatting sqref="AB65">
    <cfRule type="expression" dxfId="852" priority="42821" stopIfTrue="1">
      <formula>NOT(ISBLANK($AB$65))</formula>
    </cfRule>
  </conditionalFormatting>
  <conditionalFormatting sqref="AC65">
    <cfRule type="expression" dxfId="851" priority="42822" stopIfTrue="1">
      <formula>NOT(ISBLANK($AC$65))</formula>
    </cfRule>
  </conditionalFormatting>
  <conditionalFormatting sqref="AD65">
    <cfRule type="expression" dxfId="850" priority="42823" stopIfTrue="1">
      <formula>NOT(ISBLANK($AD$65))</formula>
    </cfRule>
  </conditionalFormatting>
  <conditionalFormatting sqref="AE65">
    <cfRule type="expression" dxfId="849" priority="42824" stopIfTrue="1">
      <formula>NOT(ISBLANK($AE$65))</formula>
    </cfRule>
  </conditionalFormatting>
  <conditionalFormatting sqref="AF65">
    <cfRule type="expression" dxfId="848" priority="42825" stopIfTrue="1">
      <formula>NOT(ISBLANK($AF$65))</formula>
    </cfRule>
  </conditionalFormatting>
  <conditionalFormatting sqref="AG65">
    <cfRule type="expression" dxfId="847" priority="42826" stopIfTrue="1">
      <formula>NOT(ISBLANK($AG$65))</formula>
    </cfRule>
  </conditionalFormatting>
  <conditionalFormatting sqref="AH65">
    <cfRule type="expression" dxfId="846" priority="42827" stopIfTrue="1">
      <formula>NOT(ISBLANK($AH$65))</formula>
    </cfRule>
  </conditionalFormatting>
  <conditionalFormatting sqref="AI65">
    <cfRule type="expression" dxfId="845" priority="42828" stopIfTrue="1">
      <formula>NOT(ISBLANK($AI$65))</formula>
    </cfRule>
  </conditionalFormatting>
  <conditionalFormatting sqref="AJ65">
    <cfRule type="expression" dxfId="844" priority="42829" stopIfTrue="1">
      <formula>NOT(ISBLANK($AJ$65))</formula>
    </cfRule>
  </conditionalFormatting>
  <conditionalFormatting sqref="AK65">
    <cfRule type="expression" dxfId="843" priority="42830" stopIfTrue="1">
      <formula>NOT(ISBLANK($AK$65))</formula>
    </cfRule>
  </conditionalFormatting>
  <conditionalFormatting sqref="AL65">
    <cfRule type="expression" dxfId="842" priority="42831" stopIfTrue="1">
      <formula>NOT(ISBLANK($AL$65))</formula>
    </cfRule>
  </conditionalFormatting>
  <conditionalFormatting sqref="AM65">
    <cfRule type="expression" dxfId="841" priority="42832" stopIfTrue="1">
      <formula>NOT(ISBLANK($AM$65))</formula>
    </cfRule>
  </conditionalFormatting>
  <conditionalFormatting sqref="AN65">
    <cfRule type="expression" dxfId="840" priority="42833" stopIfTrue="1">
      <formula>NOT(ISBLANK($AN$65))</formula>
    </cfRule>
  </conditionalFormatting>
  <conditionalFormatting sqref="AO65">
    <cfRule type="expression" dxfId="839" priority="42834" stopIfTrue="1">
      <formula>NOT(ISBLANK($AO$65))</formula>
    </cfRule>
  </conditionalFormatting>
  <conditionalFormatting sqref="AP65">
    <cfRule type="expression" dxfId="838" priority="42835" stopIfTrue="1">
      <formula>NOT(ISBLANK($AP$65))</formula>
    </cfRule>
  </conditionalFormatting>
  <conditionalFormatting sqref="AQ65">
    <cfRule type="expression" dxfId="837" priority="42836" stopIfTrue="1">
      <formula>NOT(ISBLANK($AQ$65))</formula>
    </cfRule>
  </conditionalFormatting>
  <conditionalFormatting sqref="AR65">
    <cfRule type="expression" dxfId="836" priority="42837" stopIfTrue="1">
      <formula>NOT(ISBLANK($AR$65))</formula>
    </cfRule>
  </conditionalFormatting>
  <conditionalFormatting sqref="AS65">
    <cfRule type="expression" dxfId="835" priority="42838" stopIfTrue="1">
      <formula>NOT(ISBLANK($AS$65))</formula>
    </cfRule>
  </conditionalFormatting>
  <conditionalFormatting sqref="AT65">
    <cfRule type="expression" dxfId="834" priority="42839" stopIfTrue="1">
      <formula>NOT(ISBLANK($AT$65))</formula>
    </cfRule>
  </conditionalFormatting>
  <conditionalFormatting sqref="AU65">
    <cfRule type="expression" dxfId="833" priority="42840" stopIfTrue="1">
      <formula>NOT(ISBLANK($AU$65))</formula>
    </cfRule>
  </conditionalFormatting>
  <conditionalFormatting sqref="AV65">
    <cfRule type="expression" dxfId="832" priority="42841" stopIfTrue="1">
      <formula>NOT(ISBLANK($AV$65))</formula>
    </cfRule>
  </conditionalFormatting>
  <conditionalFormatting sqref="AW65">
    <cfRule type="expression" dxfId="831" priority="42842" stopIfTrue="1">
      <formula>NOT(ISBLANK($AW$65))</formula>
    </cfRule>
  </conditionalFormatting>
  <conditionalFormatting sqref="AX65">
    <cfRule type="expression" dxfId="830" priority="42843" stopIfTrue="1">
      <formula>NOT(ISBLANK($AX$65))</formula>
    </cfRule>
  </conditionalFormatting>
  <conditionalFormatting sqref="AY65">
    <cfRule type="expression" dxfId="829" priority="42844" stopIfTrue="1">
      <formula>NOT(ISBLANK($AY$65))</formula>
    </cfRule>
  </conditionalFormatting>
  <conditionalFormatting sqref="AZ65">
    <cfRule type="cellIs" dxfId="828" priority="42845" stopIfTrue="1" operator="notEqual">
      <formula>"fully automated"</formula>
    </cfRule>
  </conditionalFormatting>
  <conditionalFormatting sqref="BA65">
    <cfRule type="expression" dxfId="827" priority="42846" stopIfTrue="1">
      <formula>NOT(ISBLANK($BA$65))</formula>
    </cfRule>
  </conditionalFormatting>
  <conditionalFormatting sqref="BB65">
    <cfRule type="expression" dxfId="826" priority="42847" stopIfTrue="1">
      <formula>NOT(ISBLANK($BB$65))</formula>
    </cfRule>
  </conditionalFormatting>
  <conditionalFormatting sqref="BC65">
    <cfRule type="expression" dxfId="825" priority="42848" stopIfTrue="1">
      <formula>NOT(ISBLANK($BC$65))</formula>
    </cfRule>
  </conditionalFormatting>
  <conditionalFormatting sqref="A66">
    <cfRule type="cellIs" dxfId="824" priority="42849" stopIfTrue="1" operator="notEqual">
      <formula>3</formula>
    </cfRule>
  </conditionalFormatting>
  <conditionalFormatting sqref="B66">
    <cfRule type="cellIs" dxfId="823" priority="42850" stopIfTrue="1" operator="notEqual">
      <formula>2</formula>
    </cfRule>
  </conditionalFormatting>
  <conditionalFormatting sqref="C66">
    <cfRule type="cellIs" dxfId="822" priority="42851" stopIfTrue="1" operator="notEqual">
      <formula>2</formula>
    </cfRule>
  </conditionalFormatting>
  <conditionalFormatting sqref="D66">
    <cfRule type="cellIs" dxfId="821" priority="42852" stopIfTrue="1" operator="notEqual">
      <formula>0.124</formula>
    </cfRule>
  </conditionalFormatting>
  <conditionalFormatting sqref="E66">
    <cfRule type="cellIs" dxfId="820" priority="42853" stopIfTrue="1" operator="notEqual">
      <formula>"MGD"</formula>
    </cfRule>
  </conditionalFormatting>
  <conditionalFormatting sqref="F66">
    <cfRule type="cellIs" dxfId="819" priority="42854" stopIfTrue="1" operator="notEqual">
      <formula>0.035</formula>
    </cfRule>
  </conditionalFormatting>
  <conditionalFormatting sqref="G66">
    <cfRule type="cellIs" dxfId="818" priority="42855" stopIfTrue="1" operator="notEqual">
      <formula>"MGD"</formula>
    </cfRule>
  </conditionalFormatting>
  <conditionalFormatting sqref="H66">
    <cfRule type="expression" dxfId="817" priority="42856" stopIfTrue="1">
      <formula>NOT(ISBLANK($H$66))</formula>
    </cfRule>
  </conditionalFormatting>
  <conditionalFormatting sqref="I66">
    <cfRule type="expression" dxfId="816" priority="42857" stopIfTrue="1">
      <formula>NOT(ISBLANK($I$66))</formula>
    </cfRule>
  </conditionalFormatting>
  <conditionalFormatting sqref="J66">
    <cfRule type="expression" dxfId="815" priority="42858" stopIfTrue="1">
      <formula>NOT(ISBLANK($J$66))</formula>
    </cfRule>
  </conditionalFormatting>
  <conditionalFormatting sqref="K66">
    <cfRule type="expression" dxfId="814" priority="42859" stopIfTrue="1">
      <formula>NOT(ISBLANK($K$66))</formula>
    </cfRule>
  </conditionalFormatting>
  <conditionalFormatting sqref="L66">
    <cfRule type="expression" dxfId="813" priority="42860" stopIfTrue="1">
      <formula>NOT(ISBLANK($L$66))</formula>
    </cfRule>
  </conditionalFormatting>
  <conditionalFormatting sqref="M66">
    <cfRule type="expression" dxfId="812" priority="42861" stopIfTrue="1">
      <formula>NOT(ISBLANK($M$66))</formula>
    </cfRule>
  </conditionalFormatting>
  <conditionalFormatting sqref="N66">
    <cfRule type="expression" dxfId="811" priority="42862" stopIfTrue="1">
      <formula>NOT(ISBLANK($N$66))</formula>
    </cfRule>
  </conditionalFormatting>
  <conditionalFormatting sqref="O66">
    <cfRule type="expression" dxfId="810" priority="42863" stopIfTrue="1">
      <formula>NOT(ISBLANK($O$66))</formula>
    </cfRule>
  </conditionalFormatting>
  <conditionalFormatting sqref="P66">
    <cfRule type="expression" dxfId="809" priority="42864" stopIfTrue="1">
      <formula>NOT(ISBLANK($P$66))</formula>
    </cfRule>
  </conditionalFormatting>
  <conditionalFormatting sqref="Q66">
    <cfRule type="expression" dxfId="808" priority="42865" stopIfTrue="1">
      <formula>NOT(ISBLANK($Q$66))</formula>
    </cfRule>
  </conditionalFormatting>
  <conditionalFormatting sqref="R66">
    <cfRule type="expression" dxfId="807" priority="42866" stopIfTrue="1">
      <formula>NOT(ISBLANK($R$66))</formula>
    </cfRule>
  </conditionalFormatting>
  <conditionalFormatting sqref="S66">
    <cfRule type="expression" dxfId="806" priority="42867" stopIfTrue="1">
      <formula>NOT(ISBLANK($S$66))</formula>
    </cfRule>
  </conditionalFormatting>
  <conditionalFormatting sqref="T66">
    <cfRule type="expression" dxfId="805" priority="42868" stopIfTrue="1">
      <formula>NOT(ISBLANK($T$66))</formula>
    </cfRule>
  </conditionalFormatting>
  <conditionalFormatting sqref="U66">
    <cfRule type="expression" dxfId="804" priority="42869" stopIfTrue="1">
      <formula>NOT(ISBLANK($U$66))</formula>
    </cfRule>
  </conditionalFormatting>
  <conditionalFormatting sqref="V66">
    <cfRule type="expression" dxfId="803" priority="42870" stopIfTrue="1">
      <formula>NOT(ISBLANK($V$66))</formula>
    </cfRule>
  </conditionalFormatting>
  <conditionalFormatting sqref="W66">
    <cfRule type="expression" dxfId="802" priority="42871" stopIfTrue="1">
      <formula>NOT(ISBLANK($W$66))</formula>
    </cfRule>
  </conditionalFormatting>
  <conditionalFormatting sqref="X66">
    <cfRule type="expression" dxfId="801" priority="42872" stopIfTrue="1">
      <formula>NOT(ISBLANK($X$66))</formula>
    </cfRule>
  </conditionalFormatting>
  <conditionalFormatting sqref="Y66">
    <cfRule type="expression" dxfId="800" priority="42873" stopIfTrue="1">
      <formula>NOT(ISBLANK($Y$66))</formula>
    </cfRule>
  </conditionalFormatting>
  <conditionalFormatting sqref="Z66">
    <cfRule type="expression" dxfId="799" priority="42874" stopIfTrue="1">
      <formula>NOT(ISBLANK($Z$66))</formula>
    </cfRule>
  </conditionalFormatting>
  <conditionalFormatting sqref="AA66">
    <cfRule type="expression" dxfId="798" priority="42875" stopIfTrue="1">
      <formula>NOT(ISBLANK($AA$66))</formula>
    </cfRule>
  </conditionalFormatting>
  <conditionalFormatting sqref="AB66">
    <cfRule type="expression" dxfId="797" priority="42876" stopIfTrue="1">
      <formula>NOT(ISBLANK($AB$66))</formula>
    </cfRule>
  </conditionalFormatting>
  <conditionalFormatting sqref="AC66">
    <cfRule type="expression" dxfId="796" priority="42877" stopIfTrue="1">
      <formula>NOT(ISBLANK($AC$66))</formula>
    </cfRule>
  </conditionalFormatting>
  <conditionalFormatting sqref="AD66">
    <cfRule type="expression" dxfId="795" priority="42878" stopIfTrue="1">
      <formula>NOT(ISBLANK($AD$66))</formula>
    </cfRule>
  </conditionalFormatting>
  <conditionalFormatting sqref="AE66">
    <cfRule type="expression" dxfId="794" priority="42879" stopIfTrue="1">
      <formula>NOT(ISBLANK($AE$66))</formula>
    </cfRule>
  </conditionalFormatting>
  <conditionalFormatting sqref="AF66">
    <cfRule type="expression" dxfId="793" priority="42880" stopIfTrue="1">
      <formula>NOT(ISBLANK($AF$66))</formula>
    </cfRule>
  </conditionalFormatting>
  <conditionalFormatting sqref="AG66">
    <cfRule type="expression" dxfId="792" priority="42881" stopIfTrue="1">
      <formula>NOT(ISBLANK($AG$66))</formula>
    </cfRule>
  </conditionalFormatting>
  <conditionalFormatting sqref="AH66">
    <cfRule type="expression" dxfId="791" priority="42882" stopIfTrue="1">
      <formula>NOT(ISBLANK($AH$66))</formula>
    </cfRule>
  </conditionalFormatting>
  <conditionalFormatting sqref="AI66">
    <cfRule type="expression" dxfId="790" priority="42883" stopIfTrue="1">
      <formula>NOT(ISBLANK($AI$66))</formula>
    </cfRule>
  </conditionalFormatting>
  <conditionalFormatting sqref="AJ66">
    <cfRule type="expression" dxfId="789" priority="42884" stopIfTrue="1">
      <formula>NOT(ISBLANK($AJ$66))</formula>
    </cfRule>
  </conditionalFormatting>
  <conditionalFormatting sqref="AK66">
    <cfRule type="expression" dxfId="788" priority="42885" stopIfTrue="1">
      <formula>NOT(ISBLANK($AK$66))</formula>
    </cfRule>
  </conditionalFormatting>
  <conditionalFormatting sqref="AL66">
    <cfRule type="expression" dxfId="787" priority="42886" stopIfTrue="1">
      <formula>NOT(ISBLANK($AL$66))</formula>
    </cfRule>
  </conditionalFormatting>
  <conditionalFormatting sqref="AM66">
    <cfRule type="expression" dxfId="786" priority="42887" stopIfTrue="1">
      <formula>NOT(ISBLANK($AM$66))</formula>
    </cfRule>
  </conditionalFormatting>
  <conditionalFormatting sqref="AN66">
    <cfRule type="expression" dxfId="785" priority="42888" stopIfTrue="1">
      <formula>NOT(ISBLANK($AN$66))</formula>
    </cfRule>
  </conditionalFormatting>
  <conditionalFormatting sqref="AO66">
    <cfRule type="expression" dxfId="784" priority="42889" stopIfTrue="1">
      <formula>NOT(ISBLANK($AO$66))</formula>
    </cfRule>
  </conditionalFormatting>
  <conditionalFormatting sqref="AP66">
    <cfRule type="expression" dxfId="783" priority="42890" stopIfTrue="1">
      <formula>NOT(ISBLANK($AP$66))</formula>
    </cfRule>
  </conditionalFormatting>
  <conditionalFormatting sqref="AQ66">
    <cfRule type="expression" dxfId="782" priority="42891" stopIfTrue="1">
      <formula>NOT(ISBLANK($AQ$66))</formula>
    </cfRule>
  </conditionalFormatting>
  <conditionalFormatting sqref="AR66">
    <cfRule type="expression" dxfId="781" priority="42892" stopIfTrue="1">
      <formula>NOT(ISBLANK($AR$66))</formula>
    </cfRule>
  </conditionalFormatting>
  <conditionalFormatting sqref="AS66">
    <cfRule type="expression" dxfId="780" priority="42893" stopIfTrue="1">
      <formula>NOT(ISBLANK($AS$66))</formula>
    </cfRule>
  </conditionalFormatting>
  <conditionalFormatting sqref="AT66">
    <cfRule type="expression" dxfId="779" priority="42894" stopIfTrue="1">
      <formula>NOT(ISBLANK($AT$66))</formula>
    </cfRule>
  </conditionalFormatting>
  <conditionalFormatting sqref="AU66">
    <cfRule type="expression" dxfId="778" priority="42895" stopIfTrue="1">
      <formula>NOT(ISBLANK($AU$66))</formula>
    </cfRule>
  </conditionalFormatting>
  <conditionalFormatting sqref="AV66">
    <cfRule type="expression" dxfId="777" priority="42896" stopIfTrue="1">
      <formula>NOT(ISBLANK($AV$66))</formula>
    </cfRule>
  </conditionalFormatting>
  <conditionalFormatting sqref="AW66">
    <cfRule type="expression" dxfId="776" priority="42897" stopIfTrue="1">
      <formula>NOT(ISBLANK($AW$66))</formula>
    </cfRule>
  </conditionalFormatting>
  <conditionalFormatting sqref="AX66">
    <cfRule type="expression" dxfId="775" priority="42898" stopIfTrue="1">
      <formula>NOT(ISBLANK($AX$66))</formula>
    </cfRule>
  </conditionalFormatting>
  <conditionalFormatting sqref="AY66">
    <cfRule type="expression" dxfId="774" priority="42899" stopIfTrue="1">
      <formula>NOT(ISBLANK($AY$66))</formula>
    </cfRule>
  </conditionalFormatting>
  <conditionalFormatting sqref="AZ66">
    <cfRule type="cellIs" dxfId="773" priority="42900" stopIfTrue="1" operator="notEqual">
      <formula>"fully automated"</formula>
    </cfRule>
  </conditionalFormatting>
  <conditionalFormatting sqref="BA66">
    <cfRule type="expression" dxfId="772" priority="42901" stopIfTrue="1">
      <formula>NOT(ISBLANK($BA$66))</formula>
    </cfRule>
  </conditionalFormatting>
  <conditionalFormatting sqref="BB66">
    <cfRule type="expression" dxfId="771" priority="42902" stopIfTrue="1">
      <formula>NOT(ISBLANK($BB$66))</formula>
    </cfRule>
  </conditionalFormatting>
  <conditionalFormatting sqref="BC66">
    <cfRule type="expression" dxfId="770" priority="42903" stopIfTrue="1">
      <formula>NOT(ISBLANK($BC$66))</formula>
    </cfRule>
  </conditionalFormatting>
  <conditionalFormatting sqref="A67">
    <cfRule type="cellIs" dxfId="769" priority="42904" stopIfTrue="1" operator="notEqual">
      <formula>3</formula>
    </cfRule>
  </conditionalFormatting>
  <conditionalFormatting sqref="B67">
    <cfRule type="cellIs" dxfId="768" priority="42905" stopIfTrue="1" operator="notEqual">
      <formula>2</formula>
    </cfRule>
  </conditionalFormatting>
  <conditionalFormatting sqref="C67">
    <cfRule type="cellIs" dxfId="767" priority="42906" stopIfTrue="1" operator="notEqual">
      <formula>3</formula>
    </cfRule>
  </conditionalFormatting>
  <conditionalFormatting sqref="D67">
    <cfRule type="cellIs" dxfId="766" priority="42907" stopIfTrue="1" operator="notEqual">
      <formula>0.305</formula>
    </cfRule>
  </conditionalFormatting>
  <conditionalFormatting sqref="E67">
    <cfRule type="cellIs" dxfId="765" priority="42908" stopIfTrue="1" operator="notEqual">
      <formula>"MGD"</formula>
    </cfRule>
  </conditionalFormatting>
  <conditionalFormatting sqref="F67">
    <cfRule type="cellIs" dxfId="764" priority="42909" stopIfTrue="1" operator="notEqual">
      <formula>0.094</formula>
    </cfRule>
  </conditionalFormatting>
  <conditionalFormatting sqref="G67">
    <cfRule type="cellIs" dxfId="763" priority="42910" stopIfTrue="1" operator="notEqual">
      <formula>"MGD"</formula>
    </cfRule>
  </conditionalFormatting>
  <conditionalFormatting sqref="H67">
    <cfRule type="expression" dxfId="762" priority="42911" stopIfTrue="1">
      <formula>NOT(ISBLANK($H$67))</formula>
    </cfRule>
  </conditionalFormatting>
  <conditionalFormatting sqref="I67">
    <cfRule type="expression" dxfId="761" priority="42912" stopIfTrue="1">
      <formula>NOT(ISBLANK($I$67))</formula>
    </cfRule>
  </conditionalFormatting>
  <conditionalFormatting sqref="J67">
    <cfRule type="expression" dxfId="760" priority="42913" stopIfTrue="1">
      <formula>NOT(ISBLANK($J$67))</formula>
    </cfRule>
  </conditionalFormatting>
  <conditionalFormatting sqref="K67">
    <cfRule type="expression" dxfId="759" priority="42914" stopIfTrue="1">
      <formula>NOT(ISBLANK($K$67))</formula>
    </cfRule>
  </conditionalFormatting>
  <conditionalFormatting sqref="L67">
    <cfRule type="expression" dxfId="758" priority="42915" stopIfTrue="1">
      <formula>NOT(ISBLANK($L$67))</formula>
    </cfRule>
  </conditionalFormatting>
  <conditionalFormatting sqref="M67">
    <cfRule type="expression" dxfId="757" priority="42916" stopIfTrue="1">
      <formula>NOT(ISBLANK($M$67))</formula>
    </cfRule>
  </conditionalFormatting>
  <conditionalFormatting sqref="N67">
    <cfRule type="expression" dxfId="756" priority="42917" stopIfTrue="1">
      <formula>NOT(ISBLANK($N$67))</formula>
    </cfRule>
  </conditionalFormatting>
  <conditionalFormatting sqref="O67">
    <cfRule type="expression" dxfId="755" priority="42918" stopIfTrue="1">
      <formula>NOT(ISBLANK($O$67))</formula>
    </cfRule>
  </conditionalFormatting>
  <conditionalFormatting sqref="P67">
    <cfRule type="expression" dxfId="754" priority="42919" stopIfTrue="1">
      <formula>NOT(ISBLANK($P$67))</formula>
    </cfRule>
  </conditionalFormatting>
  <conditionalFormatting sqref="Q67">
    <cfRule type="expression" dxfId="753" priority="42920" stopIfTrue="1">
      <formula>NOT(ISBLANK($Q$67))</formula>
    </cfRule>
  </conditionalFormatting>
  <conditionalFormatting sqref="R67">
    <cfRule type="expression" dxfId="752" priority="42921" stopIfTrue="1">
      <formula>NOT(ISBLANK($R$67))</formula>
    </cfRule>
  </conditionalFormatting>
  <conditionalFormatting sqref="S67">
    <cfRule type="expression" dxfId="751" priority="42922" stopIfTrue="1">
      <formula>NOT(ISBLANK($S$67))</formula>
    </cfRule>
  </conditionalFormatting>
  <conditionalFormatting sqref="T67">
    <cfRule type="expression" dxfId="750" priority="42923" stopIfTrue="1">
      <formula>NOT(ISBLANK($T$67))</formula>
    </cfRule>
  </conditionalFormatting>
  <conditionalFormatting sqref="U67">
    <cfRule type="expression" dxfId="749" priority="42924" stopIfTrue="1">
      <formula>NOT(ISBLANK($U$67))</formula>
    </cfRule>
  </conditionalFormatting>
  <conditionalFormatting sqref="V67">
    <cfRule type="expression" dxfId="748" priority="42925" stopIfTrue="1">
      <formula>NOT(ISBLANK($V$67))</formula>
    </cfRule>
  </conditionalFormatting>
  <conditionalFormatting sqref="W67">
    <cfRule type="expression" dxfId="747" priority="42926" stopIfTrue="1">
      <formula>NOT(ISBLANK($W$67))</formula>
    </cfRule>
  </conditionalFormatting>
  <conditionalFormatting sqref="X67">
    <cfRule type="expression" dxfId="746" priority="42927" stopIfTrue="1">
      <formula>NOT(ISBLANK($X$67))</formula>
    </cfRule>
  </conditionalFormatting>
  <conditionalFormatting sqref="Y67">
    <cfRule type="expression" dxfId="745" priority="42928" stopIfTrue="1">
      <formula>NOT(ISBLANK($Y$67))</formula>
    </cfRule>
  </conditionalFormatting>
  <conditionalFormatting sqref="Z67">
    <cfRule type="expression" dxfId="744" priority="42929" stopIfTrue="1">
      <formula>NOT(ISBLANK($Z$67))</formula>
    </cfRule>
  </conditionalFormatting>
  <conditionalFormatting sqref="AA67">
    <cfRule type="expression" dxfId="743" priority="42930" stopIfTrue="1">
      <formula>NOT(ISBLANK($AA$67))</formula>
    </cfRule>
  </conditionalFormatting>
  <conditionalFormatting sqref="AB67">
    <cfRule type="expression" dxfId="742" priority="42931" stopIfTrue="1">
      <formula>NOT(ISBLANK($AB$67))</formula>
    </cfRule>
  </conditionalFormatting>
  <conditionalFormatting sqref="AC67">
    <cfRule type="expression" dxfId="741" priority="42932" stopIfTrue="1">
      <formula>NOT(ISBLANK($AC$67))</formula>
    </cfRule>
  </conditionalFormatting>
  <conditionalFormatting sqref="AD67">
    <cfRule type="expression" dxfId="740" priority="42933" stopIfTrue="1">
      <formula>NOT(ISBLANK($AD$67))</formula>
    </cfRule>
  </conditionalFormatting>
  <conditionalFormatting sqref="AE67">
    <cfRule type="expression" dxfId="739" priority="42934" stopIfTrue="1">
      <formula>NOT(ISBLANK($AE$67))</formula>
    </cfRule>
  </conditionalFormatting>
  <conditionalFormatting sqref="AF67">
    <cfRule type="expression" dxfId="738" priority="42935" stopIfTrue="1">
      <formula>NOT(ISBLANK($AF$67))</formula>
    </cfRule>
  </conditionalFormatting>
  <conditionalFormatting sqref="AG67">
    <cfRule type="expression" dxfId="737" priority="42936" stopIfTrue="1">
      <formula>NOT(ISBLANK($AG$67))</formula>
    </cfRule>
  </conditionalFormatting>
  <conditionalFormatting sqref="AH67">
    <cfRule type="expression" dxfId="736" priority="42937" stopIfTrue="1">
      <formula>NOT(ISBLANK($AH$67))</formula>
    </cfRule>
  </conditionalFormatting>
  <conditionalFormatting sqref="AI67">
    <cfRule type="expression" dxfId="735" priority="42938" stopIfTrue="1">
      <formula>NOT(ISBLANK($AI$67))</formula>
    </cfRule>
  </conditionalFormatting>
  <conditionalFormatting sqref="AJ67">
    <cfRule type="expression" dxfId="734" priority="42939" stopIfTrue="1">
      <formula>NOT(ISBLANK($AJ$67))</formula>
    </cfRule>
  </conditionalFormatting>
  <conditionalFormatting sqref="AK67">
    <cfRule type="expression" dxfId="733" priority="42940" stopIfTrue="1">
      <formula>NOT(ISBLANK($AK$67))</formula>
    </cfRule>
  </conditionalFormatting>
  <conditionalFormatting sqref="AL67">
    <cfRule type="expression" dxfId="732" priority="42941" stopIfTrue="1">
      <formula>NOT(ISBLANK($AL$67))</formula>
    </cfRule>
  </conditionalFormatting>
  <conditionalFormatting sqref="AM67">
    <cfRule type="expression" dxfId="731" priority="42942" stopIfTrue="1">
      <formula>NOT(ISBLANK($AM$67))</formula>
    </cfRule>
  </conditionalFormatting>
  <conditionalFormatting sqref="AN67">
    <cfRule type="expression" dxfId="730" priority="42943" stopIfTrue="1">
      <formula>NOT(ISBLANK($AN$67))</formula>
    </cfRule>
  </conditionalFormatting>
  <conditionalFormatting sqref="AO67">
    <cfRule type="expression" dxfId="729" priority="42944" stopIfTrue="1">
      <formula>NOT(ISBLANK($AO$67))</formula>
    </cfRule>
  </conditionalFormatting>
  <conditionalFormatting sqref="AP67">
    <cfRule type="expression" dxfId="728" priority="42945" stopIfTrue="1">
      <formula>NOT(ISBLANK($AP$67))</formula>
    </cfRule>
  </conditionalFormatting>
  <conditionalFormatting sqref="AQ67">
    <cfRule type="expression" dxfId="727" priority="42946" stopIfTrue="1">
      <formula>NOT(ISBLANK($AQ$67))</formula>
    </cfRule>
  </conditionalFormatting>
  <conditionalFormatting sqref="AR67">
    <cfRule type="expression" dxfId="726" priority="42947" stopIfTrue="1">
      <formula>NOT(ISBLANK($AR$67))</formula>
    </cfRule>
  </conditionalFormatting>
  <conditionalFormatting sqref="AS67">
    <cfRule type="expression" dxfId="725" priority="42948" stopIfTrue="1">
      <formula>NOT(ISBLANK($AS$67))</formula>
    </cfRule>
  </conditionalFormatting>
  <conditionalFormatting sqref="AT67">
    <cfRule type="expression" dxfId="724" priority="42949" stopIfTrue="1">
      <formula>NOT(ISBLANK($AT$67))</formula>
    </cfRule>
  </conditionalFormatting>
  <conditionalFormatting sqref="AU67">
    <cfRule type="expression" dxfId="723" priority="42950" stopIfTrue="1">
      <formula>NOT(ISBLANK($AU$67))</formula>
    </cfRule>
  </conditionalFormatting>
  <conditionalFormatting sqref="AV67">
    <cfRule type="expression" dxfId="722" priority="42951" stopIfTrue="1">
      <formula>NOT(ISBLANK($AV$67))</formula>
    </cfRule>
  </conditionalFormatting>
  <conditionalFormatting sqref="AW67">
    <cfRule type="expression" dxfId="721" priority="42952" stopIfTrue="1">
      <formula>NOT(ISBLANK($AW$67))</formula>
    </cfRule>
  </conditionalFormatting>
  <conditionalFormatting sqref="AX67">
    <cfRule type="expression" dxfId="720" priority="42953" stopIfTrue="1">
      <formula>NOT(ISBLANK($AX$67))</formula>
    </cfRule>
  </conditionalFormatting>
  <conditionalFormatting sqref="AY67">
    <cfRule type="expression" dxfId="719" priority="42954" stopIfTrue="1">
      <formula>NOT(ISBLANK($AY$67))</formula>
    </cfRule>
  </conditionalFormatting>
  <conditionalFormatting sqref="AZ67">
    <cfRule type="cellIs" dxfId="718" priority="42955" stopIfTrue="1" operator="notEqual">
      <formula>"fully automated"</formula>
    </cfRule>
  </conditionalFormatting>
  <conditionalFormatting sqref="BA67">
    <cfRule type="expression" dxfId="717" priority="42956" stopIfTrue="1">
      <formula>NOT(ISBLANK($BA$67))</formula>
    </cfRule>
  </conditionalFormatting>
  <conditionalFormatting sqref="BB67">
    <cfRule type="expression" dxfId="716" priority="42957" stopIfTrue="1">
      <formula>NOT(ISBLANK($BB$67))</formula>
    </cfRule>
  </conditionalFormatting>
  <conditionalFormatting sqref="BC67">
    <cfRule type="expression" dxfId="715" priority="42958" stopIfTrue="1">
      <formula>NOT(ISBLANK($BC$67))</formula>
    </cfRule>
  </conditionalFormatting>
  <conditionalFormatting sqref="A68">
    <cfRule type="cellIs" dxfId="714" priority="42959" stopIfTrue="1" operator="notEqual">
      <formula>3</formula>
    </cfRule>
  </conditionalFormatting>
  <conditionalFormatting sqref="B68">
    <cfRule type="cellIs" dxfId="713" priority="42960" stopIfTrue="1" operator="notEqual">
      <formula>2</formula>
    </cfRule>
  </conditionalFormatting>
  <conditionalFormatting sqref="C68">
    <cfRule type="cellIs" dxfId="712" priority="42961" stopIfTrue="1" operator="notEqual">
      <formula>4</formula>
    </cfRule>
  </conditionalFormatting>
  <conditionalFormatting sqref="D68">
    <cfRule type="cellIs" dxfId="711" priority="42962" stopIfTrue="1" operator="notEqual">
      <formula>0.74</formula>
    </cfRule>
  </conditionalFormatting>
  <conditionalFormatting sqref="E68">
    <cfRule type="cellIs" dxfId="710" priority="42963" stopIfTrue="1" operator="notEqual">
      <formula>"MGD"</formula>
    </cfRule>
  </conditionalFormatting>
  <conditionalFormatting sqref="F68">
    <cfRule type="cellIs" dxfId="709" priority="42964" stopIfTrue="1" operator="notEqual">
      <formula>0.251</formula>
    </cfRule>
  </conditionalFormatting>
  <conditionalFormatting sqref="G68">
    <cfRule type="cellIs" dxfId="708" priority="42965" stopIfTrue="1" operator="notEqual">
      <formula>"MGD"</formula>
    </cfRule>
  </conditionalFormatting>
  <conditionalFormatting sqref="H68">
    <cfRule type="expression" dxfId="707" priority="42966" stopIfTrue="1">
      <formula>NOT(ISBLANK($H$68))</formula>
    </cfRule>
  </conditionalFormatting>
  <conditionalFormatting sqref="I68">
    <cfRule type="expression" dxfId="706" priority="42967" stopIfTrue="1">
      <formula>NOT(ISBLANK($I$68))</formula>
    </cfRule>
  </conditionalFormatting>
  <conditionalFormatting sqref="J68">
    <cfRule type="expression" dxfId="705" priority="42968" stopIfTrue="1">
      <formula>NOT(ISBLANK($J$68))</formula>
    </cfRule>
  </conditionalFormatting>
  <conditionalFormatting sqref="K68">
    <cfRule type="expression" dxfId="704" priority="42969" stopIfTrue="1">
      <formula>NOT(ISBLANK($K$68))</formula>
    </cfRule>
  </conditionalFormatting>
  <conditionalFormatting sqref="L68">
    <cfRule type="expression" dxfId="703" priority="42970" stopIfTrue="1">
      <formula>NOT(ISBLANK($L$68))</formula>
    </cfRule>
  </conditionalFormatting>
  <conditionalFormatting sqref="M68">
    <cfRule type="expression" dxfId="702" priority="42971" stopIfTrue="1">
      <formula>NOT(ISBLANK($M$68))</formula>
    </cfRule>
  </conditionalFormatting>
  <conditionalFormatting sqref="N68">
    <cfRule type="expression" dxfId="701" priority="42972" stopIfTrue="1">
      <formula>NOT(ISBLANK($N$68))</formula>
    </cfRule>
  </conditionalFormatting>
  <conditionalFormatting sqref="O68">
    <cfRule type="expression" dxfId="700" priority="42973" stopIfTrue="1">
      <formula>NOT(ISBLANK($O$68))</formula>
    </cfRule>
  </conditionalFormatting>
  <conditionalFormatting sqref="P68">
    <cfRule type="expression" dxfId="699" priority="42974" stopIfTrue="1">
      <formula>NOT(ISBLANK($P$68))</formula>
    </cfRule>
  </conditionalFormatting>
  <conditionalFormatting sqref="Q68">
    <cfRule type="expression" dxfId="698" priority="42975" stopIfTrue="1">
      <formula>NOT(ISBLANK($Q$68))</formula>
    </cfRule>
  </conditionalFormatting>
  <conditionalFormatting sqref="R68">
    <cfRule type="expression" dxfId="697" priority="42976" stopIfTrue="1">
      <formula>NOT(ISBLANK($R$68))</formula>
    </cfRule>
  </conditionalFormatting>
  <conditionalFormatting sqref="S68">
    <cfRule type="expression" dxfId="696" priority="42977" stopIfTrue="1">
      <formula>NOT(ISBLANK($S$68))</formula>
    </cfRule>
  </conditionalFormatting>
  <conditionalFormatting sqref="T68">
    <cfRule type="expression" dxfId="695" priority="42978" stopIfTrue="1">
      <formula>NOT(ISBLANK($T$68))</formula>
    </cfRule>
  </conditionalFormatting>
  <conditionalFormatting sqref="U68">
    <cfRule type="expression" dxfId="694" priority="42979" stopIfTrue="1">
      <formula>NOT(ISBLANK($U$68))</formula>
    </cfRule>
  </conditionalFormatting>
  <conditionalFormatting sqref="V68">
    <cfRule type="expression" dxfId="693" priority="42980" stopIfTrue="1">
      <formula>NOT(ISBLANK($V$68))</formula>
    </cfRule>
  </conditionalFormatting>
  <conditionalFormatting sqref="W68">
    <cfRule type="expression" dxfId="692" priority="42981" stopIfTrue="1">
      <formula>NOT(ISBLANK($W$68))</formula>
    </cfRule>
  </conditionalFormatting>
  <conditionalFormatting sqref="X68">
    <cfRule type="expression" dxfId="691" priority="42982" stopIfTrue="1">
      <formula>NOT(ISBLANK($X$68))</formula>
    </cfRule>
  </conditionalFormatting>
  <conditionalFormatting sqref="Y68">
    <cfRule type="expression" dxfId="690" priority="42983" stopIfTrue="1">
      <formula>NOT(ISBLANK($Y$68))</formula>
    </cfRule>
  </conditionalFormatting>
  <conditionalFormatting sqref="Z68">
    <cfRule type="expression" dxfId="689" priority="42984" stopIfTrue="1">
      <formula>NOT(ISBLANK($Z$68))</formula>
    </cfRule>
  </conditionalFormatting>
  <conditionalFormatting sqref="AA68">
    <cfRule type="expression" dxfId="688" priority="42985" stopIfTrue="1">
      <formula>NOT(ISBLANK($AA$68))</formula>
    </cfRule>
  </conditionalFormatting>
  <conditionalFormatting sqref="AB68">
    <cfRule type="expression" dxfId="687" priority="42986" stopIfTrue="1">
      <formula>NOT(ISBLANK($AB$68))</formula>
    </cfRule>
  </conditionalFormatting>
  <conditionalFormatting sqref="AC68">
    <cfRule type="expression" dxfId="686" priority="42987" stopIfTrue="1">
      <formula>NOT(ISBLANK($AC$68))</formula>
    </cfRule>
  </conditionalFormatting>
  <conditionalFormatting sqref="AD68">
    <cfRule type="expression" dxfId="685" priority="42988" stopIfTrue="1">
      <formula>NOT(ISBLANK($AD$68))</formula>
    </cfRule>
  </conditionalFormatting>
  <conditionalFormatting sqref="AE68">
    <cfRule type="expression" dxfId="684" priority="42989" stopIfTrue="1">
      <formula>NOT(ISBLANK($AE$68))</formula>
    </cfRule>
  </conditionalFormatting>
  <conditionalFormatting sqref="AF68">
    <cfRule type="expression" dxfId="683" priority="42990" stopIfTrue="1">
      <formula>NOT(ISBLANK($AF$68))</formula>
    </cfRule>
  </conditionalFormatting>
  <conditionalFormatting sqref="AG68">
    <cfRule type="expression" dxfId="682" priority="42991" stopIfTrue="1">
      <formula>NOT(ISBLANK($AG$68))</formula>
    </cfRule>
  </conditionalFormatting>
  <conditionalFormatting sqref="AH68">
    <cfRule type="expression" dxfId="681" priority="42992" stopIfTrue="1">
      <formula>NOT(ISBLANK($AH$68))</formula>
    </cfRule>
  </conditionalFormatting>
  <conditionalFormatting sqref="AI68">
    <cfRule type="expression" dxfId="680" priority="42993" stopIfTrue="1">
      <formula>NOT(ISBLANK($AI$68))</formula>
    </cfRule>
  </conditionalFormatting>
  <conditionalFormatting sqref="AJ68">
    <cfRule type="expression" dxfId="679" priority="42994" stopIfTrue="1">
      <formula>NOT(ISBLANK($AJ$68))</formula>
    </cfRule>
  </conditionalFormatting>
  <conditionalFormatting sqref="AK68">
    <cfRule type="expression" dxfId="678" priority="42995" stopIfTrue="1">
      <formula>NOT(ISBLANK($AK$68))</formula>
    </cfRule>
  </conditionalFormatting>
  <conditionalFormatting sqref="AL68">
    <cfRule type="expression" dxfId="677" priority="42996" stopIfTrue="1">
      <formula>NOT(ISBLANK($AL$68))</formula>
    </cfRule>
  </conditionalFormatting>
  <conditionalFormatting sqref="AM68">
    <cfRule type="expression" dxfId="676" priority="42997" stopIfTrue="1">
      <formula>NOT(ISBLANK($AM$68))</formula>
    </cfRule>
  </conditionalFormatting>
  <conditionalFormatting sqref="AN68">
    <cfRule type="expression" dxfId="675" priority="42998" stopIfTrue="1">
      <formula>NOT(ISBLANK($AN$68))</formula>
    </cfRule>
  </conditionalFormatting>
  <conditionalFormatting sqref="AO68">
    <cfRule type="expression" dxfId="674" priority="42999" stopIfTrue="1">
      <formula>NOT(ISBLANK($AO$68))</formula>
    </cfRule>
  </conditionalFormatting>
  <conditionalFormatting sqref="AP68">
    <cfRule type="expression" dxfId="673" priority="43000" stopIfTrue="1">
      <formula>NOT(ISBLANK($AP$68))</formula>
    </cfRule>
  </conditionalFormatting>
  <conditionalFormatting sqref="AQ68">
    <cfRule type="expression" dxfId="672" priority="43001" stopIfTrue="1">
      <formula>NOT(ISBLANK($AQ$68))</formula>
    </cfRule>
  </conditionalFormatting>
  <conditionalFormatting sqref="AR68">
    <cfRule type="expression" dxfId="671" priority="43002" stopIfTrue="1">
      <formula>NOT(ISBLANK($AR$68))</formula>
    </cfRule>
  </conditionalFormatting>
  <conditionalFormatting sqref="AS68">
    <cfRule type="expression" dxfId="670" priority="43003" stopIfTrue="1">
      <formula>NOT(ISBLANK($AS$68))</formula>
    </cfRule>
  </conditionalFormatting>
  <conditionalFormatting sqref="AT68">
    <cfRule type="expression" dxfId="669" priority="43004" stopIfTrue="1">
      <formula>NOT(ISBLANK($AT$68))</formula>
    </cfRule>
  </conditionalFormatting>
  <conditionalFormatting sqref="AU68">
    <cfRule type="expression" dxfId="668" priority="43005" stopIfTrue="1">
      <formula>NOT(ISBLANK($AU$68))</formula>
    </cfRule>
  </conditionalFormatting>
  <conditionalFormatting sqref="AV68">
    <cfRule type="expression" dxfId="667" priority="43006" stopIfTrue="1">
      <formula>NOT(ISBLANK($AV$68))</formula>
    </cfRule>
  </conditionalFormatting>
  <conditionalFormatting sqref="AW68">
    <cfRule type="expression" dxfId="666" priority="43007" stopIfTrue="1">
      <formula>NOT(ISBLANK($AW$68))</formula>
    </cfRule>
  </conditionalFormatting>
  <conditionalFormatting sqref="AX68">
    <cfRule type="expression" dxfId="665" priority="43008" stopIfTrue="1">
      <formula>NOT(ISBLANK($AX$68))</formula>
    </cfRule>
  </conditionalFormatting>
  <conditionalFormatting sqref="AY68">
    <cfRule type="expression" dxfId="664" priority="43009" stopIfTrue="1">
      <formula>NOT(ISBLANK($AY$68))</formula>
    </cfRule>
  </conditionalFormatting>
  <conditionalFormatting sqref="AZ68">
    <cfRule type="cellIs" dxfId="663" priority="43010" stopIfTrue="1" operator="notEqual">
      <formula>"fully automated"</formula>
    </cfRule>
  </conditionalFormatting>
  <conditionalFormatting sqref="BA68">
    <cfRule type="expression" dxfId="662" priority="43011" stopIfTrue="1">
      <formula>NOT(ISBLANK($BA$68))</formula>
    </cfRule>
  </conditionalFormatting>
  <conditionalFormatting sqref="BB68">
    <cfRule type="expression" dxfId="661" priority="43012" stopIfTrue="1">
      <formula>NOT(ISBLANK($BB$68))</formula>
    </cfRule>
  </conditionalFormatting>
  <conditionalFormatting sqref="BC68">
    <cfRule type="expression" dxfId="660" priority="43013" stopIfTrue="1">
      <formula>NOT(ISBLANK($BC$68))</formula>
    </cfRule>
  </conditionalFormatting>
  <conditionalFormatting sqref="A69">
    <cfRule type="cellIs" dxfId="659" priority="43014" stopIfTrue="1" operator="notEqual">
      <formula>3</formula>
    </cfRule>
  </conditionalFormatting>
  <conditionalFormatting sqref="B69">
    <cfRule type="cellIs" dxfId="658" priority="43015" stopIfTrue="1" operator="notEqual">
      <formula>2</formula>
    </cfRule>
  </conditionalFormatting>
  <conditionalFormatting sqref="C69">
    <cfRule type="cellIs" dxfId="657" priority="43016" stopIfTrue="1" operator="notEqual">
      <formula>5</formula>
    </cfRule>
  </conditionalFormatting>
  <conditionalFormatting sqref="D69">
    <cfRule type="cellIs" dxfId="656" priority="43017" stopIfTrue="1" operator="notEqual">
      <formula>2.152</formula>
    </cfRule>
  </conditionalFormatting>
  <conditionalFormatting sqref="E69">
    <cfRule type="cellIs" dxfId="655" priority="43018" stopIfTrue="1" operator="notEqual">
      <formula>"MGD"</formula>
    </cfRule>
  </conditionalFormatting>
  <conditionalFormatting sqref="F69">
    <cfRule type="cellIs" dxfId="654" priority="43019" stopIfTrue="1" operator="notEqual">
      <formula>0.819</formula>
    </cfRule>
  </conditionalFormatting>
  <conditionalFormatting sqref="G69">
    <cfRule type="cellIs" dxfId="653" priority="43020" stopIfTrue="1" operator="notEqual">
      <formula>"MGD"</formula>
    </cfRule>
  </conditionalFormatting>
  <conditionalFormatting sqref="H69">
    <cfRule type="expression" dxfId="652" priority="43021" stopIfTrue="1">
      <formula>NOT(ISBLANK($H$69))</formula>
    </cfRule>
  </conditionalFormatting>
  <conditionalFormatting sqref="I69">
    <cfRule type="expression" dxfId="651" priority="43022" stopIfTrue="1">
      <formula>NOT(ISBLANK($I$69))</formula>
    </cfRule>
  </conditionalFormatting>
  <conditionalFormatting sqref="J69">
    <cfRule type="expression" dxfId="650" priority="43023" stopIfTrue="1">
      <formula>NOT(ISBLANK($J$69))</formula>
    </cfRule>
  </conditionalFormatting>
  <conditionalFormatting sqref="K69">
    <cfRule type="expression" dxfId="649" priority="43024" stopIfTrue="1">
      <formula>NOT(ISBLANK($K$69))</formula>
    </cfRule>
  </conditionalFormatting>
  <conditionalFormatting sqref="L69">
    <cfRule type="expression" dxfId="648" priority="43025" stopIfTrue="1">
      <formula>NOT(ISBLANK($L$69))</formula>
    </cfRule>
  </conditionalFormatting>
  <conditionalFormatting sqref="M69">
    <cfRule type="expression" dxfId="647" priority="43026" stopIfTrue="1">
      <formula>NOT(ISBLANK($M$69))</formula>
    </cfRule>
  </conditionalFormatting>
  <conditionalFormatting sqref="N69">
    <cfRule type="expression" dxfId="646" priority="43027" stopIfTrue="1">
      <formula>NOT(ISBLANK($N$69))</formula>
    </cfRule>
  </conditionalFormatting>
  <conditionalFormatting sqref="O69">
    <cfRule type="expression" dxfId="645" priority="43028" stopIfTrue="1">
      <formula>NOT(ISBLANK($O$69))</formula>
    </cfRule>
  </conditionalFormatting>
  <conditionalFormatting sqref="P69">
    <cfRule type="expression" dxfId="644" priority="43029" stopIfTrue="1">
      <formula>NOT(ISBLANK($P$69))</formula>
    </cfRule>
  </conditionalFormatting>
  <conditionalFormatting sqref="Q69">
    <cfRule type="expression" dxfId="643" priority="43030" stopIfTrue="1">
      <formula>NOT(ISBLANK($Q$69))</formula>
    </cfRule>
  </conditionalFormatting>
  <conditionalFormatting sqref="R69">
    <cfRule type="expression" dxfId="642" priority="43031" stopIfTrue="1">
      <formula>NOT(ISBLANK($R$69))</formula>
    </cfRule>
  </conditionalFormatting>
  <conditionalFormatting sqref="S69">
    <cfRule type="expression" dxfId="641" priority="43032" stopIfTrue="1">
      <formula>NOT(ISBLANK($S$69))</formula>
    </cfRule>
  </conditionalFormatting>
  <conditionalFormatting sqref="T69">
    <cfRule type="expression" dxfId="640" priority="43033" stopIfTrue="1">
      <formula>NOT(ISBLANK($T$69))</formula>
    </cfRule>
  </conditionalFormatting>
  <conditionalFormatting sqref="U69">
    <cfRule type="expression" dxfId="639" priority="43034" stopIfTrue="1">
      <formula>NOT(ISBLANK($U$69))</formula>
    </cfRule>
  </conditionalFormatting>
  <conditionalFormatting sqref="V69">
    <cfRule type="expression" dxfId="638" priority="43035" stopIfTrue="1">
      <formula>NOT(ISBLANK($V$69))</formula>
    </cfRule>
  </conditionalFormatting>
  <conditionalFormatting sqref="W69">
    <cfRule type="expression" dxfId="637" priority="43036" stopIfTrue="1">
      <formula>NOT(ISBLANK($W$69))</formula>
    </cfRule>
  </conditionalFormatting>
  <conditionalFormatting sqref="X69">
    <cfRule type="expression" dxfId="636" priority="43037" stopIfTrue="1">
      <formula>NOT(ISBLANK($X$69))</formula>
    </cfRule>
  </conditionalFormatting>
  <conditionalFormatting sqref="Y69">
    <cfRule type="expression" dxfId="635" priority="43038" stopIfTrue="1">
      <formula>NOT(ISBLANK($Y$69))</formula>
    </cfRule>
  </conditionalFormatting>
  <conditionalFormatting sqref="Z69">
    <cfRule type="expression" dxfId="634" priority="43039" stopIfTrue="1">
      <formula>NOT(ISBLANK($Z$69))</formula>
    </cfRule>
  </conditionalFormatting>
  <conditionalFormatting sqref="AA69">
    <cfRule type="expression" dxfId="633" priority="43040" stopIfTrue="1">
      <formula>NOT(ISBLANK($AA$69))</formula>
    </cfRule>
  </conditionalFormatting>
  <conditionalFormatting sqref="AB69">
    <cfRule type="expression" dxfId="632" priority="43041" stopIfTrue="1">
      <formula>NOT(ISBLANK($AB$69))</formula>
    </cfRule>
  </conditionalFormatting>
  <conditionalFormatting sqref="AC69">
    <cfRule type="expression" dxfId="631" priority="43042" stopIfTrue="1">
      <formula>NOT(ISBLANK($AC$69))</formula>
    </cfRule>
  </conditionalFormatting>
  <conditionalFormatting sqref="AD69">
    <cfRule type="expression" dxfId="630" priority="43043" stopIfTrue="1">
      <formula>NOT(ISBLANK($AD$69))</formula>
    </cfRule>
  </conditionalFormatting>
  <conditionalFormatting sqref="AE69">
    <cfRule type="expression" dxfId="629" priority="43044" stopIfTrue="1">
      <formula>NOT(ISBLANK($AE$69))</formula>
    </cfRule>
  </conditionalFormatting>
  <conditionalFormatting sqref="AF69">
    <cfRule type="expression" dxfId="628" priority="43045" stopIfTrue="1">
      <formula>NOT(ISBLANK($AF$69))</formula>
    </cfRule>
  </conditionalFormatting>
  <conditionalFormatting sqref="AG69">
    <cfRule type="expression" dxfId="627" priority="43046" stopIfTrue="1">
      <formula>NOT(ISBLANK($AG$69))</formula>
    </cfRule>
  </conditionalFormatting>
  <conditionalFormatting sqref="AH69">
    <cfRule type="expression" dxfId="626" priority="43047" stopIfTrue="1">
      <formula>NOT(ISBLANK($AH$69))</formula>
    </cfRule>
  </conditionalFormatting>
  <conditionalFormatting sqref="AI69">
    <cfRule type="expression" dxfId="625" priority="43048" stopIfTrue="1">
      <formula>NOT(ISBLANK($AI$69))</formula>
    </cfRule>
  </conditionalFormatting>
  <conditionalFormatting sqref="AJ69">
    <cfRule type="expression" dxfId="624" priority="43049" stopIfTrue="1">
      <formula>NOT(ISBLANK($AJ$69))</formula>
    </cfRule>
  </conditionalFormatting>
  <conditionalFormatting sqref="AK69">
    <cfRule type="expression" dxfId="623" priority="43050" stopIfTrue="1">
      <formula>NOT(ISBLANK($AK$69))</formula>
    </cfRule>
  </conditionalFormatting>
  <conditionalFormatting sqref="AL69">
    <cfRule type="expression" dxfId="622" priority="43051" stopIfTrue="1">
      <formula>NOT(ISBLANK($AL$69))</formula>
    </cfRule>
  </conditionalFormatting>
  <conditionalFormatting sqref="AM69">
    <cfRule type="expression" dxfId="621" priority="43052" stopIfTrue="1">
      <formula>NOT(ISBLANK($AM$69))</formula>
    </cfRule>
  </conditionalFormatting>
  <conditionalFormatting sqref="AN69">
    <cfRule type="expression" dxfId="620" priority="43053" stopIfTrue="1">
      <formula>NOT(ISBLANK($AN$69))</formula>
    </cfRule>
  </conditionalFormatting>
  <conditionalFormatting sqref="AO69">
    <cfRule type="expression" dxfId="619" priority="43054" stopIfTrue="1">
      <formula>NOT(ISBLANK($AO$69))</formula>
    </cfRule>
  </conditionalFormatting>
  <conditionalFormatting sqref="AP69">
    <cfRule type="expression" dxfId="618" priority="43055" stopIfTrue="1">
      <formula>NOT(ISBLANK($AP$69))</formula>
    </cfRule>
  </conditionalFormatting>
  <conditionalFormatting sqref="AQ69">
    <cfRule type="expression" dxfId="617" priority="43056" stopIfTrue="1">
      <formula>NOT(ISBLANK($AQ$69))</formula>
    </cfRule>
  </conditionalFormatting>
  <conditionalFormatting sqref="AR69">
    <cfRule type="expression" dxfId="616" priority="43057" stopIfTrue="1">
      <formula>NOT(ISBLANK($AR$69))</formula>
    </cfRule>
  </conditionalFormatting>
  <conditionalFormatting sqref="AS69">
    <cfRule type="expression" dxfId="615" priority="43058" stopIfTrue="1">
      <formula>NOT(ISBLANK($AS$69))</formula>
    </cfRule>
  </conditionalFormatting>
  <conditionalFormatting sqref="AT69">
    <cfRule type="expression" dxfId="614" priority="43059" stopIfTrue="1">
      <formula>NOT(ISBLANK($AT$69))</formula>
    </cfRule>
  </conditionalFormatting>
  <conditionalFormatting sqref="AU69">
    <cfRule type="expression" dxfId="613" priority="43060" stopIfTrue="1">
      <formula>NOT(ISBLANK($AU$69))</formula>
    </cfRule>
  </conditionalFormatting>
  <conditionalFormatting sqref="AV69">
    <cfRule type="expression" dxfId="612" priority="43061" stopIfTrue="1">
      <formula>NOT(ISBLANK($AV$69))</formula>
    </cfRule>
  </conditionalFormatting>
  <conditionalFormatting sqref="AW69">
    <cfRule type="expression" dxfId="611" priority="43062" stopIfTrue="1">
      <formula>NOT(ISBLANK($AW$69))</formula>
    </cfRule>
  </conditionalFormatting>
  <conditionalFormatting sqref="AX69">
    <cfRule type="expression" dxfId="610" priority="43063" stopIfTrue="1">
      <formula>NOT(ISBLANK($AX$69))</formula>
    </cfRule>
  </conditionalFormatting>
  <conditionalFormatting sqref="AY69">
    <cfRule type="expression" dxfId="609" priority="43064" stopIfTrue="1">
      <formula>NOT(ISBLANK($AY$69))</formula>
    </cfRule>
  </conditionalFormatting>
  <conditionalFormatting sqref="AZ69">
    <cfRule type="cellIs" dxfId="608" priority="43065" stopIfTrue="1" operator="notEqual">
      <formula>"fully automated"</formula>
    </cfRule>
  </conditionalFormatting>
  <conditionalFormatting sqref="BA69">
    <cfRule type="expression" dxfId="607" priority="43066" stopIfTrue="1">
      <formula>NOT(ISBLANK($BA$69))</formula>
    </cfRule>
  </conditionalFormatting>
  <conditionalFormatting sqref="BB69">
    <cfRule type="expression" dxfId="606" priority="43067" stopIfTrue="1">
      <formula>NOT(ISBLANK($BB$69))</formula>
    </cfRule>
  </conditionalFormatting>
  <conditionalFormatting sqref="BC69">
    <cfRule type="expression" dxfId="605" priority="43068" stopIfTrue="1">
      <formula>NOT(ISBLANK($BC$69))</formula>
    </cfRule>
  </conditionalFormatting>
  <conditionalFormatting sqref="A70">
    <cfRule type="cellIs" dxfId="604" priority="43069" stopIfTrue="1" operator="notEqual">
      <formula>3</formula>
    </cfRule>
  </conditionalFormatting>
  <conditionalFormatting sqref="B70">
    <cfRule type="cellIs" dxfId="603" priority="43070" stopIfTrue="1" operator="notEqual">
      <formula>2</formula>
    </cfRule>
  </conditionalFormatting>
  <conditionalFormatting sqref="C70">
    <cfRule type="cellIs" dxfId="602" priority="43071" stopIfTrue="1" operator="notEqual">
      <formula>6</formula>
    </cfRule>
  </conditionalFormatting>
  <conditionalFormatting sqref="D70">
    <cfRule type="cellIs" dxfId="601" priority="43072" stopIfTrue="1" operator="notEqual">
      <formula>7.365</formula>
    </cfRule>
  </conditionalFormatting>
  <conditionalFormatting sqref="E70">
    <cfRule type="cellIs" dxfId="600" priority="43073" stopIfTrue="1" operator="notEqual">
      <formula>"MGD"</formula>
    </cfRule>
  </conditionalFormatting>
  <conditionalFormatting sqref="F70">
    <cfRule type="cellIs" dxfId="599" priority="43074" stopIfTrue="1" operator="notEqual">
      <formula>3.2</formula>
    </cfRule>
  </conditionalFormatting>
  <conditionalFormatting sqref="G70">
    <cfRule type="cellIs" dxfId="598" priority="43075" stopIfTrue="1" operator="notEqual">
      <formula>"MGD"</formula>
    </cfRule>
  </conditionalFormatting>
  <conditionalFormatting sqref="H70">
    <cfRule type="expression" dxfId="597" priority="43076" stopIfTrue="1">
      <formula>NOT(ISBLANK($H$70))</formula>
    </cfRule>
  </conditionalFormatting>
  <conditionalFormatting sqref="I70">
    <cfRule type="expression" dxfId="596" priority="43077" stopIfTrue="1">
      <formula>NOT(ISBLANK($I$70))</formula>
    </cfRule>
  </conditionalFormatting>
  <conditionalFormatting sqref="J70">
    <cfRule type="expression" dxfId="595" priority="43078" stopIfTrue="1">
      <formula>NOT(ISBLANK($J$70))</formula>
    </cfRule>
  </conditionalFormatting>
  <conditionalFormatting sqref="K70">
    <cfRule type="expression" dxfId="594" priority="43079" stopIfTrue="1">
      <formula>NOT(ISBLANK($K$70))</formula>
    </cfRule>
  </conditionalFormatting>
  <conditionalFormatting sqref="L70">
    <cfRule type="expression" dxfId="593" priority="43080" stopIfTrue="1">
      <formula>NOT(ISBLANK($L$70))</formula>
    </cfRule>
  </conditionalFormatting>
  <conditionalFormatting sqref="M70">
    <cfRule type="expression" dxfId="592" priority="43081" stopIfTrue="1">
      <formula>NOT(ISBLANK($M$70))</formula>
    </cfRule>
  </conditionalFormatting>
  <conditionalFormatting sqref="N70">
    <cfRule type="expression" dxfId="591" priority="43082" stopIfTrue="1">
      <formula>NOT(ISBLANK($N$70))</formula>
    </cfRule>
  </conditionalFormatting>
  <conditionalFormatting sqref="O70">
    <cfRule type="expression" dxfId="590" priority="43083" stopIfTrue="1">
      <formula>NOT(ISBLANK($O$70))</formula>
    </cfRule>
  </conditionalFormatting>
  <conditionalFormatting sqref="P70">
    <cfRule type="expression" dxfId="589" priority="43084" stopIfTrue="1">
      <formula>NOT(ISBLANK($P$70))</formula>
    </cfRule>
  </conditionalFormatting>
  <conditionalFormatting sqref="Q70">
    <cfRule type="expression" dxfId="588" priority="43085" stopIfTrue="1">
      <formula>NOT(ISBLANK($Q$70))</formula>
    </cfRule>
  </conditionalFormatting>
  <conditionalFormatting sqref="R70">
    <cfRule type="expression" dxfId="587" priority="43086" stopIfTrue="1">
      <formula>NOT(ISBLANK($R$70))</formula>
    </cfRule>
  </conditionalFormatting>
  <conditionalFormatting sqref="S70">
    <cfRule type="expression" dxfId="586" priority="43087" stopIfTrue="1">
      <formula>NOT(ISBLANK($S$70))</formula>
    </cfRule>
  </conditionalFormatting>
  <conditionalFormatting sqref="T70">
    <cfRule type="expression" dxfId="585" priority="43088" stopIfTrue="1">
      <formula>NOT(ISBLANK($T$70))</formula>
    </cfRule>
  </conditionalFormatting>
  <conditionalFormatting sqref="U70">
    <cfRule type="expression" dxfId="584" priority="43089" stopIfTrue="1">
      <formula>NOT(ISBLANK($U$70))</formula>
    </cfRule>
  </conditionalFormatting>
  <conditionalFormatting sqref="V70">
    <cfRule type="expression" dxfId="583" priority="43090" stopIfTrue="1">
      <formula>NOT(ISBLANK($V$70))</formula>
    </cfRule>
  </conditionalFormatting>
  <conditionalFormatting sqref="W70">
    <cfRule type="expression" dxfId="582" priority="43091" stopIfTrue="1">
      <formula>NOT(ISBLANK($W$70))</formula>
    </cfRule>
  </conditionalFormatting>
  <conditionalFormatting sqref="X70">
    <cfRule type="expression" dxfId="581" priority="43092" stopIfTrue="1">
      <formula>NOT(ISBLANK($X$70))</formula>
    </cfRule>
  </conditionalFormatting>
  <conditionalFormatting sqref="Y70">
    <cfRule type="expression" dxfId="580" priority="43093" stopIfTrue="1">
      <formula>NOT(ISBLANK($Y$70))</formula>
    </cfRule>
  </conditionalFormatting>
  <conditionalFormatting sqref="Z70">
    <cfRule type="expression" dxfId="579" priority="43094" stopIfTrue="1">
      <formula>NOT(ISBLANK($Z$70))</formula>
    </cfRule>
  </conditionalFormatting>
  <conditionalFormatting sqref="AA70">
    <cfRule type="expression" dxfId="578" priority="43095" stopIfTrue="1">
      <formula>NOT(ISBLANK($AA$70))</formula>
    </cfRule>
  </conditionalFormatting>
  <conditionalFormatting sqref="AB70">
    <cfRule type="expression" dxfId="577" priority="43096" stopIfTrue="1">
      <formula>NOT(ISBLANK($AB$70))</formula>
    </cfRule>
  </conditionalFormatting>
  <conditionalFormatting sqref="AC70">
    <cfRule type="expression" dxfId="576" priority="43097" stopIfTrue="1">
      <formula>NOT(ISBLANK($AC$70))</formula>
    </cfRule>
  </conditionalFormatting>
  <conditionalFormatting sqref="AD70">
    <cfRule type="expression" dxfId="575" priority="43098" stopIfTrue="1">
      <formula>NOT(ISBLANK($AD$70))</formula>
    </cfRule>
  </conditionalFormatting>
  <conditionalFormatting sqref="AE70">
    <cfRule type="expression" dxfId="574" priority="43099" stopIfTrue="1">
      <formula>NOT(ISBLANK($AE$70))</formula>
    </cfRule>
  </conditionalFormatting>
  <conditionalFormatting sqref="AF70">
    <cfRule type="expression" dxfId="573" priority="43100" stopIfTrue="1">
      <formula>NOT(ISBLANK($AF$70))</formula>
    </cfRule>
  </conditionalFormatting>
  <conditionalFormatting sqref="AG70">
    <cfRule type="expression" dxfId="572" priority="43101" stopIfTrue="1">
      <formula>NOT(ISBLANK($AG$70))</formula>
    </cfRule>
  </conditionalFormatting>
  <conditionalFormatting sqref="AH70">
    <cfRule type="expression" dxfId="571" priority="43102" stopIfTrue="1">
      <formula>NOT(ISBLANK($AH$70))</formula>
    </cfRule>
  </conditionalFormatting>
  <conditionalFormatting sqref="AI70">
    <cfRule type="expression" dxfId="570" priority="43103" stopIfTrue="1">
      <formula>NOT(ISBLANK($AI$70))</formula>
    </cfRule>
  </conditionalFormatting>
  <conditionalFormatting sqref="AJ70">
    <cfRule type="expression" dxfId="569" priority="43104" stopIfTrue="1">
      <formula>NOT(ISBLANK($AJ$70))</formula>
    </cfRule>
  </conditionalFormatting>
  <conditionalFormatting sqref="AK70">
    <cfRule type="expression" dxfId="568" priority="43105" stopIfTrue="1">
      <formula>NOT(ISBLANK($AK$70))</formula>
    </cfRule>
  </conditionalFormatting>
  <conditionalFormatting sqref="AL70">
    <cfRule type="expression" dxfId="567" priority="43106" stopIfTrue="1">
      <formula>NOT(ISBLANK($AL$70))</formula>
    </cfRule>
  </conditionalFormatting>
  <conditionalFormatting sqref="AM70">
    <cfRule type="expression" dxfId="566" priority="43107" stopIfTrue="1">
      <formula>NOT(ISBLANK($AM$70))</formula>
    </cfRule>
  </conditionalFormatting>
  <conditionalFormatting sqref="AN70">
    <cfRule type="expression" dxfId="565" priority="43108" stopIfTrue="1">
      <formula>NOT(ISBLANK($AN$70))</formula>
    </cfRule>
  </conditionalFormatting>
  <conditionalFormatting sqref="AO70">
    <cfRule type="expression" dxfId="564" priority="43109" stopIfTrue="1">
      <formula>NOT(ISBLANK($AO$70))</formula>
    </cfRule>
  </conditionalFormatting>
  <conditionalFormatting sqref="AP70">
    <cfRule type="expression" dxfId="563" priority="43110" stopIfTrue="1">
      <formula>NOT(ISBLANK($AP$70))</formula>
    </cfRule>
  </conditionalFormatting>
  <conditionalFormatting sqref="AQ70">
    <cfRule type="expression" dxfId="562" priority="43111" stopIfTrue="1">
      <formula>NOT(ISBLANK($AQ$70))</formula>
    </cfRule>
  </conditionalFormatting>
  <conditionalFormatting sqref="AR70">
    <cfRule type="expression" dxfId="561" priority="43112" stopIfTrue="1">
      <formula>NOT(ISBLANK($AR$70))</formula>
    </cfRule>
  </conditionalFormatting>
  <conditionalFormatting sqref="AS70">
    <cfRule type="expression" dxfId="560" priority="43113" stopIfTrue="1">
      <formula>NOT(ISBLANK($AS$70))</formula>
    </cfRule>
  </conditionalFormatting>
  <conditionalFormatting sqref="AT70">
    <cfRule type="expression" dxfId="559" priority="43114" stopIfTrue="1">
      <formula>NOT(ISBLANK($AT$70))</formula>
    </cfRule>
  </conditionalFormatting>
  <conditionalFormatting sqref="AU70">
    <cfRule type="expression" dxfId="558" priority="43115" stopIfTrue="1">
      <formula>NOT(ISBLANK($AU$70))</formula>
    </cfRule>
  </conditionalFormatting>
  <conditionalFormatting sqref="AV70">
    <cfRule type="expression" dxfId="557" priority="43116" stopIfTrue="1">
      <formula>NOT(ISBLANK($AV$70))</formula>
    </cfRule>
  </conditionalFormatting>
  <conditionalFormatting sqref="AW70">
    <cfRule type="expression" dxfId="556" priority="43117" stopIfTrue="1">
      <formula>NOT(ISBLANK($AW$70))</formula>
    </cfRule>
  </conditionalFormatting>
  <conditionalFormatting sqref="AX70">
    <cfRule type="expression" dxfId="555" priority="43118" stopIfTrue="1">
      <formula>NOT(ISBLANK($AX$70))</formula>
    </cfRule>
  </conditionalFormatting>
  <conditionalFormatting sqref="AY70">
    <cfRule type="expression" dxfId="554" priority="43119" stopIfTrue="1">
      <formula>NOT(ISBLANK($AY$70))</formula>
    </cfRule>
  </conditionalFormatting>
  <conditionalFormatting sqref="AZ70">
    <cfRule type="cellIs" dxfId="553" priority="43120" stopIfTrue="1" operator="notEqual">
      <formula>"fully automated"</formula>
    </cfRule>
  </conditionalFormatting>
  <conditionalFormatting sqref="BA70">
    <cfRule type="expression" dxfId="552" priority="43121" stopIfTrue="1">
      <formula>NOT(ISBLANK($BA$70))</formula>
    </cfRule>
  </conditionalFormatting>
  <conditionalFormatting sqref="BB70">
    <cfRule type="expression" dxfId="551" priority="43122" stopIfTrue="1">
      <formula>NOT(ISBLANK($BB$70))</formula>
    </cfRule>
  </conditionalFormatting>
  <conditionalFormatting sqref="BC70">
    <cfRule type="expression" dxfId="550" priority="43123" stopIfTrue="1">
      <formula>NOT(ISBLANK($BC$70))</formula>
    </cfRule>
  </conditionalFormatting>
  <conditionalFormatting sqref="A71">
    <cfRule type="cellIs" dxfId="549" priority="43124" stopIfTrue="1" operator="notEqual">
      <formula>3</formula>
    </cfRule>
  </conditionalFormatting>
  <conditionalFormatting sqref="B71">
    <cfRule type="cellIs" dxfId="548" priority="43125" stopIfTrue="1" operator="notEqual">
      <formula>2</formula>
    </cfRule>
  </conditionalFormatting>
  <conditionalFormatting sqref="C71">
    <cfRule type="cellIs" dxfId="547" priority="43126" stopIfTrue="1" operator="notEqual">
      <formula>7</formula>
    </cfRule>
  </conditionalFormatting>
  <conditionalFormatting sqref="D71">
    <cfRule type="cellIs" dxfId="546" priority="43127" stopIfTrue="1" operator="notEqual">
      <formula>22.614</formula>
    </cfRule>
  </conditionalFormatting>
  <conditionalFormatting sqref="E71">
    <cfRule type="cellIs" dxfId="545" priority="43128" stopIfTrue="1" operator="notEqual">
      <formula>"MGD"</formula>
    </cfRule>
  </conditionalFormatting>
  <conditionalFormatting sqref="F71">
    <cfRule type="cellIs" dxfId="544" priority="43129" stopIfTrue="1" operator="notEqual">
      <formula>11.066</formula>
    </cfRule>
  </conditionalFormatting>
  <conditionalFormatting sqref="G71">
    <cfRule type="cellIs" dxfId="543" priority="43130" stopIfTrue="1" operator="notEqual">
      <formula>"MGD"</formula>
    </cfRule>
  </conditionalFormatting>
  <conditionalFormatting sqref="H71">
    <cfRule type="expression" dxfId="542" priority="43131" stopIfTrue="1">
      <formula>NOT(ISBLANK($H$71))</formula>
    </cfRule>
  </conditionalFormatting>
  <conditionalFormatting sqref="I71">
    <cfRule type="expression" dxfId="541" priority="43132" stopIfTrue="1">
      <formula>NOT(ISBLANK($I$71))</formula>
    </cfRule>
  </conditionalFormatting>
  <conditionalFormatting sqref="J71">
    <cfRule type="expression" dxfId="540" priority="43133" stopIfTrue="1">
      <formula>NOT(ISBLANK($J$71))</formula>
    </cfRule>
  </conditionalFormatting>
  <conditionalFormatting sqref="K71">
    <cfRule type="expression" dxfId="539" priority="43134" stopIfTrue="1">
      <formula>NOT(ISBLANK($K$71))</formula>
    </cfRule>
  </conditionalFormatting>
  <conditionalFormatting sqref="L71">
    <cfRule type="expression" dxfId="538" priority="43135" stopIfTrue="1">
      <formula>NOT(ISBLANK($L$71))</formula>
    </cfRule>
  </conditionalFormatting>
  <conditionalFormatting sqref="M71">
    <cfRule type="expression" dxfId="537" priority="43136" stopIfTrue="1">
      <formula>NOT(ISBLANK($M$71))</formula>
    </cfRule>
  </conditionalFormatting>
  <conditionalFormatting sqref="N71">
    <cfRule type="expression" dxfId="536" priority="43137" stopIfTrue="1">
      <formula>NOT(ISBLANK($N$71))</formula>
    </cfRule>
  </conditionalFormatting>
  <conditionalFormatting sqref="O71">
    <cfRule type="expression" dxfId="535" priority="43138" stopIfTrue="1">
      <formula>NOT(ISBLANK($O$71))</formula>
    </cfRule>
  </conditionalFormatting>
  <conditionalFormatting sqref="P71">
    <cfRule type="expression" dxfId="534" priority="43139" stopIfTrue="1">
      <formula>NOT(ISBLANK($P$71))</formula>
    </cfRule>
  </conditionalFormatting>
  <conditionalFormatting sqref="Q71">
    <cfRule type="expression" dxfId="533" priority="43140" stopIfTrue="1">
      <formula>NOT(ISBLANK($Q$71))</formula>
    </cfRule>
  </conditionalFormatting>
  <conditionalFormatting sqref="R71">
    <cfRule type="expression" dxfId="532" priority="43141" stopIfTrue="1">
      <formula>NOT(ISBLANK($R$71))</formula>
    </cfRule>
  </conditionalFormatting>
  <conditionalFormatting sqref="S71">
    <cfRule type="expression" dxfId="531" priority="43142" stopIfTrue="1">
      <formula>NOT(ISBLANK($S$71))</formula>
    </cfRule>
  </conditionalFormatting>
  <conditionalFormatting sqref="T71">
    <cfRule type="expression" dxfId="530" priority="43143" stopIfTrue="1">
      <formula>NOT(ISBLANK($T$71))</formula>
    </cfRule>
  </conditionalFormatting>
  <conditionalFormatting sqref="U71">
    <cfRule type="expression" dxfId="529" priority="43144" stopIfTrue="1">
      <formula>NOT(ISBLANK($U$71))</formula>
    </cfRule>
  </conditionalFormatting>
  <conditionalFormatting sqref="V71">
    <cfRule type="expression" dxfId="528" priority="43145" stopIfTrue="1">
      <formula>NOT(ISBLANK($V$71))</formula>
    </cfRule>
  </conditionalFormatting>
  <conditionalFormatting sqref="W71">
    <cfRule type="expression" dxfId="527" priority="43146" stopIfTrue="1">
      <formula>NOT(ISBLANK($W$71))</formula>
    </cfRule>
  </conditionalFormatting>
  <conditionalFormatting sqref="X71">
    <cfRule type="expression" dxfId="526" priority="43147" stopIfTrue="1">
      <formula>NOT(ISBLANK($X$71))</formula>
    </cfRule>
  </conditionalFormatting>
  <conditionalFormatting sqref="Y71">
    <cfRule type="expression" dxfId="525" priority="43148" stopIfTrue="1">
      <formula>NOT(ISBLANK($Y$71))</formula>
    </cfRule>
  </conditionalFormatting>
  <conditionalFormatting sqref="Z71">
    <cfRule type="expression" dxfId="524" priority="43149" stopIfTrue="1">
      <formula>NOT(ISBLANK($Z$71))</formula>
    </cfRule>
  </conditionalFormatting>
  <conditionalFormatting sqref="AA71">
    <cfRule type="expression" dxfId="523" priority="43150" stopIfTrue="1">
      <formula>NOT(ISBLANK($AA$71))</formula>
    </cfRule>
  </conditionalFormatting>
  <conditionalFormatting sqref="AB71">
    <cfRule type="expression" dxfId="522" priority="43151" stopIfTrue="1">
      <formula>NOT(ISBLANK($AB$71))</formula>
    </cfRule>
  </conditionalFormatting>
  <conditionalFormatting sqref="AC71">
    <cfRule type="expression" dxfId="521" priority="43152" stopIfTrue="1">
      <formula>NOT(ISBLANK($AC$71))</formula>
    </cfRule>
  </conditionalFormatting>
  <conditionalFormatting sqref="AD71">
    <cfRule type="expression" dxfId="520" priority="43153" stopIfTrue="1">
      <formula>NOT(ISBLANK($AD$71))</formula>
    </cfRule>
  </conditionalFormatting>
  <conditionalFormatting sqref="AE71">
    <cfRule type="expression" dxfId="519" priority="43154" stopIfTrue="1">
      <formula>NOT(ISBLANK($AE$71))</formula>
    </cfRule>
  </conditionalFormatting>
  <conditionalFormatting sqref="AF71">
    <cfRule type="expression" dxfId="518" priority="43155" stopIfTrue="1">
      <formula>NOT(ISBLANK($AF$71))</formula>
    </cfRule>
  </conditionalFormatting>
  <conditionalFormatting sqref="AG71">
    <cfRule type="expression" dxfId="517" priority="43156" stopIfTrue="1">
      <formula>NOT(ISBLANK($AG$71))</formula>
    </cfRule>
  </conditionalFormatting>
  <conditionalFormatting sqref="AH71">
    <cfRule type="expression" dxfId="516" priority="43157" stopIfTrue="1">
      <formula>NOT(ISBLANK($AH$71))</formula>
    </cfRule>
  </conditionalFormatting>
  <conditionalFormatting sqref="AI71">
    <cfRule type="expression" dxfId="515" priority="43158" stopIfTrue="1">
      <formula>NOT(ISBLANK($AI$71))</formula>
    </cfRule>
  </conditionalFormatting>
  <conditionalFormatting sqref="AJ71">
    <cfRule type="expression" dxfId="514" priority="43159" stopIfTrue="1">
      <formula>NOT(ISBLANK($AJ$71))</formula>
    </cfRule>
  </conditionalFormatting>
  <conditionalFormatting sqref="AK71">
    <cfRule type="expression" dxfId="513" priority="43160" stopIfTrue="1">
      <formula>NOT(ISBLANK($AK$71))</formula>
    </cfRule>
  </conditionalFormatting>
  <conditionalFormatting sqref="AL71">
    <cfRule type="expression" dxfId="512" priority="43161" stopIfTrue="1">
      <formula>NOT(ISBLANK($AL$71))</formula>
    </cfRule>
  </conditionalFormatting>
  <conditionalFormatting sqref="AM71">
    <cfRule type="expression" dxfId="511" priority="43162" stopIfTrue="1">
      <formula>NOT(ISBLANK($AM$71))</formula>
    </cfRule>
  </conditionalFormatting>
  <conditionalFormatting sqref="AN71">
    <cfRule type="expression" dxfId="510" priority="43163" stopIfTrue="1">
      <formula>NOT(ISBLANK($AN$71))</formula>
    </cfRule>
  </conditionalFormatting>
  <conditionalFormatting sqref="AO71">
    <cfRule type="expression" dxfId="509" priority="43164" stopIfTrue="1">
      <formula>NOT(ISBLANK($AO$71))</formula>
    </cfRule>
  </conditionalFormatting>
  <conditionalFormatting sqref="AP71">
    <cfRule type="expression" dxfId="508" priority="43165" stopIfTrue="1">
      <formula>NOT(ISBLANK($AP$71))</formula>
    </cfRule>
  </conditionalFormatting>
  <conditionalFormatting sqref="AQ71">
    <cfRule type="expression" dxfId="507" priority="43166" stopIfTrue="1">
      <formula>NOT(ISBLANK($AQ$71))</formula>
    </cfRule>
  </conditionalFormatting>
  <conditionalFormatting sqref="AR71">
    <cfRule type="expression" dxfId="506" priority="43167" stopIfTrue="1">
      <formula>NOT(ISBLANK($AR$71))</formula>
    </cfRule>
  </conditionalFormatting>
  <conditionalFormatting sqref="AS71">
    <cfRule type="expression" dxfId="505" priority="43168" stopIfTrue="1">
      <formula>NOT(ISBLANK($AS$71))</formula>
    </cfRule>
  </conditionalFormatting>
  <conditionalFormatting sqref="AT71">
    <cfRule type="expression" dxfId="504" priority="43169" stopIfTrue="1">
      <formula>NOT(ISBLANK($AT$71))</formula>
    </cfRule>
  </conditionalFormatting>
  <conditionalFormatting sqref="AU71">
    <cfRule type="expression" dxfId="503" priority="43170" stopIfTrue="1">
      <formula>NOT(ISBLANK($AU$71))</formula>
    </cfRule>
  </conditionalFormatting>
  <conditionalFormatting sqref="AV71">
    <cfRule type="expression" dxfId="502" priority="43171" stopIfTrue="1">
      <formula>NOT(ISBLANK($AV$71))</formula>
    </cfRule>
  </conditionalFormatting>
  <conditionalFormatting sqref="AW71">
    <cfRule type="expression" dxfId="501" priority="43172" stopIfTrue="1">
      <formula>NOT(ISBLANK($AW$71))</formula>
    </cfRule>
  </conditionalFormatting>
  <conditionalFormatting sqref="AX71">
    <cfRule type="expression" dxfId="500" priority="43173" stopIfTrue="1">
      <formula>NOT(ISBLANK($AX$71))</formula>
    </cfRule>
  </conditionalFormatting>
  <conditionalFormatting sqref="AY71">
    <cfRule type="expression" dxfId="499" priority="43174" stopIfTrue="1">
      <formula>NOT(ISBLANK($AY$71))</formula>
    </cfRule>
  </conditionalFormatting>
  <conditionalFormatting sqref="AZ71">
    <cfRule type="cellIs" dxfId="498" priority="43175" stopIfTrue="1" operator="notEqual">
      <formula>"fully automated"</formula>
    </cfRule>
  </conditionalFormatting>
  <conditionalFormatting sqref="BA71">
    <cfRule type="expression" dxfId="497" priority="43176" stopIfTrue="1">
      <formula>NOT(ISBLANK($BA$71))</formula>
    </cfRule>
  </conditionalFormatting>
  <conditionalFormatting sqref="BB71">
    <cfRule type="expression" dxfId="496" priority="43177" stopIfTrue="1">
      <formula>NOT(ISBLANK($BB$71))</formula>
    </cfRule>
  </conditionalFormatting>
  <conditionalFormatting sqref="BC71">
    <cfRule type="expression" dxfId="495" priority="43178" stopIfTrue="1">
      <formula>NOT(ISBLANK($BC$71))</formula>
    </cfRule>
  </conditionalFormatting>
  <conditionalFormatting sqref="A72">
    <cfRule type="cellIs" dxfId="494" priority="43179" stopIfTrue="1" operator="notEqual">
      <formula>3</formula>
    </cfRule>
  </conditionalFormatting>
  <conditionalFormatting sqref="B72">
    <cfRule type="cellIs" dxfId="493" priority="43180" stopIfTrue="1" operator="notEqual">
      <formula>2</formula>
    </cfRule>
  </conditionalFormatting>
  <conditionalFormatting sqref="C72">
    <cfRule type="cellIs" dxfId="492" priority="43181" stopIfTrue="1" operator="notEqual">
      <formula>8</formula>
    </cfRule>
  </conditionalFormatting>
  <conditionalFormatting sqref="D72">
    <cfRule type="cellIs" dxfId="491" priority="43182" stopIfTrue="1" operator="notEqual">
      <formula>75.072</formula>
    </cfRule>
  </conditionalFormatting>
  <conditionalFormatting sqref="E72">
    <cfRule type="cellIs" dxfId="490" priority="43183" stopIfTrue="1" operator="notEqual">
      <formula>"MGD"</formula>
    </cfRule>
  </conditionalFormatting>
  <conditionalFormatting sqref="F72">
    <cfRule type="cellIs" dxfId="489" priority="43184" stopIfTrue="1" operator="notEqual">
      <formula>37.536</formula>
    </cfRule>
  </conditionalFormatting>
  <conditionalFormatting sqref="G72">
    <cfRule type="cellIs" dxfId="488" priority="43185" stopIfTrue="1" operator="notEqual">
      <formula>"MGD"</formula>
    </cfRule>
  </conditionalFormatting>
  <conditionalFormatting sqref="H72">
    <cfRule type="expression" dxfId="487" priority="43186" stopIfTrue="1">
      <formula>NOT(ISBLANK($H$72))</formula>
    </cfRule>
  </conditionalFormatting>
  <conditionalFormatting sqref="I72">
    <cfRule type="expression" dxfId="486" priority="43187" stopIfTrue="1">
      <formula>NOT(ISBLANK($I$72))</formula>
    </cfRule>
  </conditionalFormatting>
  <conditionalFormatting sqref="J72">
    <cfRule type="expression" dxfId="485" priority="43188" stopIfTrue="1">
      <formula>NOT(ISBLANK($J$72))</formula>
    </cfRule>
  </conditionalFormatting>
  <conditionalFormatting sqref="K72">
    <cfRule type="expression" dxfId="484" priority="43189" stopIfTrue="1">
      <formula>NOT(ISBLANK($K$72))</formula>
    </cfRule>
  </conditionalFormatting>
  <conditionalFormatting sqref="L72">
    <cfRule type="expression" dxfId="483" priority="43190" stopIfTrue="1">
      <formula>NOT(ISBLANK($L$72))</formula>
    </cfRule>
  </conditionalFormatting>
  <conditionalFormatting sqref="M72">
    <cfRule type="expression" dxfId="482" priority="43191" stopIfTrue="1">
      <formula>NOT(ISBLANK($M$72))</formula>
    </cfRule>
  </conditionalFormatting>
  <conditionalFormatting sqref="N72">
    <cfRule type="expression" dxfId="481" priority="43192" stopIfTrue="1">
      <formula>NOT(ISBLANK($N$72))</formula>
    </cfRule>
  </conditionalFormatting>
  <conditionalFormatting sqref="O72">
    <cfRule type="expression" dxfId="480" priority="43193" stopIfTrue="1">
      <formula>NOT(ISBLANK($O$72))</formula>
    </cfRule>
  </conditionalFormatting>
  <conditionalFormatting sqref="P72">
    <cfRule type="expression" dxfId="479" priority="43194" stopIfTrue="1">
      <formula>NOT(ISBLANK($P$72))</formula>
    </cfRule>
  </conditionalFormatting>
  <conditionalFormatting sqref="Q72">
    <cfRule type="expression" dxfId="478" priority="43195" stopIfTrue="1">
      <formula>NOT(ISBLANK($Q$72))</formula>
    </cfRule>
  </conditionalFormatting>
  <conditionalFormatting sqref="R72">
    <cfRule type="expression" dxfId="477" priority="43196" stopIfTrue="1">
      <formula>NOT(ISBLANK($R$72))</formula>
    </cfRule>
  </conditionalFormatting>
  <conditionalFormatting sqref="S72">
    <cfRule type="expression" dxfId="476" priority="43197" stopIfTrue="1">
      <formula>NOT(ISBLANK($S$72))</formula>
    </cfRule>
  </conditionalFormatting>
  <conditionalFormatting sqref="T72">
    <cfRule type="expression" dxfId="475" priority="43198" stopIfTrue="1">
      <formula>NOT(ISBLANK($T$72))</formula>
    </cfRule>
  </conditionalFormatting>
  <conditionalFormatting sqref="U72">
    <cfRule type="expression" dxfId="474" priority="43199" stopIfTrue="1">
      <formula>NOT(ISBLANK($U$72))</formula>
    </cfRule>
  </conditionalFormatting>
  <conditionalFormatting sqref="V72">
    <cfRule type="expression" dxfId="473" priority="43200" stopIfTrue="1">
      <formula>NOT(ISBLANK($V$72))</formula>
    </cfRule>
  </conditionalFormatting>
  <conditionalFormatting sqref="W72">
    <cfRule type="expression" dxfId="472" priority="43201" stopIfTrue="1">
      <formula>NOT(ISBLANK($W$72))</formula>
    </cfRule>
  </conditionalFormatting>
  <conditionalFormatting sqref="X72">
    <cfRule type="expression" dxfId="471" priority="43202" stopIfTrue="1">
      <formula>NOT(ISBLANK($X$72))</formula>
    </cfRule>
  </conditionalFormatting>
  <conditionalFormatting sqref="Y72">
    <cfRule type="expression" dxfId="470" priority="43203" stopIfTrue="1">
      <formula>NOT(ISBLANK($Y$72))</formula>
    </cfRule>
  </conditionalFormatting>
  <conditionalFormatting sqref="Z72">
    <cfRule type="expression" dxfId="469" priority="43204" stopIfTrue="1">
      <formula>NOT(ISBLANK($Z$72))</formula>
    </cfRule>
  </conditionalFormatting>
  <conditionalFormatting sqref="AA72">
    <cfRule type="expression" dxfId="468" priority="43205" stopIfTrue="1">
      <formula>NOT(ISBLANK($AA$72))</formula>
    </cfRule>
  </conditionalFormatting>
  <conditionalFormatting sqref="AB72">
    <cfRule type="expression" dxfId="467" priority="43206" stopIfTrue="1">
      <formula>NOT(ISBLANK($AB$72))</formula>
    </cfRule>
  </conditionalFormatting>
  <conditionalFormatting sqref="AC72">
    <cfRule type="expression" dxfId="466" priority="43207" stopIfTrue="1">
      <formula>NOT(ISBLANK($AC$72))</formula>
    </cfRule>
  </conditionalFormatting>
  <conditionalFormatting sqref="AD72">
    <cfRule type="expression" dxfId="465" priority="43208" stopIfTrue="1">
      <formula>NOT(ISBLANK($AD$72))</formula>
    </cfRule>
  </conditionalFormatting>
  <conditionalFormatting sqref="AE72">
    <cfRule type="expression" dxfId="464" priority="43209" stopIfTrue="1">
      <formula>NOT(ISBLANK($AE$72))</formula>
    </cfRule>
  </conditionalFormatting>
  <conditionalFormatting sqref="AF72">
    <cfRule type="expression" dxfId="463" priority="43210" stopIfTrue="1">
      <formula>NOT(ISBLANK($AF$72))</formula>
    </cfRule>
  </conditionalFormatting>
  <conditionalFormatting sqref="AG72">
    <cfRule type="expression" dxfId="462" priority="43211" stopIfTrue="1">
      <formula>NOT(ISBLANK($AG$72))</formula>
    </cfRule>
  </conditionalFormatting>
  <conditionalFormatting sqref="AH72">
    <cfRule type="expression" dxfId="461" priority="43212" stopIfTrue="1">
      <formula>NOT(ISBLANK($AH$72))</formula>
    </cfRule>
  </conditionalFormatting>
  <conditionalFormatting sqref="AI72">
    <cfRule type="expression" dxfId="460" priority="43213" stopIfTrue="1">
      <formula>NOT(ISBLANK($AI$72))</formula>
    </cfRule>
  </conditionalFormatting>
  <conditionalFormatting sqref="AJ72">
    <cfRule type="expression" dxfId="459" priority="43214" stopIfTrue="1">
      <formula>NOT(ISBLANK($AJ$72))</formula>
    </cfRule>
  </conditionalFormatting>
  <conditionalFormatting sqref="AK72">
    <cfRule type="expression" dxfId="458" priority="43215" stopIfTrue="1">
      <formula>NOT(ISBLANK($AK$72))</formula>
    </cfRule>
  </conditionalFormatting>
  <conditionalFormatting sqref="AL72">
    <cfRule type="expression" dxfId="457" priority="43216" stopIfTrue="1">
      <formula>NOT(ISBLANK($AL$72))</formula>
    </cfRule>
  </conditionalFormatting>
  <conditionalFormatting sqref="AM72">
    <cfRule type="expression" dxfId="456" priority="43217" stopIfTrue="1">
      <formula>NOT(ISBLANK($AM$72))</formula>
    </cfRule>
  </conditionalFormatting>
  <conditionalFormatting sqref="AN72">
    <cfRule type="expression" dxfId="455" priority="43218" stopIfTrue="1">
      <formula>NOT(ISBLANK($AN$72))</formula>
    </cfRule>
  </conditionalFormatting>
  <conditionalFormatting sqref="AO72">
    <cfRule type="expression" dxfId="454" priority="43219" stopIfTrue="1">
      <formula>NOT(ISBLANK($AO$72))</formula>
    </cfRule>
  </conditionalFormatting>
  <conditionalFormatting sqref="AP72">
    <cfRule type="expression" dxfId="453" priority="43220" stopIfTrue="1">
      <formula>NOT(ISBLANK($AP$72))</formula>
    </cfRule>
  </conditionalFormatting>
  <conditionalFormatting sqref="AQ72">
    <cfRule type="expression" dxfId="452" priority="43221" stopIfTrue="1">
      <formula>NOT(ISBLANK($AQ$72))</formula>
    </cfRule>
  </conditionalFormatting>
  <conditionalFormatting sqref="AR72">
    <cfRule type="expression" dxfId="451" priority="43222" stopIfTrue="1">
      <formula>NOT(ISBLANK($AR$72))</formula>
    </cfRule>
  </conditionalFormatting>
  <conditionalFormatting sqref="AS72">
    <cfRule type="expression" dxfId="450" priority="43223" stopIfTrue="1">
      <formula>NOT(ISBLANK($AS$72))</formula>
    </cfRule>
  </conditionalFormatting>
  <conditionalFormatting sqref="AT72">
    <cfRule type="expression" dxfId="449" priority="43224" stopIfTrue="1">
      <formula>NOT(ISBLANK($AT$72))</formula>
    </cfRule>
  </conditionalFormatting>
  <conditionalFormatting sqref="AU72">
    <cfRule type="expression" dxfId="448" priority="43225" stopIfTrue="1">
      <formula>NOT(ISBLANK($AU$72))</formula>
    </cfRule>
  </conditionalFormatting>
  <conditionalFormatting sqref="AV72">
    <cfRule type="expression" dxfId="447" priority="43226" stopIfTrue="1">
      <formula>NOT(ISBLANK($AV$72))</formula>
    </cfRule>
  </conditionalFormatting>
  <conditionalFormatting sqref="AW72">
    <cfRule type="expression" dxfId="446" priority="43227" stopIfTrue="1">
      <formula>NOT(ISBLANK($AW$72))</formula>
    </cfRule>
  </conditionalFormatting>
  <conditionalFormatting sqref="AX72">
    <cfRule type="expression" dxfId="445" priority="43228" stopIfTrue="1">
      <formula>NOT(ISBLANK($AX$72))</formula>
    </cfRule>
  </conditionalFormatting>
  <conditionalFormatting sqref="AY72">
    <cfRule type="expression" dxfId="444" priority="43229" stopIfTrue="1">
      <formula>NOT(ISBLANK($AY$72))</formula>
    </cfRule>
  </conditionalFormatting>
  <conditionalFormatting sqref="AZ72">
    <cfRule type="cellIs" dxfId="443" priority="43230" stopIfTrue="1" operator="notEqual">
      <formula>"fully automated"</formula>
    </cfRule>
  </conditionalFormatting>
  <conditionalFormatting sqref="BA72">
    <cfRule type="expression" dxfId="442" priority="43231" stopIfTrue="1">
      <formula>NOT(ISBLANK($BA$72))</formula>
    </cfRule>
  </conditionalFormatting>
  <conditionalFormatting sqref="BB72">
    <cfRule type="expression" dxfId="441" priority="43232" stopIfTrue="1">
      <formula>NOT(ISBLANK($BB$72))</formula>
    </cfRule>
  </conditionalFormatting>
  <conditionalFormatting sqref="BC72">
    <cfRule type="expression" dxfId="440" priority="43233" stopIfTrue="1">
      <formula>NOT(ISBLANK($BC$72))</formula>
    </cfRule>
  </conditionalFormatting>
  <conditionalFormatting sqref="A73">
    <cfRule type="cellIs" dxfId="439" priority="43234" stopIfTrue="1" operator="notEqual">
      <formula>3</formula>
    </cfRule>
  </conditionalFormatting>
  <conditionalFormatting sqref="B73">
    <cfRule type="cellIs" dxfId="438" priority="43235" stopIfTrue="1" operator="notEqual">
      <formula>3</formula>
    </cfRule>
  </conditionalFormatting>
  <conditionalFormatting sqref="C73">
    <cfRule type="cellIs" dxfId="437" priority="43236" stopIfTrue="1" operator="notEqual">
      <formula>1</formula>
    </cfRule>
  </conditionalFormatting>
  <conditionalFormatting sqref="D73">
    <cfRule type="cellIs" dxfId="436" priority="43237" stopIfTrue="1" operator="notEqual">
      <formula>0.03</formula>
    </cfRule>
  </conditionalFormatting>
  <conditionalFormatting sqref="E73">
    <cfRule type="cellIs" dxfId="435" priority="43238" stopIfTrue="1" operator="notEqual">
      <formula>"MGD"</formula>
    </cfRule>
  </conditionalFormatting>
  <conditionalFormatting sqref="F73">
    <cfRule type="cellIs" dxfId="434" priority="43239" stopIfTrue="1" operator="notEqual">
      <formula>0.007</formula>
    </cfRule>
  </conditionalFormatting>
  <conditionalFormatting sqref="G73">
    <cfRule type="cellIs" dxfId="433" priority="43240" stopIfTrue="1" operator="notEqual">
      <formula>"MGD"</formula>
    </cfRule>
  </conditionalFormatting>
  <conditionalFormatting sqref="H73">
    <cfRule type="expression" dxfId="432" priority="43241" stopIfTrue="1">
      <formula>NOT(ISBLANK($H$73))</formula>
    </cfRule>
  </conditionalFormatting>
  <conditionalFormatting sqref="I73">
    <cfRule type="expression" dxfId="431" priority="43242" stopIfTrue="1">
      <formula>NOT(ISBLANK($I$73))</formula>
    </cfRule>
  </conditionalFormatting>
  <conditionalFormatting sqref="J73">
    <cfRule type="expression" dxfId="430" priority="43243" stopIfTrue="1">
      <formula>NOT(ISBLANK($J$73))</formula>
    </cfRule>
  </conditionalFormatting>
  <conditionalFormatting sqref="K73">
    <cfRule type="expression" dxfId="429" priority="43244" stopIfTrue="1">
      <formula>NOT(ISBLANK($K$73))</formula>
    </cfRule>
  </conditionalFormatting>
  <conditionalFormatting sqref="L73">
    <cfRule type="expression" dxfId="428" priority="43245" stopIfTrue="1">
      <formula>NOT(ISBLANK($L$73))</formula>
    </cfRule>
  </conditionalFormatting>
  <conditionalFormatting sqref="M73">
    <cfRule type="expression" dxfId="427" priority="43246" stopIfTrue="1">
      <formula>NOT(ISBLANK($M$73))</formula>
    </cfRule>
  </conditionalFormatting>
  <conditionalFormatting sqref="N73">
    <cfRule type="expression" dxfId="426" priority="43247" stopIfTrue="1">
      <formula>NOT(ISBLANK($N$73))</formula>
    </cfRule>
  </conditionalFormatting>
  <conditionalFormatting sqref="O73">
    <cfRule type="expression" dxfId="425" priority="43248" stopIfTrue="1">
      <formula>NOT(ISBLANK($O$73))</formula>
    </cfRule>
  </conditionalFormatting>
  <conditionalFormatting sqref="P73">
    <cfRule type="expression" dxfId="424" priority="43249" stopIfTrue="1">
      <formula>NOT(ISBLANK($P$73))</formula>
    </cfRule>
  </conditionalFormatting>
  <conditionalFormatting sqref="Q73">
    <cfRule type="expression" dxfId="423" priority="43250" stopIfTrue="1">
      <formula>NOT(ISBLANK($Q$73))</formula>
    </cfRule>
  </conditionalFormatting>
  <conditionalFormatting sqref="R73">
    <cfRule type="expression" dxfId="422" priority="43251" stopIfTrue="1">
      <formula>NOT(ISBLANK($R$73))</formula>
    </cfRule>
  </conditionalFormatting>
  <conditionalFormatting sqref="S73">
    <cfRule type="expression" dxfId="421" priority="43252" stopIfTrue="1">
      <formula>NOT(ISBLANK($S$73))</formula>
    </cfRule>
  </conditionalFormatting>
  <conditionalFormatting sqref="T73">
    <cfRule type="expression" dxfId="420" priority="43253" stopIfTrue="1">
      <formula>NOT(ISBLANK($T$73))</formula>
    </cfRule>
  </conditionalFormatting>
  <conditionalFormatting sqref="U73">
    <cfRule type="expression" dxfId="419" priority="43254" stopIfTrue="1">
      <formula>NOT(ISBLANK($U$73))</formula>
    </cfRule>
  </conditionalFormatting>
  <conditionalFormatting sqref="V73">
    <cfRule type="expression" dxfId="418" priority="43255" stopIfTrue="1">
      <formula>NOT(ISBLANK($V$73))</formula>
    </cfRule>
  </conditionalFormatting>
  <conditionalFormatting sqref="W73">
    <cfRule type="expression" dxfId="417" priority="43256" stopIfTrue="1">
      <formula>NOT(ISBLANK($W$73))</formula>
    </cfRule>
  </conditionalFormatting>
  <conditionalFormatting sqref="X73">
    <cfRule type="expression" dxfId="416" priority="43257" stopIfTrue="1">
      <formula>NOT(ISBLANK($X$73))</formula>
    </cfRule>
  </conditionalFormatting>
  <conditionalFormatting sqref="Y73">
    <cfRule type="expression" dxfId="415" priority="43258" stopIfTrue="1">
      <formula>NOT(ISBLANK($Y$73))</formula>
    </cfRule>
  </conditionalFormatting>
  <conditionalFormatting sqref="Z73">
    <cfRule type="expression" dxfId="414" priority="43259" stopIfTrue="1">
      <formula>NOT(ISBLANK($Z$73))</formula>
    </cfRule>
  </conditionalFormatting>
  <conditionalFormatting sqref="AA73">
    <cfRule type="expression" dxfId="413" priority="43260" stopIfTrue="1">
      <formula>NOT(ISBLANK($AA$73))</formula>
    </cfRule>
  </conditionalFormatting>
  <conditionalFormatting sqref="AB73">
    <cfRule type="expression" dxfId="412" priority="43261" stopIfTrue="1">
      <formula>NOT(ISBLANK($AB$73))</formula>
    </cfRule>
  </conditionalFormatting>
  <conditionalFormatting sqref="AC73">
    <cfRule type="expression" dxfId="411" priority="43262" stopIfTrue="1">
      <formula>NOT(ISBLANK($AC$73))</formula>
    </cfRule>
  </conditionalFormatting>
  <conditionalFormatting sqref="AD73">
    <cfRule type="expression" dxfId="410" priority="43263" stopIfTrue="1">
      <formula>NOT(ISBLANK($AD$73))</formula>
    </cfRule>
  </conditionalFormatting>
  <conditionalFormatting sqref="AE73">
    <cfRule type="expression" dxfId="409" priority="43264" stopIfTrue="1">
      <formula>NOT(ISBLANK($AE$73))</formula>
    </cfRule>
  </conditionalFormatting>
  <conditionalFormatting sqref="AF73">
    <cfRule type="expression" dxfId="408" priority="43265" stopIfTrue="1">
      <formula>NOT(ISBLANK($AF$73))</formula>
    </cfRule>
  </conditionalFormatting>
  <conditionalFormatting sqref="AG73">
    <cfRule type="expression" dxfId="407" priority="43266" stopIfTrue="1">
      <formula>NOT(ISBLANK($AG$73))</formula>
    </cfRule>
  </conditionalFormatting>
  <conditionalFormatting sqref="AH73">
    <cfRule type="expression" dxfId="406" priority="43267" stopIfTrue="1">
      <formula>NOT(ISBLANK($AH$73))</formula>
    </cfRule>
  </conditionalFormatting>
  <conditionalFormatting sqref="AI73">
    <cfRule type="expression" dxfId="405" priority="43268" stopIfTrue="1">
      <formula>NOT(ISBLANK($AI$73))</formula>
    </cfRule>
  </conditionalFormatting>
  <conditionalFormatting sqref="AJ73">
    <cfRule type="expression" dxfId="404" priority="43269" stopIfTrue="1">
      <formula>NOT(ISBLANK($AJ$73))</formula>
    </cfRule>
  </conditionalFormatting>
  <conditionalFormatting sqref="AK73">
    <cfRule type="expression" dxfId="403" priority="43270" stopIfTrue="1">
      <formula>NOT(ISBLANK($AK$73))</formula>
    </cfRule>
  </conditionalFormatting>
  <conditionalFormatting sqref="AL73">
    <cfRule type="expression" dxfId="402" priority="43271" stopIfTrue="1">
      <formula>NOT(ISBLANK($AL$73))</formula>
    </cfRule>
  </conditionalFormatting>
  <conditionalFormatting sqref="AM73">
    <cfRule type="expression" dxfId="401" priority="43272" stopIfTrue="1">
      <formula>NOT(ISBLANK($AM$73))</formula>
    </cfRule>
  </conditionalFormatting>
  <conditionalFormatting sqref="AN73">
    <cfRule type="expression" dxfId="400" priority="43273" stopIfTrue="1">
      <formula>NOT(ISBLANK($AN$73))</formula>
    </cfRule>
  </conditionalFormatting>
  <conditionalFormatting sqref="AO73">
    <cfRule type="expression" dxfId="399" priority="43274" stopIfTrue="1">
      <formula>NOT(ISBLANK($AO$73))</formula>
    </cfRule>
  </conditionalFormatting>
  <conditionalFormatting sqref="AP73">
    <cfRule type="expression" dxfId="398" priority="43275" stopIfTrue="1">
      <formula>NOT(ISBLANK($AP$73))</formula>
    </cfRule>
  </conditionalFormatting>
  <conditionalFormatting sqref="AQ73">
    <cfRule type="expression" dxfId="397" priority="43276" stopIfTrue="1">
      <formula>NOT(ISBLANK($AQ$73))</formula>
    </cfRule>
  </conditionalFormatting>
  <conditionalFormatting sqref="AR73">
    <cfRule type="expression" dxfId="396" priority="43277" stopIfTrue="1">
      <formula>NOT(ISBLANK($AR$73))</formula>
    </cfRule>
  </conditionalFormatting>
  <conditionalFormatting sqref="AS73">
    <cfRule type="expression" dxfId="395" priority="43278" stopIfTrue="1">
      <formula>NOT(ISBLANK($AS$73))</formula>
    </cfRule>
  </conditionalFormatting>
  <conditionalFormatting sqref="AT73">
    <cfRule type="expression" dxfId="394" priority="43279" stopIfTrue="1">
      <formula>NOT(ISBLANK($AT$73))</formula>
    </cfRule>
  </conditionalFormatting>
  <conditionalFormatting sqref="AU73">
    <cfRule type="expression" dxfId="393" priority="43280" stopIfTrue="1">
      <formula>NOT(ISBLANK($AU$73))</formula>
    </cfRule>
  </conditionalFormatting>
  <conditionalFormatting sqref="AV73">
    <cfRule type="expression" dxfId="392" priority="43281" stopIfTrue="1">
      <formula>NOT(ISBLANK($AV$73))</formula>
    </cfRule>
  </conditionalFormatting>
  <conditionalFormatting sqref="AW73">
    <cfRule type="expression" dxfId="391" priority="43282" stopIfTrue="1">
      <formula>NOT(ISBLANK($AW$73))</formula>
    </cfRule>
  </conditionalFormatting>
  <conditionalFormatting sqref="AX73">
    <cfRule type="expression" dxfId="390" priority="43283" stopIfTrue="1">
      <formula>NOT(ISBLANK($AX$73))</formula>
    </cfRule>
  </conditionalFormatting>
  <conditionalFormatting sqref="AY73">
    <cfRule type="expression" dxfId="389" priority="43284" stopIfTrue="1">
      <formula>NOT(ISBLANK($AY$73))</formula>
    </cfRule>
  </conditionalFormatting>
  <conditionalFormatting sqref="AZ73">
    <cfRule type="cellIs" dxfId="388" priority="43285" stopIfTrue="1" operator="notEqual">
      <formula>"fully automated"</formula>
    </cfRule>
  </conditionalFormatting>
  <conditionalFormatting sqref="BA73">
    <cfRule type="expression" dxfId="387" priority="43286" stopIfTrue="1">
      <formula>NOT(ISBLANK($BA$73))</formula>
    </cfRule>
  </conditionalFormatting>
  <conditionalFormatting sqref="BB73">
    <cfRule type="expression" dxfId="386" priority="43287" stopIfTrue="1">
      <formula>NOT(ISBLANK($BB$73))</formula>
    </cfRule>
  </conditionalFormatting>
  <conditionalFormatting sqref="BC73">
    <cfRule type="expression" dxfId="385" priority="43288" stopIfTrue="1">
      <formula>NOT(ISBLANK($BC$73))</formula>
    </cfRule>
  </conditionalFormatting>
  <conditionalFormatting sqref="A74">
    <cfRule type="cellIs" dxfId="384" priority="43289" stopIfTrue="1" operator="notEqual">
      <formula>3</formula>
    </cfRule>
  </conditionalFormatting>
  <conditionalFormatting sqref="B74">
    <cfRule type="cellIs" dxfId="383" priority="43290" stopIfTrue="1" operator="notEqual">
      <formula>3</formula>
    </cfRule>
  </conditionalFormatting>
  <conditionalFormatting sqref="C74">
    <cfRule type="cellIs" dxfId="382" priority="43291" stopIfTrue="1" operator="notEqual">
      <formula>2</formula>
    </cfRule>
  </conditionalFormatting>
  <conditionalFormatting sqref="D74">
    <cfRule type="cellIs" dxfId="381" priority="43292" stopIfTrue="1" operator="notEqual">
      <formula>0.124</formula>
    </cfRule>
  </conditionalFormatting>
  <conditionalFormatting sqref="E74">
    <cfRule type="cellIs" dxfId="380" priority="43293" stopIfTrue="1" operator="notEqual">
      <formula>"MGD"</formula>
    </cfRule>
  </conditionalFormatting>
  <conditionalFormatting sqref="F74">
    <cfRule type="cellIs" dxfId="379" priority="43294" stopIfTrue="1" operator="notEqual">
      <formula>0.035</formula>
    </cfRule>
  </conditionalFormatting>
  <conditionalFormatting sqref="G74">
    <cfRule type="cellIs" dxfId="378" priority="43295" stopIfTrue="1" operator="notEqual">
      <formula>"MGD"</formula>
    </cfRule>
  </conditionalFormatting>
  <conditionalFormatting sqref="H74">
    <cfRule type="expression" dxfId="377" priority="43296" stopIfTrue="1">
      <formula>NOT(ISBLANK($H$74))</formula>
    </cfRule>
  </conditionalFormatting>
  <conditionalFormatting sqref="I74">
    <cfRule type="expression" dxfId="376" priority="43297" stopIfTrue="1">
      <formula>NOT(ISBLANK($I$74))</formula>
    </cfRule>
  </conditionalFormatting>
  <conditionalFormatting sqref="J74">
    <cfRule type="expression" dxfId="375" priority="43298" stopIfTrue="1">
      <formula>NOT(ISBLANK($J$74))</formula>
    </cfRule>
  </conditionalFormatting>
  <conditionalFormatting sqref="K74">
    <cfRule type="expression" dxfId="374" priority="43299" stopIfTrue="1">
      <formula>NOT(ISBLANK($K$74))</formula>
    </cfRule>
  </conditionalFormatting>
  <conditionalFormatting sqref="L74">
    <cfRule type="expression" dxfId="373" priority="43300" stopIfTrue="1">
      <formula>NOT(ISBLANK($L$74))</formula>
    </cfRule>
  </conditionalFormatting>
  <conditionalFormatting sqref="M74">
    <cfRule type="expression" dxfId="372" priority="43301" stopIfTrue="1">
      <formula>NOT(ISBLANK($M$74))</formula>
    </cfRule>
  </conditionalFormatting>
  <conditionalFormatting sqref="N74">
    <cfRule type="expression" dxfId="371" priority="43302" stopIfTrue="1">
      <formula>NOT(ISBLANK($N$74))</formula>
    </cfRule>
  </conditionalFormatting>
  <conditionalFormatting sqref="O74">
    <cfRule type="expression" dxfId="370" priority="43303" stopIfTrue="1">
      <formula>NOT(ISBLANK($O$74))</formula>
    </cfRule>
  </conditionalFormatting>
  <conditionalFormatting sqref="P74">
    <cfRule type="expression" dxfId="369" priority="43304" stopIfTrue="1">
      <formula>NOT(ISBLANK($P$74))</formula>
    </cfRule>
  </conditionalFormatting>
  <conditionalFormatting sqref="Q74">
    <cfRule type="expression" dxfId="368" priority="43305" stopIfTrue="1">
      <formula>NOT(ISBLANK($Q$74))</formula>
    </cfRule>
  </conditionalFormatting>
  <conditionalFormatting sqref="R74">
    <cfRule type="expression" dxfId="367" priority="43306" stopIfTrue="1">
      <formula>NOT(ISBLANK($R$74))</formula>
    </cfRule>
  </conditionalFormatting>
  <conditionalFormatting sqref="S74">
    <cfRule type="expression" dxfId="366" priority="43307" stopIfTrue="1">
      <formula>NOT(ISBLANK($S$74))</formula>
    </cfRule>
  </conditionalFormatting>
  <conditionalFormatting sqref="T74">
    <cfRule type="expression" dxfId="365" priority="43308" stopIfTrue="1">
      <formula>NOT(ISBLANK($T$74))</formula>
    </cfRule>
  </conditionalFormatting>
  <conditionalFormatting sqref="U74">
    <cfRule type="expression" dxfId="364" priority="43309" stopIfTrue="1">
      <formula>NOT(ISBLANK($U$74))</formula>
    </cfRule>
  </conditionalFormatting>
  <conditionalFormatting sqref="V74">
    <cfRule type="expression" dxfId="363" priority="43310" stopIfTrue="1">
      <formula>NOT(ISBLANK($V$74))</formula>
    </cfRule>
  </conditionalFormatting>
  <conditionalFormatting sqref="W74">
    <cfRule type="expression" dxfId="362" priority="43311" stopIfTrue="1">
      <formula>NOT(ISBLANK($W$74))</formula>
    </cfRule>
  </conditionalFormatting>
  <conditionalFormatting sqref="X74">
    <cfRule type="expression" dxfId="361" priority="43312" stopIfTrue="1">
      <formula>NOT(ISBLANK($X$74))</formula>
    </cfRule>
  </conditionalFormatting>
  <conditionalFormatting sqref="Y74">
    <cfRule type="expression" dxfId="360" priority="43313" stopIfTrue="1">
      <formula>NOT(ISBLANK($Y$74))</formula>
    </cfRule>
  </conditionalFormatting>
  <conditionalFormatting sqref="Z74">
    <cfRule type="expression" dxfId="359" priority="43314" stopIfTrue="1">
      <formula>NOT(ISBLANK($Z$74))</formula>
    </cfRule>
  </conditionalFormatting>
  <conditionalFormatting sqref="AA74">
    <cfRule type="expression" dxfId="358" priority="43315" stopIfTrue="1">
      <formula>NOT(ISBLANK($AA$74))</formula>
    </cfRule>
  </conditionalFormatting>
  <conditionalFormatting sqref="AB74">
    <cfRule type="expression" dxfId="357" priority="43316" stopIfTrue="1">
      <formula>NOT(ISBLANK($AB$74))</formula>
    </cfRule>
  </conditionalFormatting>
  <conditionalFormatting sqref="AC74">
    <cfRule type="expression" dxfId="356" priority="43317" stopIfTrue="1">
      <formula>NOT(ISBLANK($AC$74))</formula>
    </cfRule>
  </conditionalFormatting>
  <conditionalFormatting sqref="AD74">
    <cfRule type="expression" dxfId="355" priority="43318" stopIfTrue="1">
      <formula>NOT(ISBLANK($AD$74))</formula>
    </cfRule>
  </conditionalFormatting>
  <conditionalFormatting sqref="AE74">
    <cfRule type="expression" dxfId="354" priority="43319" stopIfTrue="1">
      <formula>NOT(ISBLANK($AE$74))</formula>
    </cfRule>
  </conditionalFormatting>
  <conditionalFormatting sqref="AF74">
    <cfRule type="expression" dxfId="353" priority="43320" stopIfTrue="1">
      <formula>NOT(ISBLANK($AF$74))</formula>
    </cfRule>
  </conditionalFormatting>
  <conditionalFormatting sqref="AG74">
    <cfRule type="expression" dxfId="352" priority="43321" stopIfTrue="1">
      <formula>NOT(ISBLANK($AG$74))</formula>
    </cfRule>
  </conditionalFormatting>
  <conditionalFormatting sqref="AH74">
    <cfRule type="expression" dxfId="351" priority="43322" stopIfTrue="1">
      <formula>NOT(ISBLANK($AH$74))</formula>
    </cfRule>
  </conditionalFormatting>
  <conditionalFormatting sqref="AI74">
    <cfRule type="expression" dxfId="350" priority="43323" stopIfTrue="1">
      <formula>NOT(ISBLANK($AI$74))</formula>
    </cfRule>
  </conditionalFormatting>
  <conditionalFormatting sqref="AJ74">
    <cfRule type="expression" dxfId="349" priority="43324" stopIfTrue="1">
      <formula>NOT(ISBLANK($AJ$74))</formula>
    </cfRule>
  </conditionalFormatting>
  <conditionalFormatting sqref="AK74">
    <cfRule type="expression" dxfId="348" priority="43325" stopIfTrue="1">
      <formula>NOT(ISBLANK($AK$74))</formula>
    </cfRule>
  </conditionalFormatting>
  <conditionalFormatting sqref="AL74">
    <cfRule type="expression" dxfId="347" priority="43326" stopIfTrue="1">
      <formula>NOT(ISBLANK($AL$74))</formula>
    </cfRule>
  </conditionalFormatting>
  <conditionalFormatting sqref="AM74">
    <cfRule type="expression" dxfId="346" priority="43327" stopIfTrue="1">
      <formula>NOT(ISBLANK($AM$74))</formula>
    </cfRule>
  </conditionalFormatting>
  <conditionalFormatting sqref="AN74">
    <cfRule type="expression" dxfId="345" priority="43328" stopIfTrue="1">
      <formula>NOT(ISBLANK($AN$74))</formula>
    </cfRule>
  </conditionalFormatting>
  <conditionalFormatting sqref="AO74">
    <cfRule type="expression" dxfId="344" priority="43329" stopIfTrue="1">
      <formula>NOT(ISBLANK($AO$74))</formula>
    </cfRule>
  </conditionalFormatting>
  <conditionalFormatting sqref="AP74">
    <cfRule type="expression" dxfId="343" priority="43330" stopIfTrue="1">
      <formula>NOT(ISBLANK($AP$74))</formula>
    </cfRule>
  </conditionalFormatting>
  <conditionalFormatting sqref="AQ74">
    <cfRule type="expression" dxfId="342" priority="43331" stopIfTrue="1">
      <formula>NOT(ISBLANK($AQ$74))</formula>
    </cfRule>
  </conditionalFormatting>
  <conditionalFormatting sqref="AR74">
    <cfRule type="expression" dxfId="341" priority="43332" stopIfTrue="1">
      <formula>NOT(ISBLANK($AR$74))</formula>
    </cfRule>
  </conditionalFormatting>
  <conditionalFormatting sqref="AS74">
    <cfRule type="expression" dxfId="340" priority="43333" stopIfTrue="1">
      <formula>NOT(ISBLANK($AS$74))</formula>
    </cfRule>
  </conditionalFormatting>
  <conditionalFormatting sqref="AT74">
    <cfRule type="expression" dxfId="339" priority="43334" stopIfTrue="1">
      <formula>NOT(ISBLANK($AT$74))</formula>
    </cfRule>
  </conditionalFormatting>
  <conditionalFormatting sqref="AU74">
    <cfRule type="expression" dxfId="338" priority="43335" stopIfTrue="1">
      <formula>NOT(ISBLANK($AU$74))</formula>
    </cfRule>
  </conditionalFormatting>
  <conditionalFormatting sqref="AV74">
    <cfRule type="expression" dxfId="337" priority="43336" stopIfTrue="1">
      <formula>NOT(ISBLANK($AV$74))</formula>
    </cfRule>
  </conditionalFormatting>
  <conditionalFormatting sqref="AW74">
    <cfRule type="expression" dxfId="336" priority="43337" stopIfTrue="1">
      <formula>NOT(ISBLANK($AW$74))</formula>
    </cfRule>
  </conditionalFormatting>
  <conditionalFormatting sqref="AX74">
    <cfRule type="expression" dxfId="335" priority="43338" stopIfTrue="1">
      <formula>NOT(ISBLANK($AX$74))</formula>
    </cfRule>
  </conditionalFormatting>
  <conditionalFormatting sqref="AY74">
    <cfRule type="expression" dxfId="334" priority="43339" stopIfTrue="1">
      <formula>NOT(ISBLANK($AY$74))</formula>
    </cfRule>
  </conditionalFormatting>
  <conditionalFormatting sqref="AZ74">
    <cfRule type="cellIs" dxfId="333" priority="43340" stopIfTrue="1" operator="notEqual">
      <formula>"fully automated"</formula>
    </cfRule>
  </conditionalFormatting>
  <conditionalFormatting sqref="BA74">
    <cfRule type="expression" dxfId="332" priority="43341" stopIfTrue="1">
      <formula>NOT(ISBLANK($BA$74))</formula>
    </cfRule>
  </conditionalFormatting>
  <conditionalFormatting sqref="BB74">
    <cfRule type="expression" dxfId="331" priority="43342" stopIfTrue="1">
      <formula>NOT(ISBLANK($BB$74))</formula>
    </cfRule>
  </conditionalFormatting>
  <conditionalFormatting sqref="BC74">
    <cfRule type="expression" dxfId="330" priority="43343" stopIfTrue="1">
      <formula>NOT(ISBLANK($BC$74))</formula>
    </cfRule>
  </conditionalFormatting>
  <conditionalFormatting sqref="A75">
    <cfRule type="cellIs" dxfId="329" priority="43344" stopIfTrue="1" operator="notEqual">
      <formula>3</formula>
    </cfRule>
  </conditionalFormatting>
  <conditionalFormatting sqref="B75">
    <cfRule type="cellIs" dxfId="328" priority="43345" stopIfTrue="1" operator="notEqual">
      <formula>3</formula>
    </cfRule>
  </conditionalFormatting>
  <conditionalFormatting sqref="C75">
    <cfRule type="cellIs" dxfId="327" priority="43346" stopIfTrue="1" operator="notEqual">
      <formula>3</formula>
    </cfRule>
  </conditionalFormatting>
  <conditionalFormatting sqref="D75">
    <cfRule type="cellIs" dxfId="326" priority="43347" stopIfTrue="1" operator="notEqual">
      <formula>0.305</formula>
    </cfRule>
  </conditionalFormatting>
  <conditionalFormatting sqref="E75">
    <cfRule type="cellIs" dxfId="325" priority="43348" stopIfTrue="1" operator="notEqual">
      <formula>"MGD"</formula>
    </cfRule>
  </conditionalFormatting>
  <conditionalFormatting sqref="F75">
    <cfRule type="cellIs" dxfId="324" priority="43349" stopIfTrue="1" operator="notEqual">
      <formula>0.094</formula>
    </cfRule>
  </conditionalFormatting>
  <conditionalFormatting sqref="G75">
    <cfRule type="cellIs" dxfId="323" priority="43350" stopIfTrue="1" operator="notEqual">
      <formula>"MGD"</formula>
    </cfRule>
  </conditionalFormatting>
  <conditionalFormatting sqref="H75">
    <cfRule type="expression" dxfId="322" priority="43351" stopIfTrue="1">
      <formula>NOT(ISBLANK($H$75))</formula>
    </cfRule>
  </conditionalFormatting>
  <conditionalFormatting sqref="I75">
    <cfRule type="expression" dxfId="321" priority="43352" stopIfTrue="1">
      <formula>NOT(ISBLANK($I$75))</formula>
    </cfRule>
  </conditionalFormatting>
  <conditionalFormatting sqref="J75">
    <cfRule type="expression" dxfId="320" priority="43353" stopIfTrue="1">
      <formula>NOT(ISBLANK($J$75))</formula>
    </cfRule>
  </conditionalFormatting>
  <conditionalFormatting sqref="K75">
    <cfRule type="expression" dxfId="319" priority="43354" stopIfTrue="1">
      <formula>NOT(ISBLANK($K$75))</formula>
    </cfRule>
  </conditionalFormatting>
  <conditionalFormatting sqref="L75">
    <cfRule type="expression" dxfId="318" priority="43355" stopIfTrue="1">
      <formula>NOT(ISBLANK($L$75))</formula>
    </cfRule>
  </conditionalFormatting>
  <conditionalFormatting sqref="M75">
    <cfRule type="expression" dxfId="317" priority="43356" stopIfTrue="1">
      <formula>NOT(ISBLANK($M$75))</formula>
    </cfRule>
  </conditionalFormatting>
  <conditionalFormatting sqref="N75">
    <cfRule type="expression" dxfId="316" priority="43357" stopIfTrue="1">
      <formula>NOT(ISBLANK($N$75))</formula>
    </cfRule>
  </conditionalFormatting>
  <conditionalFormatting sqref="O75">
    <cfRule type="expression" dxfId="315" priority="43358" stopIfTrue="1">
      <formula>NOT(ISBLANK($O$75))</formula>
    </cfRule>
  </conditionalFormatting>
  <conditionalFormatting sqref="P75">
    <cfRule type="expression" dxfId="314" priority="43359" stopIfTrue="1">
      <formula>NOT(ISBLANK($P$75))</formula>
    </cfRule>
  </conditionalFormatting>
  <conditionalFormatting sqref="Q75">
    <cfRule type="expression" dxfId="313" priority="43360" stopIfTrue="1">
      <formula>NOT(ISBLANK($Q$75))</formula>
    </cfRule>
  </conditionalFormatting>
  <conditionalFormatting sqref="R75">
    <cfRule type="expression" dxfId="312" priority="43361" stopIfTrue="1">
      <formula>NOT(ISBLANK($R$75))</formula>
    </cfRule>
  </conditionalFormatting>
  <conditionalFormatting sqref="S75">
    <cfRule type="expression" dxfId="311" priority="43362" stopIfTrue="1">
      <formula>NOT(ISBLANK($S$75))</formula>
    </cfRule>
  </conditionalFormatting>
  <conditionalFormatting sqref="T75">
    <cfRule type="expression" dxfId="310" priority="43363" stopIfTrue="1">
      <formula>NOT(ISBLANK($T$75))</formula>
    </cfRule>
  </conditionalFormatting>
  <conditionalFormatting sqref="U75">
    <cfRule type="expression" dxfId="309" priority="43364" stopIfTrue="1">
      <formula>NOT(ISBLANK($U$75))</formula>
    </cfRule>
  </conditionalFormatting>
  <conditionalFormatting sqref="V75">
    <cfRule type="expression" dxfId="308" priority="43365" stopIfTrue="1">
      <formula>NOT(ISBLANK($V$75))</formula>
    </cfRule>
  </conditionalFormatting>
  <conditionalFormatting sqref="W75">
    <cfRule type="expression" dxfId="307" priority="43366" stopIfTrue="1">
      <formula>NOT(ISBLANK($W$75))</formula>
    </cfRule>
  </conditionalFormatting>
  <conditionalFormatting sqref="X75">
    <cfRule type="expression" dxfId="306" priority="43367" stopIfTrue="1">
      <formula>NOT(ISBLANK($X$75))</formula>
    </cfRule>
  </conditionalFormatting>
  <conditionalFormatting sqref="Y75">
    <cfRule type="expression" dxfId="305" priority="43368" stopIfTrue="1">
      <formula>NOT(ISBLANK($Y$75))</formula>
    </cfRule>
  </conditionalFormatting>
  <conditionalFormatting sqref="Z75">
    <cfRule type="expression" dxfId="304" priority="43369" stopIfTrue="1">
      <formula>NOT(ISBLANK($Z$75))</formula>
    </cfRule>
  </conditionalFormatting>
  <conditionalFormatting sqref="AA75">
    <cfRule type="expression" dxfId="303" priority="43370" stopIfTrue="1">
      <formula>NOT(ISBLANK($AA$75))</formula>
    </cfRule>
  </conditionalFormatting>
  <conditionalFormatting sqref="AB75">
    <cfRule type="expression" dxfId="302" priority="43371" stopIfTrue="1">
      <formula>NOT(ISBLANK($AB$75))</formula>
    </cfRule>
  </conditionalFormatting>
  <conditionalFormatting sqref="AC75">
    <cfRule type="expression" dxfId="301" priority="43372" stopIfTrue="1">
      <formula>NOT(ISBLANK($AC$75))</formula>
    </cfRule>
  </conditionalFormatting>
  <conditionalFormatting sqref="AD75">
    <cfRule type="expression" dxfId="300" priority="43373" stopIfTrue="1">
      <formula>NOT(ISBLANK($AD$75))</formula>
    </cfRule>
  </conditionalFormatting>
  <conditionalFormatting sqref="AE75">
    <cfRule type="expression" dxfId="299" priority="43374" stopIfTrue="1">
      <formula>NOT(ISBLANK($AE$75))</formula>
    </cfRule>
  </conditionalFormatting>
  <conditionalFormatting sqref="AF75">
    <cfRule type="expression" dxfId="298" priority="43375" stopIfTrue="1">
      <formula>NOT(ISBLANK($AF$75))</formula>
    </cfRule>
  </conditionalFormatting>
  <conditionalFormatting sqref="AG75">
    <cfRule type="expression" dxfId="297" priority="43376" stopIfTrue="1">
      <formula>NOT(ISBLANK($AG$75))</formula>
    </cfRule>
  </conditionalFormatting>
  <conditionalFormatting sqref="AH75">
    <cfRule type="expression" dxfId="296" priority="43377" stopIfTrue="1">
      <formula>NOT(ISBLANK($AH$75))</formula>
    </cfRule>
  </conditionalFormatting>
  <conditionalFormatting sqref="AI75">
    <cfRule type="expression" dxfId="295" priority="43378" stopIfTrue="1">
      <formula>NOT(ISBLANK($AI$75))</formula>
    </cfRule>
  </conditionalFormatting>
  <conditionalFormatting sqref="AJ75">
    <cfRule type="expression" dxfId="294" priority="43379" stopIfTrue="1">
      <formula>NOT(ISBLANK($AJ$75))</formula>
    </cfRule>
  </conditionalFormatting>
  <conditionalFormatting sqref="AK75">
    <cfRule type="expression" dxfId="293" priority="43380" stopIfTrue="1">
      <formula>NOT(ISBLANK($AK$75))</formula>
    </cfRule>
  </conditionalFormatting>
  <conditionalFormatting sqref="AL75">
    <cfRule type="expression" dxfId="292" priority="43381" stopIfTrue="1">
      <formula>NOT(ISBLANK($AL$75))</formula>
    </cfRule>
  </conditionalFormatting>
  <conditionalFormatting sqref="AM75">
    <cfRule type="expression" dxfId="291" priority="43382" stopIfTrue="1">
      <formula>NOT(ISBLANK($AM$75))</formula>
    </cfRule>
  </conditionalFormatting>
  <conditionalFormatting sqref="AN75">
    <cfRule type="expression" dxfId="290" priority="43383" stopIfTrue="1">
      <formula>NOT(ISBLANK($AN$75))</formula>
    </cfRule>
  </conditionalFormatting>
  <conditionalFormatting sqref="AO75">
    <cfRule type="expression" dxfId="289" priority="43384" stopIfTrue="1">
      <formula>NOT(ISBLANK($AO$75))</formula>
    </cfRule>
  </conditionalFormatting>
  <conditionalFormatting sqref="AP75">
    <cfRule type="expression" dxfId="288" priority="43385" stopIfTrue="1">
      <formula>NOT(ISBLANK($AP$75))</formula>
    </cfRule>
  </conditionalFormatting>
  <conditionalFormatting sqref="AQ75">
    <cfRule type="expression" dxfId="287" priority="43386" stopIfTrue="1">
      <formula>NOT(ISBLANK($AQ$75))</formula>
    </cfRule>
  </conditionalFormatting>
  <conditionalFormatting sqref="AR75">
    <cfRule type="expression" dxfId="286" priority="43387" stopIfTrue="1">
      <formula>NOT(ISBLANK($AR$75))</formula>
    </cfRule>
  </conditionalFormatting>
  <conditionalFormatting sqref="AS75">
    <cfRule type="expression" dxfId="285" priority="43388" stopIfTrue="1">
      <formula>NOT(ISBLANK($AS$75))</formula>
    </cfRule>
  </conditionalFormatting>
  <conditionalFormatting sqref="AT75">
    <cfRule type="expression" dxfId="284" priority="43389" stopIfTrue="1">
      <formula>NOT(ISBLANK($AT$75))</formula>
    </cfRule>
  </conditionalFormatting>
  <conditionalFormatting sqref="AU75">
    <cfRule type="expression" dxfId="283" priority="43390" stopIfTrue="1">
      <formula>NOT(ISBLANK($AU$75))</formula>
    </cfRule>
  </conditionalFormatting>
  <conditionalFormatting sqref="AV75">
    <cfRule type="expression" dxfId="282" priority="43391" stopIfTrue="1">
      <formula>NOT(ISBLANK($AV$75))</formula>
    </cfRule>
  </conditionalFormatting>
  <conditionalFormatting sqref="AW75">
    <cfRule type="expression" dxfId="281" priority="43392" stopIfTrue="1">
      <formula>NOT(ISBLANK($AW$75))</formula>
    </cfRule>
  </conditionalFormatting>
  <conditionalFormatting sqref="AX75">
    <cfRule type="expression" dxfId="280" priority="43393" stopIfTrue="1">
      <formula>NOT(ISBLANK($AX$75))</formula>
    </cfRule>
  </conditionalFormatting>
  <conditionalFormatting sqref="AY75">
    <cfRule type="expression" dxfId="279" priority="43394" stopIfTrue="1">
      <formula>NOT(ISBLANK($AY$75))</formula>
    </cfRule>
  </conditionalFormatting>
  <conditionalFormatting sqref="AZ75">
    <cfRule type="cellIs" dxfId="278" priority="43395" stopIfTrue="1" operator="notEqual">
      <formula>"fully automated"</formula>
    </cfRule>
  </conditionalFormatting>
  <conditionalFormatting sqref="BA75">
    <cfRule type="expression" dxfId="277" priority="43396" stopIfTrue="1">
      <formula>NOT(ISBLANK($BA$75))</formula>
    </cfRule>
  </conditionalFormatting>
  <conditionalFormatting sqref="BB75">
    <cfRule type="expression" dxfId="276" priority="43397" stopIfTrue="1">
      <formula>NOT(ISBLANK($BB$75))</formula>
    </cfRule>
  </conditionalFormatting>
  <conditionalFormatting sqref="BC75">
    <cfRule type="expression" dxfId="275" priority="43398" stopIfTrue="1">
      <formula>NOT(ISBLANK($BC$75))</formula>
    </cfRule>
  </conditionalFormatting>
  <conditionalFormatting sqref="A76">
    <cfRule type="cellIs" dxfId="274" priority="43399" stopIfTrue="1" operator="notEqual">
      <formula>3</formula>
    </cfRule>
  </conditionalFormatting>
  <conditionalFormatting sqref="B76">
    <cfRule type="cellIs" dxfId="273" priority="43400" stopIfTrue="1" operator="notEqual">
      <formula>3</formula>
    </cfRule>
  </conditionalFormatting>
  <conditionalFormatting sqref="C76">
    <cfRule type="cellIs" dxfId="272" priority="43401" stopIfTrue="1" operator="notEqual">
      <formula>4</formula>
    </cfRule>
  </conditionalFormatting>
  <conditionalFormatting sqref="D76">
    <cfRule type="cellIs" dxfId="271" priority="43402" stopIfTrue="1" operator="notEqual">
      <formula>0.74</formula>
    </cfRule>
  </conditionalFormatting>
  <conditionalFormatting sqref="E76">
    <cfRule type="cellIs" dxfId="270" priority="43403" stopIfTrue="1" operator="notEqual">
      <formula>"MGD"</formula>
    </cfRule>
  </conditionalFormatting>
  <conditionalFormatting sqref="F76">
    <cfRule type="cellIs" dxfId="269" priority="43404" stopIfTrue="1" operator="notEqual">
      <formula>0.251</formula>
    </cfRule>
  </conditionalFormatting>
  <conditionalFormatting sqref="G76">
    <cfRule type="cellIs" dxfId="268" priority="43405" stopIfTrue="1" operator="notEqual">
      <formula>"MGD"</formula>
    </cfRule>
  </conditionalFormatting>
  <conditionalFormatting sqref="H76">
    <cfRule type="expression" dxfId="267" priority="43406" stopIfTrue="1">
      <formula>NOT(ISBLANK($H$76))</formula>
    </cfRule>
  </conditionalFormatting>
  <conditionalFormatting sqref="I76">
    <cfRule type="expression" dxfId="266" priority="43407" stopIfTrue="1">
      <formula>NOT(ISBLANK($I$76))</formula>
    </cfRule>
  </conditionalFormatting>
  <conditionalFormatting sqref="J76">
    <cfRule type="expression" dxfId="265" priority="43408" stopIfTrue="1">
      <formula>NOT(ISBLANK($J$76))</formula>
    </cfRule>
  </conditionalFormatting>
  <conditionalFormatting sqref="K76">
    <cfRule type="expression" dxfId="264" priority="43409" stopIfTrue="1">
      <formula>NOT(ISBLANK($K$76))</formula>
    </cfRule>
  </conditionalFormatting>
  <conditionalFormatting sqref="L76">
    <cfRule type="expression" dxfId="263" priority="43410" stopIfTrue="1">
      <formula>NOT(ISBLANK($L$76))</formula>
    </cfRule>
  </conditionalFormatting>
  <conditionalFormatting sqref="M76">
    <cfRule type="expression" dxfId="262" priority="43411" stopIfTrue="1">
      <formula>NOT(ISBLANK($M$76))</formula>
    </cfRule>
  </conditionalFormatting>
  <conditionalFormatting sqref="N76">
    <cfRule type="expression" dxfId="261" priority="43412" stopIfTrue="1">
      <formula>NOT(ISBLANK($N$76))</formula>
    </cfRule>
  </conditionalFormatting>
  <conditionalFormatting sqref="O76">
    <cfRule type="expression" dxfId="260" priority="43413" stopIfTrue="1">
      <formula>NOT(ISBLANK($O$76))</formula>
    </cfRule>
  </conditionalFormatting>
  <conditionalFormatting sqref="P76">
    <cfRule type="expression" dxfId="259" priority="43414" stopIfTrue="1">
      <formula>NOT(ISBLANK($P$76))</formula>
    </cfRule>
  </conditionalFormatting>
  <conditionalFormatting sqref="Q76">
    <cfRule type="expression" dxfId="258" priority="43415" stopIfTrue="1">
      <formula>NOT(ISBLANK($Q$76))</formula>
    </cfRule>
  </conditionalFormatting>
  <conditionalFormatting sqref="R76">
    <cfRule type="expression" dxfId="257" priority="43416" stopIfTrue="1">
      <formula>NOT(ISBLANK($R$76))</formula>
    </cfRule>
  </conditionalFormatting>
  <conditionalFormatting sqref="S76">
    <cfRule type="expression" dxfId="256" priority="43417" stopIfTrue="1">
      <formula>NOT(ISBLANK($S$76))</formula>
    </cfRule>
  </conditionalFormatting>
  <conditionalFormatting sqref="T76">
    <cfRule type="expression" dxfId="255" priority="43418" stopIfTrue="1">
      <formula>NOT(ISBLANK($T$76))</formula>
    </cfRule>
  </conditionalFormatting>
  <conditionalFormatting sqref="U76">
    <cfRule type="expression" dxfId="254" priority="43419" stopIfTrue="1">
      <formula>NOT(ISBLANK($U$76))</formula>
    </cfRule>
  </conditionalFormatting>
  <conditionalFormatting sqref="V76">
    <cfRule type="expression" dxfId="253" priority="43420" stopIfTrue="1">
      <formula>NOT(ISBLANK($V$76))</formula>
    </cfRule>
  </conditionalFormatting>
  <conditionalFormatting sqref="W76">
    <cfRule type="expression" dxfId="252" priority="43421" stopIfTrue="1">
      <formula>NOT(ISBLANK($W$76))</formula>
    </cfRule>
  </conditionalFormatting>
  <conditionalFormatting sqref="X76">
    <cfRule type="expression" dxfId="251" priority="43422" stopIfTrue="1">
      <formula>NOT(ISBLANK($X$76))</formula>
    </cfRule>
  </conditionalFormatting>
  <conditionalFormatting sqref="Y76">
    <cfRule type="expression" dxfId="250" priority="43423" stopIfTrue="1">
      <formula>NOT(ISBLANK($Y$76))</formula>
    </cfRule>
  </conditionalFormatting>
  <conditionalFormatting sqref="Z76">
    <cfRule type="expression" dxfId="249" priority="43424" stopIfTrue="1">
      <formula>NOT(ISBLANK($Z$76))</formula>
    </cfRule>
  </conditionalFormatting>
  <conditionalFormatting sqref="AA76">
    <cfRule type="expression" dxfId="248" priority="43425" stopIfTrue="1">
      <formula>NOT(ISBLANK($AA$76))</formula>
    </cfRule>
  </conditionalFormatting>
  <conditionalFormatting sqref="AB76">
    <cfRule type="expression" dxfId="247" priority="43426" stopIfTrue="1">
      <formula>NOT(ISBLANK($AB$76))</formula>
    </cfRule>
  </conditionalFormatting>
  <conditionalFormatting sqref="AC76">
    <cfRule type="expression" dxfId="246" priority="43427" stopIfTrue="1">
      <formula>NOT(ISBLANK($AC$76))</formula>
    </cfRule>
  </conditionalFormatting>
  <conditionalFormatting sqref="AD76">
    <cfRule type="expression" dxfId="245" priority="43428" stopIfTrue="1">
      <formula>NOT(ISBLANK($AD$76))</formula>
    </cfRule>
  </conditionalFormatting>
  <conditionalFormatting sqref="AE76">
    <cfRule type="expression" dxfId="244" priority="43429" stopIfTrue="1">
      <formula>NOT(ISBLANK($AE$76))</formula>
    </cfRule>
  </conditionalFormatting>
  <conditionalFormatting sqref="AF76">
    <cfRule type="expression" dxfId="243" priority="43430" stopIfTrue="1">
      <formula>NOT(ISBLANK($AF$76))</formula>
    </cfRule>
  </conditionalFormatting>
  <conditionalFormatting sqref="AG76">
    <cfRule type="expression" dxfId="242" priority="43431" stopIfTrue="1">
      <formula>NOT(ISBLANK($AG$76))</formula>
    </cfRule>
  </conditionalFormatting>
  <conditionalFormatting sqref="AH76">
    <cfRule type="expression" dxfId="241" priority="43432" stopIfTrue="1">
      <formula>NOT(ISBLANK($AH$76))</formula>
    </cfRule>
  </conditionalFormatting>
  <conditionalFormatting sqref="AI76">
    <cfRule type="expression" dxfId="240" priority="43433" stopIfTrue="1">
      <formula>NOT(ISBLANK($AI$76))</formula>
    </cfRule>
  </conditionalFormatting>
  <conditionalFormatting sqref="AJ76">
    <cfRule type="expression" dxfId="239" priority="43434" stopIfTrue="1">
      <formula>NOT(ISBLANK($AJ$76))</formula>
    </cfRule>
  </conditionalFormatting>
  <conditionalFormatting sqref="AK76">
    <cfRule type="expression" dxfId="238" priority="43435" stopIfTrue="1">
      <formula>NOT(ISBLANK($AK$76))</formula>
    </cfRule>
  </conditionalFormatting>
  <conditionalFormatting sqref="AL76">
    <cfRule type="expression" dxfId="237" priority="43436" stopIfTrue="1">
      <formula>NOT(ISBLANK($AL$76))</formula>
    </cfRule>
  </conditionalFormatting>
  <conditionalFormatting sqref="AM76">
    <cfRule type="expression" dxfId="236" priority="43437" stopIfTrue="1">
      <formula>NOT(ISBLANK($AM$76))</formula>
    </cfRule>
  </conditionalFormatting>
  <conditionalFormatting sqref="AN76">
    <cfRule type="expression" dxfId="235" priority="43438" stopIfTrue="1">
      <formula>NOT(ISBLANK($AN$76))</formula>
    </cfRule>
  </conditionalFormatting>
  <conditionalFormatting sqref="AO76">
    <cfRule type="expression" dxfId="234" priority="43439" stopIfTrue="1">
      <formula>NOT(ISBLANK($AO$76))</formula>
    </cfRule>
  </conditionalFormatting>
  <conditionalFormatting sqref="AP76">
    <cfRule type="expression" dxfId="233" priority="43440" stopIfTrue="1">
      <formula>NOT(ISBLANK($AP$76))</formula>
    </cfRule>
  </conditionalFormatting>
  <conditionalFormatting sqref="AQ76">
    <cfRule type="expression" dxfId="232" priority="43441" stopIfTrue="1">
      <formula>NOT(ISBLANK($AQ$76))</formula>
    </cfRule>
  </conditionalFormatting>
  <conditionalFormatting sqref="AR76">
    <cfRule type="expression" dxfId="231" priority="43442" stopIfTrue="1">
      <formula>NOT(ISBLANK($AR$76))</formula>
    </cfRule>
  </conditionalFormatting>
  <conditionalFormatting sqref="AS76">
    <cfRule type="expression" dxfId="230" priority="43443" stopIfTrue="1">
      <formula>NOT(ISBLANK($AS$76))</formula>
    </cfRule>
  </conditionalFormatting>
  <conditionalFormatting sqref="AT76">
    <cfRule type="expression" dxfId="229" priority="43444" stopIfTrue="1">
      <formula>NOT(ISBLANK($AT$76))</formula>
    </cfRule>
  </conditionalFormatting>
  <conditionalFormatting sqref="AU76">
    <cfRule type="expression" dxfId="228" priority="43445" stopIfTrue="1">
      <formula>NOT(ISBLANK($AU$76))</formula>
    </cfRule>
  </conditionalFormatting>
  <conditionalFormatting sqref="AV76">
    <cfRule type="expression" dxfId="227" priority="43446" stopIfTrue="1">
      <formula>NOT(ISBLANK($AV$76))</formula>
    </cfRule>
  </conditionalFormatting>
  <conditionalFormatting sqref="AW76">
    <cfRule type="expression" dxfId="226" priority="43447" stopIfTrue="1">
      <formula>NOT(ISBLANK($AW$76))</formula>
    </cfRule>
  </conditionalFormatting>
  <conditionalFormatting sqref="AX76">
    <cfRule type="expression" dxfId="225" priority="43448" stopIfTrue="1">
      <formula>NOT(ISBLANK($AX$76))</formula>
    </cfRule>
  </conditionalFormatting>
  <conditionalFormatting sqref="AY76">
    <cfRule type="expression" dxfId="224" priority="43449" stopIfTrue="1">
      <formula>NOT(ISBLANK($AY$76))</formula>
    </cfRule>
  </conditionalFormatting>
  <conditionalFormatting sqref="AZ76">
    <cfRule type="cellIs" dxfId="223" priority="43450" stopIfTrue="1" operator="notEqual">
      <formula>"fully automated"</formula>
    </cfRule>
  </conditionalFormatting>
  <conditionalFormatting sqref="BA76">
    <cfRule type="expression" dxfId="222" priority="43451" stopIfTrue="1">
      <formula>NOT(ISBLANK($BA$76))</formula>
    </cfRule>
  </conditionalFormatting>
  <conditionalFormatting sqref="BB76">
    <cfRule type="expression" dxfId="221" priority="43452" stopIfTrue="1">
      <formula>NOT(ISBLANK($BB$76))</formula>
    </cfRule>
  </conditionalFormatting>
  <conditionalFormatting sqref="BC76">
    <cfRule type="expression" dxfId="220" priority="43453" stopIfTrue="1">
      <formula>NOT(ISBLANK($BC$76))</formula>
    </cfRule>
  </conditionalFormatting>
  <conditionalFormatting sqref="A77">
    <cfRule type="cellIs" dxfId="219" priority="43454" stopIfTrue="1" operator="notEqual">
      <formula>3</formula>
    </cfRule>
  </conditionalFormatting>
  <conditionalFormatting sqref="B77">
    <cfRule type="cellIs" dxfId="218" priority="43455" stopIfTrue="1" operator="notEqual">
      <formula>3</formula>
    </cfRule>
  </conditionalFormatting>
  <conditionalFormatting sqref="C77">
    <cfRule type="cellIs" dxfId="217" priority="43456" stopIfTrue="1" operator="notEqual">
      <formula>5</formula>
    </cfRule>
  </conditionalFormatting>
  <conditionalFormatting sqref="D77">
    <cfRule type="cellIs" dxfId="216" priority="43457" stopIfTrue="1" operator="notEqual">
      <formula>2.152</formula>
    </cfRule>
  </conditionalFormatting>
  <conditionalFormatting sqref="E77">
    <cfRule type="cellIs" dxfId="215" priority="43458" stopIfTrue="1" operator="notEqual">
      <formula>"MGD"</formula>
    </cfRule>
  </conditionalFormatting>
  <conditionalFormatting sqref="F77">
    <cfRule type="cellIs" dxfId="214" priority="43459" stopIfTrue="1" operator="notEqual">
      <formula>0.819</formula>
    </cfRule>
  </conditionalFormatting>
  <conditionalFormatting sqref="G77">
    <cfRule type="cellIs" dxfId="213" priority="43460" stopIfTrue="1" operator="notEqual">
      <formula>"MGD"</formula>
    </cfRule>
  </conditionalFormatting>
  <conditionalFormatting sqref="H77">
    <cfRule type="expression" dxfId="212" priority="43461" stopIfTrue="1">
      <formula>NOT(ISBLANK($H$77))</formula>
    </cfRule>
  </conditionalFormatting>
  <conditionalFormatting sqref="I77">
    <cfRule type="expression" dxfId="211" priority="43462" stopIfTrue="1">
      <formula>NOT(ISBLANK($I$77))</formula>
    </cfRule>
  </conditionalFormatting>
  <conditionalFormatting sqref="J77">
    <cfRule type="expression" dxfId="210" priority="43463" stopIfTrue="1">
      <formula>NOT(ISBLANK($J$77))</formula>
    </cfRule>
  </conditionalFormatting>
  <conditionalFormatting sqref="K77">
    <cfRule type="expression" dxfId="209" priority="43464" stopIfTrue="1">
      <formula>NOT(ISBLANK($K$77))</formula>
    </cfRule>
  </conditionalFormatting>
  <conditionalFormatting sqref="L77">
    <cfRule type="expression" dxfId="208" priority="43465" stopIfTrue="1">
      <formula>NOT(ISBLANK($L$77))</formula>
    </cfRule>
  </conditionalFormatting>
  <conditionalFormatting sqref="M77">
    <cfRule type="expression" dxfId="207" priority="43466" stopIfTrue="1">
      <formula>NOT(ISBLANK($M$77))</formula>
    </cfRule>
  </conditionalFormatting>
  <conditionalFormatting sqref="N77">
    <cfRule type="expression" dxfId="206" priority="43467" stopIfTrue="1">
      <formula>NOT(ISBLANK($N$77))</formula>
    </cfRule>
  </conditionalFormatting>
  <conditionalFormatting sqref="O77">
    <cfRule type="expression" dxfId="205" priority="43468" stopIfTrue="1">
      <formula>NOT(ISBLANK($O$77))</formula>
    </cfRule>
  </conditionalFormatting>
  <conditionalFormatting sqref="P77">
    <cfRule type="expression" dxfId="204" priority="43469" stopIfTrue="1">
      <formula>NOT(ISBLANK($P$77))</formula>
    </cfRule>
  </conditionalFormatting>
  <conditionalFormatting sqref="Q77">
    <cfRule type="expression" dxfId="203" priority="43470" stopIfTrue="1">
      <formula>NOT(ISBLANK($Q$77))</formula>
    </cfRule>
  </conditionalFormatting>
  <conditionalFormatting sqref="R77">
    <cfRule type="expression" dxfId="202" priority="43471" stopIfTrue="1">
      <formula>NOT(ISBLANK($R$77))</formula>
    </cfRule>
  </conditionalFormatting>
  <conditionalFormatting sqref="S77">
    <cfRule type="expression" dxfId="201" priority="43472" stopIfTrue="1">
      <formula>NOT(ISBLANK($S$77))</formula>
    </cfRule>
  </conditionalFormatting>
  <conditionalFormatting sqref="T77">
    <cfRule type="expression" dxfId="200" priority="43473" stopIfTrue="1">
      <formula>NOT(ISBLANK($T$77))</formula>
    </cfRule>
  </conditionalFormatting>
  <conditionalFormatting sqref="U77">
    <cfRule type="expression" dxfId="199" priority="43474" stopIfTrue="1">
      <formula>NOT(ISBLANK($U$77))</formula>
    </cfRule>
  </conditionalFormatting>
  <conditionalFormatting sqref="V77">
    <cfRule type="expression" dxfId="198" priority="43475" stopIfTrue="1">
      <formula>NOT(ISBLANK($V$77))</formula>
    </cfRule>
  </conditionalFormatting>
  <conditionalFormatting sqref="W77">
    <cfRule type="expression" dxfId="197" priority="43476" stopIfTrue="1">
      <formula>NOT(ISBLANK($W$77))</formula>
    </cfRule>
  </conditionalFormatting>
  <conditionalFormatting sqref="X77">
    <cfRule type="expression" dxfId="196" priority="43477" stopIfTrue="1">
      <formula>NOT(ISBLANK($X$77))</formula>
    </cfRule>
  </conditionalFormatting>
  <conditionalFormatting sqref="Y77">
    <cfRule type="expression" dxfId="195" priority="43478" stopIfTrue="1">
      <formula>NOT(ISBLANK($Y$77))</formula>
    </cfRule>
  </conditionalFormatting>
  <conditionalFormatting sqref="Z77">
    <cfRule type="expression" dxfId="194" priority="43479" stopIfTrue="1">
      <formula>NOT(ISBLANK($Z$77))</formula>
    </cfRule>
  </conditionalFormatting>
  <conditionalFormatting sqref="AA77">
    <cfRule type="expression" dxfId="193" priority="43480" stopIfTrue="1">
      <formula>NOT(ISBLANK($AA$77))</formula>
    </cfRule>
  </conditionalFormatting>
  <conditionalFormatting sqref="AB77">
    <cfRule type="expression" dxfId="192" priority="43481" stopIfTrue="1">
      <formula>NOT(ISBLANK($AB$77))</formula>
    </cfRule>
  </conditionalFormatting>
  <conditionalFormatting sqref="AC77">
    <cfRule type="expression" dxfId="191" priority="43482" stopIfTrue="1">
      <formula>NOT(ISBLANK($AC$77))</formula>
    </cfRule>
  </conditionalFormatting>
  <conditionalFormatting sqref="AD77">
    <cfRule type="expression" dxfId="190" priority="43483" stopIfTrue="1">
      <formula>NOT(ISBLANK($AD$77))</formula>
    </cfRule>
  </conditionalFormatting>
  <conditionalFormatting sqref="AE77">
    <cfRule type="expression" dxfId="189" priority="43484" stopIfTrue="1">
      <formula>NOT(ISBLANK($AE$77))</formula>
    </cfRule>
  </conditionalFormatting>
  <conditionalFormatting sqref="AF77">
    <cfRule type="expression" dxfId="188" priority="43485" stopIfTrue="1">
      <formula>NOT(ISBLANK($AF$77))</formula>
    </cfRule>
  </conditionalFormatting>
  <conditionalFormatting sqref="AG77">
    <cfRule type="expression" dxfId="187" priority="43486" stopIfTrue="1">
      <formula>NOT(ISBLANK($AG$77))</formula>
    </cfRule>
  </conditionalFormatting>
  <conditionalFormatting sqref="AH77">
    <cfRule type="expression" dxfId="186" priority="43487" stopIfTrue="1">
      <formula>NOT(ISBLANK($AH$77))</formula>
    </cfRule>
  </conditionalFormatting>
  <conditionalFormatting sqref="AI77">
    <cfRule type="expression" dxfId="185" priority="43488" stopIfTrue="1">
      <formula>NOT(ISBLANK($AI$77))</formula>
    </cfRule>
  </conditionalFormatting>
  <conditionalFormatting sqref="AJ77">
    <cfRule type="expression" dxfId="184" priority="43489" stopIfTrue="1">
      <formula>NOT(ISBLANK($AJ$77))</formula>
    </cfRule>
  </conditionalFormatting>
  <conditionalFormatting sqref="AK77">
    <cfRule type="expression" dxfId="183" priority="43490" stopIfTrue="1">
      <formula>NOT(ISBLANK($AK$77))</formula>
    </cfRule>
  </conditionalFormatting>
  <conditionalFormatting sqref="AL77">
    <cfRule type="expression" dxfId="182" priority="43491" stopIfTrue="1">
      <formula>NOT(ISBLANK($AL$77))</formula>
    </cfRule>
  </conditionalFormatting>
  <conditionalFormatting sqref="AM77">
    <cfRule type="expression" dxfId="181" priority="43492" stopIfTrue="1">
      <formula>NOT(ISBLANK($AM$77))</formula>
    </cfRule>
  </conditionalFormatting>
  <conditionalFormatting sqref="AN77">
    <cfRule type="expression" dxfId="180" priority="43493" stopIfTrue="1">
      <formula>NOT(ISBLANK($AN$77))</formula>
    </cfRule>
  </conditionalFormatting>
  <conditionalFormatting sqref="AO77">
    <cfRule type="expression" dxfId="179" priority="43494" stopIfTrue="1">
      <formula>NOT(ISBLANK($AO$77))</formula>
    </cfRule>
  </conditionalFormatting>
  <conditionalFormatting sqref="AP77">
    <cfRule type="expression" dxfId="178" priority="43495" stopIfTrue="1">
      <formula>NOT(ISBLANK($AP$77))</formula>
    </cfRule>
  </conditionalFormatting>
  <conditionalFormatting sqref="AQ77">
    <cfRule type="expression" dxfId="177" priority="43496" stopIfTrue="1">
      <formula>NOT(ISBLANK($AQ$77))</formula>
    </cfRule>
  </conditionalFormatting>
  <conditionalFormatting sqref="AR77">
    <cfRule type="expression" dxfId="176" priority="43497" stopIfTrue="1">
      <formula>NOT(ISBLANK($AR$77))</formula>
    </cfRule>
  </conditionalFormatting>
  <conditionalFormatting sqref="AS77">
    <cfRule type="expression" dxfId="175" priority="43498" stopIfTrue="1">
      <formula>NOT(ISBLANK($AS$77))</formula>
    </cfRule>
  </conditionalFormatting>
  <conditionalFormatting sqref="AT77">
    <cfRule type="expression" dxfId="174" priority="43499" stopIfTrue="1">
      <formula>NOT(ISBLANK($AT$77))</formula>
    </cfRule>
  </conditionalFormatting>
  <conditionalFormatting sqref="AU77">
    <cfRule type="expression" dxfId="173" priority="43500" stopIfTrue="1">
      <formula>NOT(ISBLANK($AU$77))</formula>
    </cfRule>
  </conditionalFormatting>
  <conditionalFormatting sqref="AV77">
    <cfRule type="expression" dxfId="172" priority="43501" stopIfTrue="1">
      <formula>NOT(ISBLANK($AV$77))</formula>
    </cfRule>
  </conditionalFormatting>
  <conditionalFormatting sqref="AW77">
    <cfRule type="expression" dxfId="171" priority="43502" stopIfTrue="1">
      <formula>NOT(ISBLANK($AW$77))</formula>
    </cfRule>
  </conditionalFormatting>
  <conditionalFormatting sqref="AX77">
    <cfRule type="expression" dxfId="170" priority="43503" stopIfTrue="1">
      <formula>NOT(ISBLANK($AX$77))</formula>
    </cfRule>
  </conditionalFormatting>
  <conditionalFormatting sqref="AY77">
    <cfRule type="expression" dxfId="169" priority="43504" stopIfTrue="1">
      <formula>NOT(ISBLANK($AY$77))</formula>
    </cfRule>
  </conditionalFormatting>
  <conditionalFormatting sqref="AZ77">
    <cfRule type="cellIs" dxfId="168" priority="43505" stopIfTrue="1" operator="notEqual">
      <formula>"fully automated"</formula>
    </cfRule>
  </conditionalFormatting>
  <conditionalFormatting sqref="BA77">
    <cfRule type="expression" dxfId="167" priority="43506" stopIfTrue="1">
      <formula>NOT(ISBLANK($BA$77))</formula>
    </cfRule>
  </conditionalFormatting>
  <conditionalFormatting sqref="BB77">
    <cfRule type="expression" dxfId="166" priority="43507" stopIfTrue="1">
      <formula>NOT(ISBLANK($BB$77))</formula>
    </cfRule>
  </conditionalFormatting>
  <conditionalFormatting sqref="BC77">
    <cfRule type="expression" dxfId="165" priority="43508" stopIfTrue="1">
      <formula>NOT(ISBLANK($BC$77))</formula>
    </cfRule>
  </conditionalFormatting>
  <conditionalFormatting sqref="A78">
    <cfRule type="cellIs" dxfId="164" priority="43509" stopIfTrue="1" operator="notEqual">
      <formula>3</formula>
    </cfRule>
  </conditionalFormatting>
  <conditionalFormatting sqref="B78">
    <cfRule type="cellIs" dxfId="163" priority="43510" stopIfTrue="1" operator="notEqual">
      <formula>3</formula>
    </cfRule>
  </conditionalFormatting>
  <conditionalFormatting sqref="C78">
    <cfRule type="cellIs" dxfId="162" priority="43511" stopIfTrue="1" operator="notEqual">
      <formula>6</formula>
    </cfRule>
  </conditionalFormatting>
  <conditionalFormatting sqref="D78">
    <cfRule type="cellIs" dxfId="161" priority="43512" stopIfTrue="1" operator="notEqual">
      <formula>7.365</formula>
    </cfRule>
  </conditionalFormatting>
  <conditionalFormatting sqref="E78">
    <cfRule type="cellIs" dxfId="160" priority="43513" stopIfTrue="1" operator="notEqual">
      <formula>"MGD"</formula>
    </cfRule>
  </conditionalFormatting>
  <conditionalFormatting sqref="F78">
    <cfRule type="cellIs" dxfId="159" priority="43514" stopIfTrue="1" operator="notEqual">
      <formula>3.2</formula>
    </cfRule>
  </conditionalFormatting>
  <conditionalFormatting sqref="G78">
    <cfRule type="cellIs" dxfId="158" priority="43515" stopIfTrue="1" operator="notEqual">
      <formula>"MGD"</formula>
    </cfRule>
  </conditionalFormatting>
  <conditionalFormatting sqref="H78">
    <cfRule type="expression" dxfId="157" priority="43516" stopIfTrue="1">
      <formula>NOT(ISBLANK($H$78))</formula>
    </cfRule>
  </conditionalFormatting>
  <conditionalFormatting sqref="I78">
    <cfRule type="expression" dxfId="156" priority="43517" stopIfTrue="1">
      <formula>NOT(ISBLANK($I$78))</formula>
    </cfRule>
  </conditionalFormatting>
  <conditionalFormatting sqref="J78">
    <cfRule type="expression" dxfId="155" priority="43518" stopIfTrue="1">
      <formula>NOT(ISBLANK($J$78))</formula>
    </cfRule>
  </conditionalFormatting>
  <conditionalFormatting sqref="K78">
    <cfRule type="expression" dxfId="154" priority="43519" stopIfTrue="1">
      <formula>NOT(ISBLANK($K$78))</formula>
    </cfRule>
  </conditionalFormatting>
  <conditionalFormatting sqref="L78">
    <cfRule type="expression" dxfId="153" priority="43520" stopIfTrue="1">
      <formula>NOT(ISBLANK($L$78))</formula>
    </cfRule>
  </conditionalFormatting>
  <conditionalFormatting sqref="M78">
    <cfRule type="expression" dxfId="152" priority="43521" stopIfTrue="1">
      <formula>NOT(ISBLANK($M$78))</formula>
    </cfRule>
  </conditionalFormatting>
  <conditionalFormatting sqref="N78">
    <cfRule type="expression" dxfId="151" priority="43522" stopIfTrue="1">
      <formula>NOT(ISBLANK($N$78))</formula>
    </cfRule>
  </conditionalFormatting>
  <conditionalFormatting sqref="O78">
    <cfRule type="expression" dxfId="150" priority="43523" stopIfTrue="1">
      <formula>NOT(ISBLANK($O$78))</formula>
    </cfRule>
  </conditionalFormatting>
  <conditionalFormatting sqref="P78">
    <cfRule type="expression" dxfId="149" priority="43524" stopIfTrue="1">
      <formula>NOT(ISBLANK($P$78))</formula>
    </cfRule>
  </conditionalFormatting>
  <conditionalFormatting sqref="Q78">
    <cfRule type="expression" dxfId="148" priority="43525" stopIfTrue="1">
      <formula>NOT(ISBLANK($Q$78))</formula>
    </cfRule>
  </conditionalFormatting>
  <conditionalFormatting sqref="R78">
    <cfRule type="expression" dxfId="147" priority="43526" stopIfTrue="1">
      <formula>NOT(ISBLANK($R$78))</formula>
    </cfRule>
  </conditionalFormatting>
  <conditionalFormatting sqref="S78">
    <cfRule type="expression" dxfId="146" priority="43527" stopIfTrue="1">
      <formula>NOT(ISBLANK($S$78))</formula>
    </cfRule>
  </conditionalFormatting>
  <conditionalFormatting sqref="T78">
    <cfRule type="expression" dxfId="145" priority="43528" stopIfTrue="1">
      <formula>NOT(ISBLANK($T$78))</formula>
    </cfRule>
  </conditionalFormatting>
  <conditionalFormatting sqref="U78">
    <cfRule type="expression" dxfId="144" priority="43529" stopIfTrue="1">
      <formula>NOT(ISBLANK($U$78))</formula>
    </cfRule>
  </conditionalFormatting>
  <conditionalFormatting sqref="V78">
    <cfRule type="expression" dxfId="143" priority="43530" stopIfTrue="1">
      <formula>NOT(ISBLANK($V$78))</formula>
    </cfRule>
  </conditionalFormatting>
  <conditionalFormatting sqref="W78">
    <cfRule type="expression" dxfId="142" priority="43531" stopIfTrue="1">
      <formula>NOT(ISBLANK($W$78))</formula>
    </cfRule>
  </conditionalFormatting>
  <conditionalFormatting sqref="X78">
    <cfRule type="expression" dxfId="141" priority="43532" stopIfTrue="1">
      <formula>NOT(ISBLANK($X$78))</formula>
    </cfRule>
  </conditionalFormatting>
  <conditionalFormatting sqref="Y78">
    <cfRule type="expression" dxfId="140" priority="43533" stopIfTrue="1">
      <formula>NOT(ISBLANK($Y$78))</formula>
    </cfRule>
  </conditionalFormatting>
  <conditionalFormatting sqref="Z78">
    <cfRule type="expression" dxfId="139" priority="43534" stopIfTrue="1">
      <formula>NOT(ISBLANK($Z$78))</formula>
    </cfRule>
  </conditionalFormatting>
  <conditionalFormatting sqref="AA78">
    <cfRule type="expression" dxfId="138" priority="43535" stopIfTrue="1">
      <formula>NOT(ISBLANK($AA$78))</formula>
    </cfRule>
  </conditionalFormatting>
  <conditionalFormatting sqref="AB78">
    <cfRule type="expression" dxfId="137" priority="43536" stopIfTrue="1">
      <formula>NOT(ISBLANK($AB$78))</formula>
    </cfRule>
  </conditionalFormatting>
  <conditionalFormatting sqref="AC78">
    <cfRule type="expression" dxfId="136" priority="43537" stopIfTrue="1">
      <formula>NOT(ISBLANK($AC$78))</formula>
    </cfRule>
  </conditionalFormatting>
  <conditionalFormatting sqref="AD78">
    <cfRule type="expression" dxfId="135" priority="43538" stopIfTrue="1">
      <formula>NOT(ISBLANK($AD$78))</formula>
    </cfRule>
  </conditionalFormatting>
  <conditionalFormatting sqref="AE78">
    <cfRule type="expression" dxfId="134" priority="43539" stopIfTrue="1">
      <formula>NOT(ISBLANK($AE$78))</formula>
    </cfRule>
  </conditionalFormatting>
  <conditionalFormatting sqref="AF78">
    <cfRule type="expression" dxfId="133" priority="43540" stopIfTrue="1">
      <formula>NOT(ISBLANK($AF$78))</formula>
    </cfRule>
  </conditionalFormatting>
  <conditionalFormatting sqref="AG78">
    <cfRule type="expression" dxfId="132" priority="43541" stopIfTrue="1">
      <formula>NOT(ISBLANK($AG$78))</formula>
    </cfRule>
  </conditionalFormatting>
  <conditionalFormatting sqref="AH78">
    <cfRule type="expression" dxfId="131" priority="43542" stopIfTrue="1">
      <formula>NOT(ISBLANK($AH$78))</formula>
    </cfRule>
  </conditionalFormatting>
  <conditionalFormatting sqref="AI78">
    <cfRule type="expression" dxfId="130" priority="43543" stopIfTrue="1">
      <formula>NOT(ISBLANK($AI$78))</formula>
    </cfRule>
  </conditionalFormatting>
  <conditionalFormatting sqref="AJ78">
    <cfRule type="expression" dxfId="129" priority="43544" stopIfTrue="1">
      <formula>NOT(ISBLANK($AJ$78))</formula>
    </cfRule>
  </conditionalFormatting>
  <conditionalFormatting sqref="AK78">
    <cfRule type="expression" dxfId="128" priority="43545" stopIfTrue="1">
      <formula>NOT(ISBLANK($AK$78))</formula>
    </cfRule>
  </conditionalFormatting>
  <conditionalFormatting sqref="AL78">
    <cfRule type="expression" dxfId="127" priority="43546" stopIfTrue="1">
      <formula>NOT(ISBLANK($AL$78))</formula>
    </cfRule>
  </conditionalFormatting>
  <conditionalFormatting sqref="AM78">
    <cfRule type="expression" dxfId="126" priority="43547" stopIfTrue="1">
      <formula>NOT(ISBLANK($AM$78))</formula>
    </cfRule>
  </conditionalFormatting>
  <conditionalFormatting sqref="AN78">
    <cfRule type="expression" dxfId="125" priority="43548" stopIfTrue="1">
      <formula>NOT(ISBLANK($AN$78))</formula>
    </cfRule>
  </conditionalFormatting>
  <conditionalFormatting sqref="AO78">
    <cfRule type="expression" dxfId="124" priority="43549" stopIfTrue="1">
      <formula>NOT(ISBLANK($AO$78))</formula>
    </cfRule>
  </conditionalFormatting>
  <conditionalFormatting sqref="AP78">
    <cfRule type="expression" dxfId="123" priority="43550" stopIfTrue="1">
      <formula>NOT(ISBLANK($AP$78))</formula>
    </cfRule>
  </conditionalFormatting>
  <conditionalFormatting sqref="AQ78">
    <cfRule type="expression" dxfId="122" priority="43551" stopIfTrue="1">
      <formula>NOT(ISBLANK($AQ$78))</formula>
    </cfRule>
  </conditionalFormatting>
  <conditionalFormatting sqref="AR78">
    <cfRule type="expression" dxfId="121" priority="43552" stopIfTrue="1">
      <formula>NOT(ISBLANK($AR$78))</formula>
    </cfRule>
  </conditionalFormatting>
  <conditionalFormatting sqref="AS78">
    <cfRule type="expression" dxfId="120" priority="43553" stopIfTrue="1">
      <formula>NOT(ISBLANK($AS$78))</formula>
    </cfRule>
  </conditionalFormatting>
  <conditionalFormatting sqref="AT78">
    <cfRule type="expression" dxfId="119" priority="43554" stopIfTrue="1">
      <formula>NOT(ISBLANK($AT$78))</formula>
    </cfRule>
  </conditionalFormatting>
  <conditionalFormatting sqref="AU78">
    <cfRule type="expression" dxfId="118" priority="43555" stopIfTrue="1">
      <formula>NOT(ISBLANK($AU$78))</formula>
    </cfRule>
  </conditionalFormatting>
  <conditionalFormatting sqref="AV78">
    <cfRule type="expression" dxfId="117" priority="43556" stopIfTrue="1">
      <formula>NOT(ISBLANK($AV$78))</formula>
    </cfRule>
  </conditionalFormatting>
  <conditionalFormatting sqref="AW78">
    <cfRule type="expression" dxfId="116" priority="43557" stopIfTrue="1">
      <formula>NOT(ISBLANK($AW$78))</formula>
    </cfRule>
  </conditionalFormatting>
  <conditionalFormatting sqref="AX78">
    <cfRule type="expression" dxfId="115" priority="43558" stopIfTrue="1">
      <formula>NOT(ISBLANK($AX$78))</formula>
    </cfRule>
  </conditionalFormatting>
  <conditionalFormatting sqref="AY78">
    <cfRule type="expression" dxfId="114" priority="43559" stopIfTrue="1">
      <formula>NOT(ISBLANK($AY$78))</formula>
    </cfRule>
  </conditionalFormatting>
  <conditionalFormatting sqref="AZ78">
    <cfRule type="cellIs" dxfId="113" priority="43560" stopIfTrue="1" operator="notEqual">
      <formula>"fully automated"</formula>
    </cfRule>
  </conditionalFormatting>
  <conditionalFormatting sqref="BA78">
    <cfRule type="expression" dxfId="112" priority="43561" stopIfTrue="1">
      <formula>NOT(ISBLANK($BA$78))</formula>
    </cfRule>
  </conditionalFormatting>
  <conditionalFormatting sqref="BB78">
    <cfRule type="expression" dxfId="111" priority="43562" stopIfTrue="1">
      <formula>NOT(ISBLANK($BB$78))</formula>
    </cfRule>
  </conditionalFormatting>
  <conditionalFormatting sqref="BC78">
    <cfRule type="expression" dxfId="110" priority="43563" stopIfTrue="1">
      <formula>NOT(ISBLANK($BC$78))</formula>
    </cfRule>
  </conditionalFormatting>
  <conditionalFormatting sqref="A79">
    <cfRule type="cellIs" dxfId="109" priority="43564" stopIfTrue="1" operator="notEqual">
      <formula>3</formula>
    </cfRule>
  </conditionalFormatting>
  <conditionalFormatting sqref="B79">
    <cfRule type="cellIs" dxfId="108" priority="43565" stopIfTrue="1" operator="notEqual">
      <formula>3</formula>
    </cfRule>
  </conditionalFormatting>
  <conditionalFormatting sqref="C79">
    <cfRule type="cellIs" dxfId="107" priority="43566" stopIfTrue="1" operator="notEqual">
      <formula>7</formula>
    </cfRule>
  </conditionalFormatting>
  <conditionalFormatting sqref="D79">
    <cfRule type="cellIs" dxfId="106" priority="43567" stopIfTrue="1" operator="notEqual">
      <formula>22.614</formula>
    </cfRule>
  </conditionalFormatting>
  <conditionalFormatting sqref="E79">
    <cfRule type="cellIs" dxfId="105" priority="43568" stopIfTrue="1" operator="notEqual">
      <formula>"MGD"</formula>
    </cfRule>
  </conditionalFormatting>
  <conditionalFormatting sqref="F79">
    <cfRule type="cellIs" dxfId="104" priority="43569" stopIfTrue="1" operator="notEqual">
      <formula>11.066</formula>
    </cfRule>
  </conditionalFormatting>
  <conditionalFormatting sqref="G79">
    <cfRule type="cellIs" dxfId="103" priority="43570" stopIfTrue="1" operator="notEqual">
      <formula>"MGD"</formula>
    </cfRule>
  </conditionalFormatting>
  <conditionalFormatting sqref="H79">
    <cfRule type="expression" dxfId="102" priority="43571" stopIfTrue="1">
      <formula>NOT(ISBLANK($H$79))</formula>
    </cfRule>
  </conditionalFormatting>
  <conditionalFormatting sqref="I79">
    <cfRule type="expression" dxfId="101" priority="43572" stopIfTrue="1">
      <formula>NOT(ISBLANK($I$79))</formula>
    </cfRule>
  </conditionalFormatting>
  <conditionalFormatting sqref="J79">
    <cfRule type="expression" dxfId="100" priority="43573" stopIfTrue="1">
      <formula>NOT(ISBLANK($J$79))</formula>
    </cfRule>
  </conditionalFormatting>
  <conditionalFormatting sqref="K79">
    <cfRule type="expression" dxfId="99" priority="43574" stopIfTrue="1">
      <formula>NOT(ISBLANK($K$79))</formula>
    </cfRule>
  </conditionalFormatting>
  <conditionalFormatting sqref="L79">
    <cfRule type="expression" dxfId="98" priority="43575" stopIfTrue="1">
      <formula>NOT(ISBLANK($L$79))</formula>
    </cfRule>
  </conditionalFormatting>
  <conditionalFormatting sqref="M79">
    <cfRule type="expression" dxfId="97" priority="43576" stopIfTrue="1">
      <formula>NOT(ISBLANK($M$79))</formula>
    </cfRule>
  </conditionalFormatting>
  <conditionalFormatting sqref="N79">
    <cfRule type="expression" dxfId="96" priority="43577" stopIfTrue="1">
      <formula>NOT(ISBLANK($N$79))</formula>
    </cfRule>
  </conditionalFormatting>
  <conditionalFormatting sqref="O79">
    <cfRule type="expression" dxfId="95" priority="43578" stopIfTrue="1">
      <formula>NOT(ISBLANK($O$79))</formula>
    </cfRule>
  </conditionalFormatting>
  <conditionalFormatting sqref="P79">
    <cfRule type="expression" dxfId="94" priority="43579" stopIfTrue="1">
      <formula>NOT(ISBLANK($P$79))</formula>
    </cfRule>
  </conditionalFormatting>
  <conditionalFormatting sqref="Q79">
    <cfRule type="expression" dxfId="93" priority="43580" stopIfTrue="1">
      <formula>NOT(ISBLANK($Q$79))</formula>
    </cfRule>
  </conditionalFormatting>
  <conditionalFormatting sqref="R79">
    <cfRule type="expression" dxfId="92" priority="43581" stopIfTrue="1">
      <formula>NOT(ISBLANK($R$79))</formula>
    </cfRule>
  </conditionalFormatting>
  <conditionalFormatting sqref="S79">
    <cfRule type="expression" dxfId="91" priority="43582" stopIfTrue="1">
      <formula>NOT(ISBLANK($S$79))</formula>
    </cfRule>
  </conditionalFormatting>
  <conditionalFormatting sqref="T79">
    <cfRule type="expression" dxfId="90" priority="43583" stopIfTrue="1">
      <formula>NOT(ISBLANK($T$79))</formula>
    </cfRule>
  </conditionalFormatting>
  <conditionalFormatting sqref="U79">
    <cfRule type="expression" dxfId="89" priority="43584" stopIfTrue="1">
      <formula>NOT(ISBLANK($U$79))</formula>
    </cfRule>
  </conditionalFormatting>
  <conditionalFormatting sqref="V79">
    <cfRule type="expression" dxfId="88" priority="43585" stopIfTrue="1">
      <formula>NOT(ISBLANK($V$79))</formula>
    </cfRule>
  </conditionalFormatting>
  <conditionalFormatting sqref="W79">
    <cfRule type="expression" dxfId="87" priority="43586" stopIfTrue="1">
      <formula>NOT(ISBLANK($W$79))</formula>
    </cfRule>
  </conditionalFormatting>
  <conditionalFormatting sqref="X79">
    <cfRule type="expression" dxfId="86" priority="43587" stopIfTrue="1">
      <formula>NOT(ISBLANK($X$79))</formula>
    </cfRule>
  </conditionalFormatting>
  <conditionalFormatting sqref="Y79">
    <cfRule type="expression" dxfId="85" priority="43588" stopIfTrue="1">
      <formula>NOT(ISBLANK($Y$79))</formula>
    </cfRule>
  </conditionalFormatting>
  <conditionalFormatting sqref="Z79">
    <cfRule type="expression" dxfId="84" priority="43589" stopIfTrue="1">
      <formula>NOT(ISBLANK($Z$79))</formula>
    </cfRule>
  </conditionalFormatting>
  <conditionalFormatting sqref="AA79">
    <cfRule type="expression" dxfId="83" priority="43590" stopIfTrue="1">
      <formula>NOT(ISBLANK($AA$79))</formula>
    </cfRule>
  </conditionalFormatting>
  <conditionalFormatting sqref="AB79">
    <cfRule type="expression" dxfId="82" priority="43591" stopIfTrue="1">
      <formula>NOT(ISBLANK($AB$79))</formula>
    </cfRule>
  </conditionalFormatting>
  <conditionalFormatting sqref="AC79">
    <cfRule type="expression" dxfId="81" priority="43592" stopIfTrue="1">
      <formula>NOT(ISBLANK($AC$79))</formula>
    </cfRule>
  </conditionalFormatting>
  <conditionalFormatting sqref="AD79">
    <cfRule type="expression" dxfId="80" priority="43593" stopIfTrue="1">
      <formula>NOT(ISBLANK($AD$79))</formula>
    </cfRule>
  </conditionalFormatting>
  <conditionalFormatting sqref="AE79">
    <cfRule type="expression" dxfId="79" priority="43594" stopIfTrue="1">
      <formula>NOT(ISBLANK($AE$79))</formula>
    </cfRule>
  </conditionalFormatting>
  <conditionalFormatting sqref="AF79">
    <cfRule type="expression" dxfId="78" priority="43595" stopIfTrue="1">
      <formula>NOT(ISBLANK($AF$79))</formula>
    </cfRule>
  </conditionalFormatting>
  <conditionalFormatting sqref="AG79">
    <cfRule type="expression" dxfId="77" priority="43596" stopIfTrue="1">
      <formula>NOT(ISBLANK($AG$79))</formula>
    </cfRule>
  </conditionalFormatting>
  <conditionalFormatting sqref="AH79">
    <cfRule type="expression" dxfId="76" priority="43597" stopIfTrue="1">
      <formula>NOT(ISBLANK($AH$79))</formula>
    </cfRule>
  </conditionalFormatting>
  <conditionalFormatting sqref="AI79">
    <cfRule type="expression" dxfId="75" priority="43598" stopIfTrue="1">
      <formula>NOT(ISBLANK($AI$79))</formula>
    </cfRule>
  </conditionalFormatting>
  <conditionalFormatting sqref="AJ79">
    <cfRule type="expression" dxfId="74" priority="43599" stopIfTrue="1">
      <formula>NOT(ISBLANK($AJ$79))</formula>
    </cfRule>
  </conditionalFormatting>
  <conditionalFormatting sqref="AK79">
    <cfRule type="expression" dxfId="73" priority="43600" stopIfTrue="1">
      <formula>NOT(ISBLANK($AK$79))</formula>
    </cfRule>
  </conditionalFormatting>
  <conditionalFormatting sqref="AL79">
    <cfRule type="expression" dxfId="72" priority="43601" stopIfTrue="1">
      <formula>NOT(ISBLANK($AL$79))</formula>
    </cfRule>
  </conditionalFormatting>
  <conditionalFormatting sqref="AM79">
    <cfRule type="expression" dxfId="71" priority="43602" stopIfTrue="1">
      <formula>NOT(ISBLANK($AM$79))</formula>
    </cfRule>
  </conditionalFormatting>
  <conditionalFormatting sqref="AN79">
    <cfRule type="expression" dxfId="70" priority="43603" stopIfTrue="1">
      <formula>NOT(ISBLANK($AN$79))</formula>
    </cfRule>
  </conditionalFormatting>
  <conditionalFormatting sqref="AO79">
    <cfRule type="expression" dxfId="69" priority="43604" stopIfTrue="1">
      <formula>NOT(ISBLANK($AO$79))</formula>
    </cfRule>
  </conditionalFormatting>
  <conditionalFormatting sqref="AP79">
    <cfRule type="expression" dxfId="68" priority="43605" stopIfTrue="1">
      <formula>NOT(ISBLANK($AP$79))</formula>
    </cfRule>
  </conditionalFormatting>
  <conditionalFormatting sqref="AQ79">
    <cfRule type="expression" dxfId="67" priority="43606" stopIfTrue="1">
      <formula>NOT(ISBLANK($AQ$79))</formula>
    </cfRule>
  </conditionalFormatting>
  <conditionalFormatting sqref="AR79">
    <cfRule type="expression" dxfId="66" priority="43607" stopIfTrue="1">
      <formula>NOT(ISBLANK($AR$79))</formula>
    </cfRule>
  </conditionalFormatting>
  <conditionalFormatting sqref="AS79">
    <cfRule type="expression" dxfId="65" priority="43608" stopIfTrue="1">
      <formula>NOT(ISBLANK($AS$79))</formula>
    </cfRule>
  </conditionalFormatting>
  <conditionalFormatting sqref="AT79">
    <cfRule type="expression" dxfId="64" priority="43609" stopIfTrue="1">
      <formula>NOT(ISBLANK($AT$79))</formula>
    </cfRule>
  </conditionalFormatting>
  <conditionalFormatting sqref="AU79">
    <cfRule type="expression" dxfId="63" priority="43610" stopIfTrue="1">
      <formula>NOT(ISBLANK($AU$79))</formula>
    </cfRule>
  </conditionalFormatting>
  <conditionalFormatting sqref="AV79">
    <cfRule type="expression" dxfId="62" priority="43611" stopIfTrue="1">
      <formula>NOT(ISBLANK($AV$79))</formula>
    </cfRule>
  </conditionalFormatting>
  <conditionalFormatting sqref="AW79">
    <cfRule type="expression" dxfId="61" priority="43612" stopIfTrue="1">
      <formula>NOT(ISBLANK($AW$79))</formula>
    </cfRule>
  </conditionalFormatting>
  <conditionalFormatting sqref="AX79">
    <cfRule type="expression" dxfId="60" priority="43613" stopIfTrue="1">
      <formula>NOT(ISBLANK($AX$79))</formula>
    </cfRule>
  </conditionalFormatting>
  <conditionalFormatting sqref="AY79">
    <cfRule type="expression" dxfId="59" priority="43614" stopIfTrue="1">
      <formula>NOT(ISBLANK($AY$79))</formula>
    </cfRule>
  </conditionalFormatting>
  <conditionalFormatting sqref="AZ79">
    <cfRule type="cellIs" dxfId="58" priority="43615" stopIfTrue="1" operator="notEqual">
      <formula>"fully automated"</formula>
    </cfRule>
  </conditionalFormatting>
  <conditionalFormatting sqref="BA79">
    <cfRule type="expression" dxfId="57" priority="43616" stopIfTrue="1">
      <formula>NOT(ISBLANK($BA$79))</formula>
    </cfRule>
  </conditionalFormatting>
  <conditionalFormatting sqref="BB79">
    <cfRule type="expression" dxfId="56" priority="43617" stopIfTrue="1">
      <formula>NOT(ISBLANK($BB$79))</formula>
    </cfRule>
  </conditionalFormatting>
  <conditionalFormatting sqref="BC79">
    <cfRule type="expression" dxfId="55" priority="43618" stopIfTrue="1">
      <formula>NOT(ISBLANK($BC$79))</formula>
    </cfRule>
  </conditionalFormatting>
  <conditionalFormatting sqref="A80">
    <cfRule type="cellIs" dxfId="54" priority="43619" stopIfTrue="1" operator="notEqual">
      <formula>3</formula>
    </cfRule>
  </conditionalFormatting>
  <conditionalFormatting sqref="B80">
    <cfRule type="cellIs" dxfId="53" priority="43620" stopIfTrue="1" operator="notEqual">
      <formula>3</formula>
    </cfRule>
  </conditionalFormatting>
  <conditionalFormatting sqref="C80">
    <cfRule type="cellIs" dxfId="52" priority="43621" stopIfTrue="1" operator="notEqual">
      <formula>8</formula>
    </cfRule>
  </conditionalFormatting>
  <conditionalFormatting sqref="D80">
    <cfRule type="cellIs" dxfId="51" priority="43622" stopIfTrue="1" operator="notEqual">
      <formula>75.072</formula>
    </cfRule>
  </conditionalFormatting>
  <conditionalFormatting sqref="E80">
    <cfRule type="cellIs" dxfId="50" priority="43623" stopIfTrue="1" operator="notEqual">
      <formula>"MGD"</formula>
    </cfRule>
  </conditionalFormatting>
  <conditionalFormatting sqref="F80">
    <cfRule type="cellIs" dxfId="49" priority="43624" stopIfTrue="1" operator="notEqual">
      <formula>37.536</formula>
    </cfRule>
  </conditionalFormatting>
  <conditionalFormatting sqref="G80">
    <cfRule type="cellIs" dxfId="48" priority="43625" stopIfTrue="1" operator="notEqual">
      <formula>"MGD"</formula>
    </cfRule>
  </conditionalFormatting>
  <conditionalFormatting sqref="H80">
    <cfRule type="expression" dxfId="47" priority="43626" stopIfTrue="1">
      <formula>NOT(ISBLANK($H$80))</formula>
    </cfRule>
  </conditionalFormatting>
  <conditionalFormatting sqref="I80">
    <cfRule type="expression" dxfId="46" priority="43627" stopIfTrue="1">
      <formula>NOT(ISBLANK($I$80))</formula>
    </cfRule>
  </conditionalFormatting>
  <conditionalFormatting sqref="J80">
    <cfRule type="expression" dxfId="45" priority="43628" stopIfTrue="1">
      <formula>NOT(ISBLANK($J$80))</formula>
    </cfRule>
  </conditionalFormatting>
  <conditionalFormatting sqref="K80">
    <cfRule type="expression" dxfId="44" priority="43629" stopIfTrue="1">
      <formula>NOT(ISBLANK($K$80))</formula>
    </cfRule>
  </conditionalFormatting>
  <conditionalFormatting sqref="L80">
    <cfRule type="expression" dxfId="43" priority="43630" stopIfTrue="1">
      <formula>NOT(ISBLANK($L$80))</formula>
    </cfRule>
  </conditionalFormatting>
  <conditionalFormatting sqref="M80">
    <cfRule type="expression" dxfId="42" priority="43631" stopIfTrue="1">
      <formula>NOT(ISBLANK($M$80))</formula>
    </cfRule>
  </conditionalFormatting>
  <conditionalFormatting sqref="N80">
    <cfRule type="expression" dxfId="41" priority="43632" stopIfTrue="1">
      <formula>NOT(ISBLANK($N$80))</formula>
    </cfRule>
  </conditionalFormatting>
  <conditionalFormatting sqref="O80">
    <cfRule type="expression" dxfId="40" priority="43633" stopIfTrue="1">
      <formula>NOT(ISBLANK($O$80))</formula>
    </cfRule>
  </conditionalFormatting>
  <conditionalFormatting sqref="P80">
    <cfRule type="expression" dxfId="39" priority="43634" stopIfTrue="1">
      <formula>NOT(ISBLANK($P$80))</formula>
    </cfRule>
  </conditionalFormatting>
  <conditionalFormatting sqref="Q80">
    <cfRule type="expression" dxfId="38" priority="43635" stopIfTrue="1">
      <formula>NOT(ISBLANK($Q$80))</formula>
    </cfRule>
  </conditionalFormatting>
  <conditionalFormatting sqref="R80">
    <cfRule type="expression" dxfId="37" priority="43636" stopIfTrue="1">
      <formula>NOT(ISBLANK($R$80))</formula>
    </cfRule>
  </conditionalFormatting>
  <conditionalFormatting sqref="S80">
    <cfRule type="expression" dxfId="36" priority="43637" stopIfTrue="1">
      <formula>NOT(ISBLANK($S$80))</formula>
    </cfRule>
  </conditionalFormatting>
  <conditionalFormatting sqref="T80">
    <cfRule type="expression" dxfId="35" priority="43638" stopIfTrue="1">
      <formula>NOT(ISBLANK($T$80))</formula>
    </cfRule>
  </conditionalFormatting>
  <conditionalFormatting sqref="U80">
    <cfRule type="expression" dxfId="34" priority="43639" stopIfTrue="1">
      <formula>NOT(ISBLANK($U$80))</formula>
    </cfRule>
  </conditionalFormatting>
  <conditionalFormatting sqref="V80">
    <cfRule type="expression" dxfId="33" priority="43640" stopIfTrue="1">
      <formula>NOT(ISBLANK($V$80))</formula>
    </cfRule>
  </conditionalFormatting>
  <conditionalFormatting sqref="W80">
    <cfRule type="expression" dxfId="32" priority="43641" stopIfTrue="1">
      <formula>NOT(ISBLANK($W$80))</formula>
    </cfRule>
  </conditionalFormatting>
  <conditionalFormatting sqref="X80">
    <cfRule type="expression" dxfId="31" priority="43642" stopIfTrue="1">
      <formula>NOT(ISBLANK($X$80))</formula>
    </cfRule>
  </conditionalFormatting>
  <conditionalFormatting sqref="Y80">
    <cfRule type="expression" dxfId="30" priority="43643" stopIfTrue="1">
      <formula>NOT(ISBLANK($Y$80))</formula>
    </cfRule>
  </conditionalFormatting>
  <conditionalFormatting sqref="Z80">
    <cfRule type="expression" dxfId="29" priority="43644" stopIfTrue="1">
      <formula>NOT(ISBLANK($Z$80))</formula>
    </cfRule>
  </conditionalFormatting>
  <conditionalFormatting sqref="AA80">
    <cfRule type="expression" dxfId="28" priority="43645" stopIfTrue="1">
      <formula>NOT(ISBLANK($AA$80))</formula>
    </cfRule>
  </conditionalFormatting>
  <conditionalFormatting sqref="AB80">
    <cfRule type="expression" dxfId="27" priority="43646" stopIfTrue="1">
      <formula>NOT(ISBLANK($AB$80))</formula>
    </cfRule>
  </conditionalFormatting>
  <conditionalFormatting sqref="AC80">
    <cfRule type="expression" dxfId="26" priority="43647" stopIfTrue="1">
      <formula>NOT(ISBLANK($AC$80))</formula>
    </cfRule>
  </conditionalFormatting>
  <conditionalFormatting sqref="AD80">
    <cfRule type="expression" dxfId="25" priority="43648" stopIfTrue="1">
      <formula>NOT(ISBLANK($AD$80))</formula>
    </cfRule>
  </conditionalFormatting>
  <conditionalFormatting sqref="AE80">
    <cfRule type="expression" dxfId="24" priority="43649" stopIfTrue="1">
      <formula>NOT(ISBLANK($AE$80))</formula>
    </cfRule>
  </conditionalFormatting>
  <conditionalFormatting sqref="AF80">
    <cfRule type="expression" dxfId="23" priority="43650" stopIfTrue="1">
      <formula>NOT(ISBLANK($AF$80))</formula>
    </cfRule>
  </conditionalFormatting>
  <conditionalFormatting sqref="AG80">
    <cfRule type="expression" dxfId="22" priority="43651" stopIfTrue="1">
      <formula>NOT(ISBLANK($AG$80))</formula>
    </cfRule>
  </conditionalFormatting>
  <conditionalFormatting sqref="AH80">
    <cfRule type="expression" dxfId="21" priority="43652" stopIfTrue="1">
      <formula>NOT(ISBLANK($AH$80))</formula>
    </cfRule>
  </conditionalFormatting>
  <conditionalFormatting sqref="AI80">
    <cfRule type="expression" dxfId="20" priority="43653" stopIfTrue="1">
      <formula>NOT(ISBLANK($AI$80))</formula>
    </cfRule>
  </conditionalFormatting>
  <conditionalFormatting sqref="AJ80">
    <cfRule type="expression" dxfId="19" priority="43654" stopIfTrue="1">
      <formula>NOT(ISBLANK($AJ$80))</formula>
    </cfRule>
  </conditionalFormatting>
  <conditionalFormatting sqref="AK80">
    <cfRule type="expression" dxfId="18" priority="43655" stopIfTrue="1">
      <formula>NOT(ISBLANK($AK$80))</formula>
    </cfRule>
  </conditionalFormatting>
  <conditionalFormatting sqref="AL80">
    <cfRule type="expression" dxfId="17" priority="43656" stopIfTrue="1">
      <formula>NOT(ISBLANK($AL$80))</formula>
    </cfRule>
  </conditionalFormatting>
  <conditionalFormatting sqref="AM80">
    <cfRule type="expression" dxfId="16" priority="43657" stopIfTrue="1">
      <formula>NOT(ISBLANK($AM$80))</formula>
    </cfRule>
  </conditionalFormatting>
  <conditionalFormatting sqref="AN80">
    <cfRule type="expression" dxfId="15" priority="43658" stopIfTrue="1">
      <formula>NOT(ISBLANK($AN$80))</formula>
    </cfRule>
  </conditionalFormatting>
  <conditionalFormatting sqref="AO80">
    <cfRule type="expression" dxfId="14" priority="43659" stopIfTrue="1">
      <formula>NOT(ISBLANK($AO$80))</formula>
    </cfRule>
  </conditionalFormatting>
  <conditionalFormatting sqref="AP80">
    <cfRule type="expression" dxfId="13" priority="43660" stopIfTrue="1">
      <formula>NOT(ISBLANK($AP$80))</formula>
    </cfRule>
  </conditionalFormatting>
  <conditionalFormatting sqref="AQ80">
    <cfRule type="expression" dxfId="12" priority="43661" stopIfTrue="1">
      <formula>NOT(ISBLANK($AQ$80))</formula>
    </cfRule>
  </conditionalFormatting>
  <conditionalFormatting sqref="AR80">
    <cfRule type="expression" dxfId="11" priority="43662" stopIfTrue="1">
      <formula>NOT(ISBLANK($AR$80))</formula>
    </cfRule>
  </conditionalFormatting>
  <conditionalFormatting sqref="AS80">
    <cfRule type="expression" dxfId="10" priority="43663" stopIfTrue="1">
      <formula>NOT(ISBLANK($AS$80))</formula>
    </cfRule>
  </conditionalFormatting>
  <conditionalFormatting sqref="AT80">
    <cfRule type="expression" dxfId="9" priority="43664" stopIfTrue="1">
      <formula>NOT(ISBLANK($AT$80))</formula>
    </cfRule>
  </conditionalFormatting>
  <conditionalFormatting sqref="AU80">
    <cfRule type="expression" dxfId="8" priority="43665" stopIfTrue="1">
      <formula>NOT(ISBLANK($AU$80))</formula>
    </cfRule>
  </conditionalFormatting>
  <conditionalFormatting sqref="AV80">
    <cfRule type="expression" dxfId="7" priority="43666" stopIfTrue="1">
      <formula>NOT(ISBLANK($AV$80))</formula>
    </cfRule>
  </conditionalFormatting>
  <conditionalFormatting sqref="AW80">
    <cfRule type="expression" dxfId="6" priority="43667" stopIfTrue="1">
      <formula>NOT(ISBLANK($AW$80))</formula>
    </cfRule>
  </conditionalFormatting>
  <conditionalFormatting sqref="AX80">
    <cfRule type="expression" dxfId="5" priority="43668" stopIfTrue="1">
      <formula>NOT(ISBLANK($AX$80))</formula>
    </cfRule>
  </conditionalFormatting>
  <conditionalFormatting sqref="AY80">
    <cfRule type="expression" dxfId="4" priority="43669" stopIfTrue="1">
      <formula>NOT(ISBLANK($AY$80))</formula>
    </cfRule>
  </conditionalFormatting>
  <conditionalFormatting sqref="AZ80">
    <cfRule type="cellIs" dxfId="3" priority="43670" stopIfTrue="1" operator="notEqual">
      <formula>"fully automated"</formula>
    </cfRule>
  </conditionalFormatting>
  <conditionalFormatting sqref="BA80">
    <cfRule type="expression" dxfId="2" priority="43671" stopIfTrue="1">
      <formula>NOT(ISBLANK($BA$80))</formula>
    </cfRule>
  </conditionalFormatting>
  <conditionalFormatting sqref="BB80">
    <cfRule type="expression" dxfId="1" priority="43672" stopIfTrue="1">
      <formula>NOT(ISBLANK($BB$80))</formula>
    </cfRule>
  </conditionalFormatting>
  <conditionalFormatting sqref="BC80">
    <cfRule type="expression" dxfId="0" priority="43673" stopIfTrue="1">
      <formula>NOT(ISBLANK($BC$80))</formula>
    </cfRule>
  </conditionalFormatting>
  <dataValidations count="20">
    <dataValidation type="list" allowBlank="1" showInputMessage="1" showErrorMessage="1" sqref="AY9:AY80" xr:uid="{00000000-0002-0000-0200-000000000000}">
      <formula1>"low cost,mid cost,high cost"</formula1>
    </dataValidation>
    <dataValidation type="list" allowBlank="1" showInputMessage="1" showErrorMessage="1" sqref="AZ9:AZ80" xr:uid="{00000000-0002-0000-0200-000001000000}">
      <formula1>"manual,semi-automated,fully automated"</formula1>
    </dataValidation>
    <dataValidation type="list" allowBlank="1" showInputMessage="1" showErrorMessage="1" sqref="AW9:AW80" xr:uid="{00000000-0002-0000-0200-000002000000}">
      <formula1>"existing pumps,new pumps"</formula1>
    </dataValidation>
    <dataValidation type="list" allowBlank="1" showInputMessage="1" showErrorMessage="1" sqref="AX9:AX80" xr:uid="{00000000-0002-0000-0200-000003000000}">
      <formula1>"existing storage,new storage"</formula1>
    </dataValidation>
    <dataValidation type="list" allowBlank="1" showInputMessage="1" showErrorMessage="1" sqref="AP9:AP80 AB9:AB80" xr:uid="{00000000-0002-0000-0200-000004000000}">
      <formula1>"yes,no"</formula1>
    </dataValidation>
    <dataValidation type="list" allowBlank="1" showInputMessage="1" showErrorMessage="1" sqref="AA9:AA80" xr:uid="{00000000-0002-0000-0200-000005000000}">
      <formula1>"aeration,hydrogen peroxide"</formula1>
    </dataValidation>
    <dataValidation type="list" allowBlank="1" showInputMessage="1" showErrorMessage="1" sqref="AT9:AT80" xr:uid="{00000000-0002-0000-0200-000006000000}">
      <formula1>"non-hazardous,hazardous"</formula1>
    </dataValidation>
    <dataValidation type="list" allowBlank="1" showInputMessage="1" showErrorMessage="1" sqref="AQ9:AQ80" xr:uid="{00000000-0002-0000-0200-000007000000}">
      <formula1>"surface water, POTW, recycle, septic system"</formula1>
    </dataValidation>
    <dataValidation type="list" allowBlank="1" showInputMessage="1" showErrorMessage="1" sqref="AR9:AR80" xr:uid="{00000000-0002-0000-0200-000008000000}">
      <formula1>"holding tank, no holding tank"</formula1>
    </dataValidation>
    <dataValidation type="list" allowBlank="1" showInputMessage="1" showErrorMessage="1" sqref="T9:T16 T49:T64 T25:T40 T73:T80 AK9:AK80" xr:uid="{00000000-0002-0000-0200-000009000000}">
      <formula1>"upright,horizontal"</formula1>
    </dataValidation>
    <dataValidation type="list" allowBlank="1" showInputMessage="1" showErrorMessage="1" error="Invalid selection" sqref="E9:E80" xr:uid="{00000000-0002-0000-0200-00000A000000}">
      <formula1>"MGD,gpm"</formula1>
    </dataValidation>
    <dataValidation type="list" allowBlank="1" showInputMessage="1" showErrorMessage="1" error="Invalid selection" sqref="G9:G80" xr:uid="{00000000-0002-0000-0200-00000B000000}">
      <formula1>"MGD,gpm,fraction of design flow"</formula1>
    </dataValidation>
    <dataValidation type="list" allowBlank="1" showInputMessage="1" showErrorMessage="1" error="Invalid selection" sqref="H9:H80" xr:uid="{00000000-0002-0000-0200-00000C000000}">
      <formula1>"acetic acid, ethanol"</formula1>
    </dataValidation>
    <dataValidation type="list" allowBlank="1" showInputMessage="1" showErrorMessage="1" sqref="N9:N80" xr:uid="{00000000-0002-0000-0200-00000D000000}">
      <formula1>"no additional nutrients required, additional nitrogen required, additional phosphorous required, both nitrogen and phosphorous required"</formula1>
    </dataValidation>
    <dataValidation type="list" allowBlank="1" showInputMessage="1" showErrorMessage="1" sqref="AC9:AC80" xr:uid="{00000000-0002-0000-0200-00000E000000}">
      <formula1>"gravity basin, pressure vessel"</formula1>
    </dataValidation>
    <dataValidation type="decimal" operator="greaterThan" allowBlank="1" showInputMessage="1" showErrorMessage="1" sqref="AJ9:AJ80 AM9:AM80" xr:uid="{00000000-0002-0000-0200-00000F000000}">
      <formula1>0</formula1>
    </dataValidation>
    <dataValidation type="decimal" operator="greaterThanOrEqual" allowBlank="1" showInputMessage="1" showErrorMessage="1" sqref="AL9:AL80" xr:uid="{00000000-0002-0000-0200-000010000000}">
      <formula1>0</formula1>
    </dataValidation>
    <dataValidation type="list" allowBlank="1" showInputMessage="1" showErrorMessage="1" sqref="AD9:AD80" xr:uid="{00000000-0002-0000-0200-000011000000}">
      <formula1>"yes, no"</formula1>
    </dataValidation>
    <dataValidation type="list" allowBlank="1" showInputMessage="1" showErrorMessage="1" sqref="AS9:AS80" xr:uid="{00000000-0002-0000-0200-000012000000}">
      <formula1>"none, thickener w/ mechanical dewatering, thickener w/ non-mechanical dewatering"</formula1>
    </dataValidation>
    <dataValidation type="list" allowBlank="1" showInputMessage="1" showErrorMessage="1" sqref="BA9:BC80 AI9:AI80 R9:R80 AE9:AE80 W9:W80" xr:uid="{00000000-0002-0000-0200-000013000000}">
      <formula1>yes_no_valid</formula1>
    </dataValidation>
  </dataValidations>
  <pageMargins left="0.75" right="0.75" top="1" bottom="1" header="0.5" footer="0.5"/>
  <pageSetup scale="4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08" r:id="rId4" name="cmdFactoryDefaults">
              <controlPr defaultSize="0" print="0" autoFill="0" autoPict="0" macro="[0]!Sheet12.cmdFactoryDefaults_Click">
                <anchor moveWithCells="1" sizeWithCells="1">
                  <from>
                    <xdr:col>0</xdr:col>
                    <xdr:colOff>66675</xdr:colOff>
                    <xdr:row>2</xdr:row>
                    <xdr:rowOff>66675</xdr:rowOff>
                  </from>
                  <to>
                    <xdr:col>2</xdr:col>
                    <xdr:colOff>428625</xdr:colOff>
                    <xdr:row>4</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G357"/>
  <sheetViews>
    <sheetView workbookViewId="0">
      <pane ySplit="6" topLeftCell="A7" activePane="bottomLeft" state="frozen"/>
      <selection pane="bottomLeft"/>
    </sheetView>
  </sheetViews>
  <sheetFormatPr defaultRowHeight="12.75" x14ac:dyDescent="0.2"/>
  <cols>
    <col min="1" max="1" width="31" customWidth="1"/>
    <col min="2" max="2" width="26.5703125" style="3" customWidth="1"/>
    <col min="4" max="4" width="8.140625" customWidth="1"/>
  </cols>
  <sheetData>
    <row r="1" spans="1:7" x14ac:dyDescent="0.2">
      <c r="A1" s="1" t="s">
        <v>3867</v>
      </c>
    </row>
    <row r="2" spans="1:7" x14ac:dyDescent="0.2">
      <c r="A2" s="7" t="s">
        <v>3868</v>
      </c>
    </row>
    <row r="3" spans="1:7" x14ac:dyDescent="0.2">
      <c r="A3" s="7" t="s">
        <v>3869</v>
      </c>
      <c r="B3" s="45"/>
      <c r="C3" s="45"/>
      <c r="D3" s="45"/>
      <c r="E3" s="45"/>
      <c r="F3" s="45"/>
      <c r="G3" s="45"/>
    </row>
    <row r="4" spans="1:7" x14ac:dyDescent="0.2">
      <c r="A4" s="75" t="s">
        <v>2187</v>
      </c>
      <c r="B4" s="76"/>
      <c r="C4" s="76"/>
      <c r="D4" s="76"/>
    </row>
    <row r="5" spans="1:7" x14ac:dyDescent="0.2">
      <c r="A5" s="8" t="s">
        <v>2188</v>
      </c>
      <c r="B5" s="77"/>
      <c r="C5" s="77"/>
      <c r="D5" s="77"/>
    </row>
    <row r="7" spans="1:7" s="395" customFormat="1" x14ac:dyDescent="0.2">
      <c r="A7" s="393" t="s">
        <v>3027</v>
      </c>
      <c r="B7" s="394"/>
      <c r="C7" s="394"/>
      <c r="D7" s="394"/>
    </row>
    <row r="9" spans="1:7" x14ac:dyDescent="0.2">
      <c r="A9" s="420" t="s">
        <v>3657</v>
      </c>
    </row>
    <row r="10" spans="1:7" x14ac:dyDescent="0.2">
      <c r="A10" t="s">
        <v>3658</v>
      </c>
      <c r="C10">
        <f>design_flow_rate</f>
        <v>86.111111111111114</v>
      </c>
      <c r="D10" t="s">
        <v>2765</v>
      </c>
    </row>
    <row r="11" spans="1:7" x14ac:dyDescent="0.2">
      <c r="A11" t="s">
        <v>3659</v>
      </c>
      <c r="C11">
        <f>EBCT</f>
        <v>12</v>
      </c>
      <c r="D11" t="s">
        <v>3563</v>
      </c>
    </row>
    <row r="12" spans="1:7" x14ac:dyDescent="0.2">
      <c r="A12" t="s">
        <v>3654</v>
      </c>
      <c r="C12">
        <f>EBCT_tank</f>
        <v>12</v>
      </c>
      <c r="D12" t="s">
        <v>3563</v>
      </c>
    </row>
    <row r="13" spans="1:7" x14ac:dyDescent="0.2">
      <c r="A13" t="s">
        <v>3660</v>
      </c>
      <c r="B13" s="3" t="s">
        <v>3661</v>
      </c>
      <c r="C13">
        <f>design_flow_rate*EBCT_tank/7.48</f>
        <v>138.14616755793227</v>
      </c>
      <c r="D13" t="s">
        <v>3593</v>
      </c>
      <c r="E13" s="422" t="s">
        <v>3595</v>
      </c>
    </row>
    <row r="14" spans="1:7" x14ac:dyDescent="0.2">
      <c r="A14" t="s">
        <v>3662</v>
      </c>
      <c r="B14" s="3" t="s">
        <v>3663</v>
      </c>
      <c r="C14" s="164">
        <v>0</v>
      </c>
      <c r="E14" s="422" t="s">
        <v>3596</v>
      </c>
    </row>
    <row r="15" spans="1:7" x14ac:dyDescent="0.2">
      <c r="A15" t="s">
        <v>3664</v>
      </c>
      <c r="B15" s="3" t="s">
        <v>3665</v>
      </c>
      <c r="C15">
        <f>design_flow_rate/load_max</f>
        <v>8.6111111111111107</v>
      </c>
      <c r="D15" t="s">
        <v>3594</v>
      </c>
      <c r="E15" s="422" t="s">
        <v>3597</v>
      </c>
    </row>
    <row r="16" spans="1:7" x14ac:dyDescent="0.2">
      <c r="A16" t="s">
        <v>3666</v>
      </c>
      <c r="B16" s="3" t="s">
        <v>3667</v>
      </c>
      <c r="C16">
        <f>design_flow_rate/load_min</f>
        <v>86.111111111111114</v>
      </c>
      <c r="D16" t="s">
        <v>3594</v>
      </c>
      <c r="E16" s="422" t="s">
        <v>3598</v>
      </c>
    </row>
    <row r="17" spans="1:5" x14ac:dyDescent="0.2">
      <c r="A17" s="5" t="s">
        <v>2406</v>
      </c>
      <c r="B17" s="3" t="s">
        <v>3669</v>
      </c>
      <c r="C17">
        <f>design_flow_rate*EBCT/7.481</f>
        <v>138.12770128770666</v>
      </c>
      <c r="D17" t="s">
        <v>3593</v>
      </c>
      <c r="E17" s="422" t="s">
        <v>2407</v>
      </c>
    </row>
    <row r="18" spans="1:5" x14ac:dyDescent="0.2">
      <c r="E18" s="422"/>
    </row>
    <row r="19" spans="1:5" x14ac:dyDescent="0.2">
      <c r="A19" s="2" t="s">
        <v>3670</v>
      </c>
      <c r="E19" s="422"/>
    </row>
    <row r="20" spans="1:5" x14ac:dyDescent="0.2">
      <c r="A20" t="s">
        <v>3671</v>
      </c>
      <c r="B20" s="3" t="s">
        <v>3672</v>
      </c>
      <c r="C20">
        <f>(comp_max_vert_diam/2-Vessel_thickness)*(comp_max_vert_diam/2-Vessel_thickness)*PI()*comp_max_vert_bed_depth</f>
        <v>339.29200658769764</v>
      </c>
      <c r="D20" t="s">
        <v>3593</v>
      </c>
      <c r="E20" s="422" t="s">
        <v>3600</v>
      </c>
    </row>
    <row r="21" spans="1:5" x14ac:dyDescent="0.2">
      <c r="A21" t="s">
        <v>3673</v>
      </c>
      <c r="B21" s="3" t="s">
        <v>3674</v>
      </c>
      <c r="C21">
        <f>(max_diam/2-Vessel_thickness)*(max_diam/2-Vessel_thickness)*PI()</f>
        <v>153.93804002589985</v>
      </c>
      <c r="D21" t="s">
        <v>3594</v>
      </c>
      <c r="E21" s="422" t="s">
        <v>3601</v>
      </c>
    </row>
    <row r="22" spans="1:5" x14ac:dyDescent="0.2">
      <c r="A22" t="s">
        <v>3675</v>
      </c>
      <c r="B22" s="3" t="s">
        <v>3676</v>
      </c>
      <c r="C22">
        <f>IF(design_type=1,IF(design_flow_I&lt;=1,target_bed_depth_under,target_bed_depth_over),IF(design_type=3,IF(design_flow_I&lt;=1,target_bed_depth_under_fluid,target_bed_depth_over_fluid),0))</f>
        <v>4</v>
      </c>
      <c r="D22" t="s">
        <v>3506</v>
      </c>
      <c r="E22" s="422" t="s">
        <v>3100</v>
      </c>
    </row>
    <row r="23" spans="1:5" x14ac:dyDescent="0.2">
      <c r="A23" t="s">
        <v>3677</v>
      </c>
      <c r="B23" s="3" t="s">
        <v>3678</v>
      </c>
      <c r="C23">
        <f>IF( comp_target_bed_depth_vert = 0, 0,comp_vol_required_stg1/comp_target_bed_depth_vert)</f>
        <v>34.536541889483068</v>
      </c>
      <c r="D23" t="s">
        <v>3594</v>
      </c>
      <c r="E23" s="422" t="s">
        <v>3603</v>
      </c>
    </row>
    <row r="24" spans="1:5" x14ac:dyDescent="0.2">
      <c r="A24" t="s">
        <v>3679</v>
      </c>
      <c r="E24" s="422" t="s">
        <v>3604</v>
      </c>
    </row>
    <row r="25" spans="1:5" x14ac:dyDescent="0.2">
      <c r="A25" s="128" t="s">
        <v>3680</v>
      </c>
      <c r="C25">
        <f>IF(comp_vert_max_sa = 0, 0,  comp_sa_min/comp_vert_max_sa)</f>
        <v>5.59388121978317E-2</v>
      </c>
      <c r="E25" s="422"/>
    </row>
    <row r="26" spans="1:5" x14ac:dyDescent="0.2">
      <c r="A26" s="128" t="s">
        <v>3681</v>
      </c>
      <c r="C26">
        <f>IF(comp_vert_max_sa = 0,0, comp_sa_required_vert/comp_vert_max_sa)</f>
        <v>0.22435352485761378</v>
      </c>
      <c r="E26" s="422"/>
    </row>
    <row r="27" spans="1:5" x14ac:dyDescent="0.2">
      <c r="A27" s="128" t="s">
        <v>3682</v>
      </c>
      <c r="C27">
        <f>comp_vol_required_stg1/comp_vert_max_media</f>
        <v>0.40716010066752129</v>
      </c>
      <c r="E27" s="422"/>
    </row>
    <row r="28" spans="1:5" x14ac:dyDescent="0.2">
      <c r="A28" t="s">
        <v>3683</v>
      </c>
      <c r="B28" s="3" t="s">
        <v>3684</v>
      </c>
      <c r="C28">
        <f>MAX(C25:C27)</f>
        <v>0.40716010066752129</v>
      </c>
      <c r="E28" s="422" t="s">
        <v>3605</v>
      </c>
    </row>
    <row r="29" spans="1:5" x14ac:dyDescent="0.2">
      <c r="E29" s="422"/>
    </row>
    <row r="30" spans="1:5" x14ac:dyDescent="0.2">
      <c r="A30" s="2" t="s">
        <v>3685</v>
      </c>
      <c r="E30" s="422"/>
    </row>
    <row r="31" spans="1:5" x14ac:dyDescent="0.2">
      <c r="A31" t="s">
        <v>3686</v>
      </c>
      <c r="B31" s="3" t="s">
        <v>3687</v>
      </c>
      <c r="C31">
        <f>MAX(comp_pv_max_sizes)</f>
        <v>27101</v>
      </c>
      <c r="D31" t="s">
        <v>1332</v>
      </c>
      <c r="E31" s="422" t="s">
        <v>3606</v>
      </c>
    </row>
    <row r="32" spans="1:5" x14ac:dyDescent="0.2">
      <c r="A32" t="s">
        <v>3717</v>
      </c>
      <c r="C32">
        <f>comp_max_horiz_diam</f>
        <v>14</v>
      </c>
      <c r="D32" t="s">
        <v>3506</v>
      </c>
      <c r="E32" s="422"/>
    </row>
    <row r="33" spans="1:5" x14ac:dyDescent="0.2">
      <c r="A33" t="s">
        <v>3718</v>
      </c>
      <c r="B33" s="3" t="s">
        <v>3719</v>
      </c>
      <c r="C33">
        <f>IF(comp_max_horiz_diam = 0, 0,  ROUND(comp_max_vol/7.48/(PI()*comp_max_horiz_diam*comp_max_horiz_diam/4),0))</f>
        <v>24</v>
      </c>
      <c r="D33" t="s">
        <v>3506</v>
      </c>
      <c r="E33" s="422" t="s">
        <v>1630</v>
      </c>
    </row>
    <row r="34" spans="1:5" x14ac:dyDescent="0.2">
      <c r="A34" t="s">
        <v>3720</v>
      </c>
      <c r="B34" s="3" t="s">
        <v>3721</v>
      </c>
      <c r="C34">
        <f>IF(comp_round_sa=1,ROUNDUP((comp_max_horiz_diam-2*Vessel_thickness)*comp_max_vol_length,0),(comp_max_horiz_diam-2*Vessel_thickness)*comp_max_vol_length)</f>
        <v>336</v>
      </c>
      <c r="D34" t="s">
        <v>3594</v>
      </c>
      <c r="E34" s="422" t="s">
        <v>1631</v>
      </c>
    </row>
    <row r="35" spans="1:5" x14ac:dyDescent="0.2">
      <c r="A35" t="s">
        <v>3675</v>
      </c>
      <c r="B35" s="3" t="s">
        <v>1825</v>
      </c>
      <c r="C35">
        <f>target_bed_depth_over</f>
        <v>5</v>
      </c>
      <c r="D35" t="s">
        <v>3506</v>
      </c>
      <c r="E35" s="422" t="s">
        <v>3602</v>
      </c>
    </row>
    <row r="36" spans="1:5" x14ac:dyDescent="0.2">
      <c r="A36" t="s">
        <v>3677</v>
      </c>
      <c r="B36" s="3" t="s">
        <v>1826</v>
      </c>
      <c r="C36">
        <f>comp_vol_required_stg1/comp_target_bed_depth_horiz</f>
        <v>27.629233511586456</v>
      </c>
      <c r="D36" t="s">
        <v>3594</v>
      </c>
      <c r="E36" s="422" t="s">
        <v>3603</v>
      </c>
    </row>
    <row r="37" spans="1:5" x14ac:dyDescent="0.2">
      <c r="A37" t="s">
        <v>3525</v>
      </c>
      <c r="E37" s="422"/>
    </row>
    <row r="38" spans="1:5" x14ac:dyDescent="0.2">
      <c r="A38" s="128" t="s">
        <v>3152</v>
      </c>
      <c r="C38">
        <f>IF(comp_max_horiz_diam = 0, 0,  comp_max_vol_length*(comp_max_horiz_diam*comp_max_horiz_diam/2*ASIN(SQRT(free_board/comp_max_horiz_diam))-(comp_max_horiz_diam/2-free_board)*SQRT((comp_max_horiz_diam-free_board)*free_board)))</f>
        <v>117.13365885878912</v>
      </c>
      <c r="D38" t="s">
        <v>3593</v>
      </c>
      <c r="E38" s="422" t="s">
        <v>1632</v>
      </c>
    </row>
    <row r="39" spans="1:5" x14ac:dyDescent="0.2">
      <c r="A39" s="128" t="s">
        <v>3154</v>
      </c>
      <c r="C39">
        <f>IF(comp_max_horiz_diam = 0, 0,  comp_max_vol_length*(comp_max_horiz_diam*comp_max_horiz_diam/2*ASIN(SQRT(horiz_underdrain/comp_max_horiz_diam))-(comp_max_horiz_diam/2-horiz_underdrain)*SQRT((comp_max_horiz_diam-horiz_underdrain)*horiz_underdrain)))</f>
        <v>212.75213463857958</v>
      </c>
      <c r="D39" t="s">
        <v>3593</v>
      </c>
      <c r="E39" s="422"/>
    </row>
    <row r="40" spans="1:5" x14ac:dyDescent="0.2">
      <c r="A40" s="129" t="s">
        <v>3156</v>
      </c>
      <c r="B40" s="3" t="s">
        <v>3526</v>
      </c>
      <c r="C40">
        <f>SUM(C38:C39)</f>
        <v>329.8857934973687</v>
      </c>
      <c r="D40" t="s">
        <v>3593</v>
      </c>
      <c r="E40" s="422" t="s">
        <v>1633</v>
      </c>
    </row>
    <row r="41" spans="1:5" x14ac:dyDescent="0.2">
      <c r="A41" s="26" t="s">
        <v>3527</v>
      </c>
      <c r="B41" s="3" t="s">
        <v>3528</v>
      </c>
      <c r="C41">
        <f>(comp_max_vol/7.481-comp_horiz_void_required)/(1+bed_expansion)</f>
        <v>2195.1721586994772</v>
      </c>
      <c r="D41" t="s">
        <v>3593</v>
      </c>
      <c r="E41" s="422" t="s">
        <v>1634</v>
      </c>
    </row>
    <row r="42" spans="1:5" x14ac:dyDescent="0.2">
      <c r="A42" t="s">
        <v>3529</v>
      </c>
      <c r="E42" s="422"/>
    </row>
    <row r="43" spans="1:5" x14ac:dyDescent="0.2">
      <c r="A43" s="128" t="s">
        <v>3680</v>
      </c>
      <c r="C43">
        <f xml:space="preserve"> IF(comp_max_horiz_sa = 0, 0, comp_sa_min/comp_max_horiz_sa)</f>
        <v>2.5628306878306879E-2</v>
      </c>
      <c r="E43" s="422"/>
    </row>
    <row r="44" spans="1:5" x14ac:dyDescent="0.2">
      <c r="A44" s="128" t="s">
        <v>3681</v>
      </c>
      <c r="C44">
        <f>IF(comp_max_horiz_sa=0,0, comp_sa_required_horiz/comp_max_horiz_sa)</f>
        <v>8.2229861641626351E-2</v>
      </c>
      <c r="E44" s="422"/>
    </row>
    <row r="45" spans="1:5" x14ac:dyDescent="0.2">
      <c r="A45" s="128" t="s">
        <v>3682</v>
      </c>
      <c r="C45">
        <f>comp_vol_required_stg1/comp_horiz_max_media</f>
        <v>6.2931814714603768E-2</v>
      </c>
      <c r="E45" s="422"/>
    </row>
    <row r="46" spans="1:5" x14ac:dyDescent="0.2">
      <c r="A46" t="s">
        <v>3530</v>
      </c>
      <c r="B46" s="3" t="s">
        <v>3531</v>
      </c>
      <c r="C46">
        <f>MAX(C43:C45)</f>
        <v>8.2229861641626351E-2</v>
      </c>
      <c r="E46" s="422" t="s">
        <v>3605</v>
      </c>
    </row>
    <row r="48" spans="1:5" x14ac:dyDescent="0.2">
      <c r="E48" s="422"/>
    </row>
    <row r="49" spans="1:6" x14ac:dyDescent="0.2">
      <c r="A49" t="s">
        <v>3532</v>
      </c>
      <c r="B49" s="3" t="s">
        <v>3533</v>
      </c>
      <c r="C49" s="8">
        <v>1</v>
      </c>
      <c r="E49" s="422" t="s">
        <v>1635</v>
      </c>
    </row>
    <row r="50" spans="1:6" x14ac:dyDescent="0.2">
      <c r="A50" t="s">
        <v>3534</v>
      </c>
      <c r="B50" s="3" t="s">
        <v>3535</v>
      </c>
      <c r="C50">
        <v>3</v>
      </c>
      <c r="E50" s="422" t="s">
        <v>1636</v>
      </c>
    </row>
    <row r="51" spans="1:6" x14ac:dyDescent="0.2">
      <c r="E51" s="422"/>
    </row>
    <row r="52" spans="1:6" x14ac:dyDescent="0.2">
      <c r="A52" s="420" t="s">
        <v>3536</v>
      </c>
      <c r="D52" s="5"/>
      <c r="E52" s="5"/>
    </row>
    <row r="53" spans="1:6" x14ac:dyDescent="0.2">
      <c r="A53" s="1" t="s">
        <v>3537</v>
      </c>
    </row>
    <row r="54" spans="1:6" x14ac:dyDescent="0.2">
      <c r="A54" t="s">
        <v>3538</v>
      </c>
      <c r="B54" s="3" t="s">
        <v>3539</v>
      </c>
      <c r="C54" s="75" t="str">
        <f>IF(design_type=2,"upright",IF(comp_in_nlines&gt;=comp_vert_min_number,"upright","horizontal"))</f>
        <v>upright</v>
      </c>
      <c r="E54" s="422" t="s">
        <v>614</v>
      </c>
    </row>
    <row r="56" spans="1:6" x14ac:dyDescent="0.2">
      <c r="A56" s="1" t="s">
        <v>3540</v>
      </c>
      <c r="B56" s="20"/>
    </row>
    <row r="57" spans="1:6" x14ac:dyDescent="0.2">
      <c r="A57" t="s">
        <v>3541</v>
      </c>
      <c r="B57" s="3" t="s">
        <v>3542</v>
      </c>
      <c r="C57">
        <f>2*(SQRT(comp_sa_required_vert/comp_in_nlines/PI())+Vessel_thickness)</f>
        <v>3.8285458889806669</v>
      </c>
      <c r="D57" t="s">
        <v>3506</v>
      </c>
      <c r="E57" s="423">
        <f>IF(C57&lt;comp_min_vert_diam,comp_min_vert_diam,IF(C57&gt;comp_max_vert_diam,comp_max_vert_diam,ROUNDUP(2*C57,0)/2))</f>
        <v>4</v>
      </c>
      <c r="F57" t="s">
        <v>1374</v>
      </c>
    </row>
    <row r="58" spans="1:6" x14ac:dyDescent="0.2">
      <c r="A58" t="s">
        <v>3543</v>
      </c>
      <c r="C58">
        <f>(comp_vert_diam-2*Vessel_thickness)*(comp_vert_diam-2*Vessel_thickness)*PI()/4</f>
        <v>12.566370614359172</v>
      </c>
      <c r="D58" t="s">
        <v>3594</v>
      </c>
    </row>
    <row r="59" spans="1:6" x14ac:dyDescent="0.2">
      <c r="A59" t="s">
        <v>3544</v>
      </c>
      <c r="C59">
        <f>comp_in_nlines*C58</f>
        <v>37.699111843077517</v>
      </c>
      <c r="D59" t="s">
        <v>3594</v>
      </c>
    </row>
    <row r="60" spans="1:6" x14ac:dyDescent="0.2">
      <c r="A60" t="s">
        <v>3545</v>
      </c>
      <c r="B60" s="3" t="s">
        <v>3546</v>
      </c>
      <c r="C60">
        <f>IF(design_type=3,comp_vol_required/IF(comp_round_sa=1,ROUND(C58,0)*comp_in_nlines,C59)/1.7,comp_vol_required/IF(comp_round_sa=1,ROUND(C58,0)*comp_in_nlines,C59))</f>
        <v>3.6639510729765452</v>
      </c>
      <c r="D60" t="s">
        <v>3506</v>
      </c>
      <c r="E60">
        <f>IF(comp_min_vert_bed_depth&lt;=comp_max_vert_bed_depth,IF(C60&lt;comp_min_vert_bed_depth, comp_min_vert_bed_depth, IF(C60&gt;comp_max_vert_bed_depth, comp_max_vert_bed_depth, ROUNDUP(C60,1))),-1)</f>
        <v>3.7</v>
      </c>
      <c r="F60" t="s">
        <v>813</v>
      </c>
    </row>
    <row r="61" spans="1:6" x14ac:dyDescent="0.2">
      <c r="A61" t="s">
        <v>3547</v>
      </c>
      <c r="B61" s="3" t="s">
        <v>3548</v>
      </c>
      <c r="C61">
        <f>IF(design_type=1,comp_vert_bed_depth*(1+bed_expansion)+free_board,IF(design_type=3,comp_vert_bed_depth*(1+bed_expansion_fluidized)+IF(design_flow&lt;1,freeboard_fluidized_small,freeboard_fluidized),"-"))</f>
        <v>6.5500000000000007</v>
      </c>
      <c r="D61" t="s">
        <v>3506</v>
      </c>
      <c r="E61" s="423">
        <f>IF(comp_min_vert_height&gt;comp_max_vert_height,-1,IF(C61&gt;comp_max_vert_height,comp_max_vert_height,IF(C61&lt;comp_min_vert_height,comp_min_vert_height,ROUNDUP(2*C61,0)/2)))</f>
        <v>7</v>
      </c>
      <c r="F61" t="s">
        <v>814</v>
      </c>
    </row>
    <row r="63" spans="1:6" x14ac:dyDescent="0.2">
      <c r="A63" s="1" t="s">
        <v>3549</v>
      </c>
      <c r="B63" s="20"/>
    </row>
    <row r="64" spans="1:6" x14ac:dyDescent="0.2">
      <c r="A64" s="5" t="s">
        <v>3550</v>
      </c>
      <c r="B64" s="3" t="s">
        <v>3551</v>
      </c>
      <c r="C64">
        <f>IF(comp_max_vol_length = 0, 0,  comp_horiz_void_required/comp_max_vol_length)</f>
        <v>13.745241395723696</v>
      </c>
      <c r="D64" s="5" t="s">
        <v>3594</v>
      </c>
      <c r="F64" s="5"/>
    </row>
    <row r="65" spans="1:6" x14ac:dyDescent="0.2">
      <c r="A65" s="5" t="s">
        <v>3552</v>
      </c>
      <c r="B65" s="3" t="s">
        <v>3553</v>
      </c>
      <c r="C65">
        <f>comp_target_bed_depth_horiz*(1+bed_expansion)</f>
        <v>7.5</v>
      </c>
      <c r="D65" s="5" t="s">
        <v>3506</v>
      </c>
      <c r="F65" s="5"/>
    </row>
    <row r="66" spans="1:6" x14ac:dyDescent="0.2">
      <c r="A66" s="5" t="s">
        <v>3541</v>
      </c>
      <c r="B66" s="3" t="s">
        <v>3554</v>
      </c>
      <c r="C66">
        <f>(comp_horiz_expanded_bd+SQRT(comp_horiz_expanded_bd*comp_horiz_expanded_bd+PI()*comp_horiz_void_area))/(PI()/2)</f>
        <v>11.122738652580997</v>
      </c>
      <c r="D66" s="5" t="s">
        <v>3506</v>
      </c>
      <c r="E66" s="423">
        <f>IF(comp_min_horiz_diam&lt;=comp_max_horiz_diam,IF(C66&lt;comp_min_horiz_diam,comp_min_horiz_diam,IF(C66&gt;comp_max_horiz_diam,comp_max_horiz_diam,ROUNDUP(2*C66,0)/2)),-1)</f>
        <v>11.5</v>
      </c>
      <c r="F66" t="s">
        <v>1374</v>
      </c>
    </row>
    <row r="67" spans="1:6" x14ac:dyDescent="0.2">
      <c r="A67" s="694" t="s">
        <v>3555</v>
      </c>
      <c r="C67" s="694">
        <f>SQRT(comp_sa_required_horiz/comp_in_nlines/length_diam_ratio)</f>
        <v>1.919348275208244</v>
      </c>
      <c r="D67" s="694" t="s">
        <v>3506</v>
      </c>
      <c r="F67" s="694"/>
    </row>
    <row r="68" spans="1:6" x14ac:dyDescent="0.2">
      <c r="A68" t="s">
        <v>3556</v>
      </c>
      <c r="B68" s="3" t="s">
        <v>3557</v>
      </c>
      <c r="C68">
        <f>comp_sa_required_horiz/(comp_horiz_diam-2*Vessel_thickness)/comp_in_nlines</f>
        <v>0.80084734816192615</v>
      </c>
      <c r="D68" t="s">
        <v>3506</v>
      </c>
      <c r="E68" s="423">
        <f>IF(comp_min_horiz_length&lt;=comp_max_horiz_length,IF(C68&lt;comp_min_horiz_length,comp_min_horiz_length,IF(C68&gt;comp_max_horiz_length,comp_max_horiz_length,ROUNDUP(C68,0))),-1)</f>
        <v>20</v>
      </c>
      <c r="F68" t="s">
        <v>815</v>
      </c>
    </row>
    <row r="69" spans="1:6" x14ac:dyDescent="0.2">
      <c r="A69" t="s">
        <v>3544</v>
      </c>
      <c r="C69">
        <f>comp_in_nlines*(comp_horiz_diam-2*Vessel_thickness)*comp_horiz_length</f>
        <v>690</v>
      </c>
      <c r="D69" t="s">
        <v>3594</v>
      </c>
    </row>
    <row r="70" spans="1:6" x14ac:dyDescent="0.2">
      <c r="A70" t="s">
        <v>3545</v>
      </c>
      <c r="B70" s="3" t="s">
        <v>3558</v>
      </c>
      <c r="C70">
        <f>comp_vol_required/IF(comp_round_sa=1,ROUND(C69,0),C69)</f>
        <v>0.20018507433000965</v>
      </c>
      <c r="D70" t="s">
        <v>3506</v>
      </c>
      <c r="E70">
        <f>IF(comp_min_horiz_bed_depth&lt;=comp_max_horiz_bed_depth,IF(C70&lt;comp_min_horiz_bed_depth, comp_min_horiz_bed_depth, IF(C70&gt;comp_max_horiz_bed_depth, comp_max_horiz_bed_depth, ROUNDUP(C70,1))),-1)</f>
        <v>2</v>
      </c>
      <c r="F70" t="s">
        <v>813</v>
      </c>
    </row>
    <row r="72" spans="1:6" x14ac:dyDescent="0.2">
      <c r="A72" s="1" t="s">
        <v>3537</v>
      </c>
      <c r="B72"/>
    </row>
    <row r="73" spans="1:6" x14ac:dyDescent="0.2">
      <c r="A73" t="s">
        <v>3559</v>
      </c>
      <c r="B73" s="3" t="s">
        <v>3560</v>
      </c>
      <c r="C73" s="75">
        <f>IF(comp_tank_geom="upright",comp_vert_bed_depth,IF(comp_tank_geom="horizontal",comp_horiz_bed_depth,-1))</f>
        <v>3.7</v>
      </c>
      <c r="D73" t="s">
        <v>3506</v>
      </c>
    </row>
    <row r="74" spans="1:6" x14ac:dyDescent="0.2">
      <c r="E74" s="422"/>
    </row>
    <row r="75" spans="1:6" x14ac:dyDescent="0.2">
      <c r="A75" s="420" t="s">
        <v>3561</v>
      </c>
      <c r="B75" s="20"/>
      <c r="E75" s="422"/>
    </row>
    <row r="76" spans="1:6" x14ac:dyDescent="0.2">
      <c r="A76" s="1" t="s">
        <v>3562</v>
      </c>
    </row>
    <row r="77" spans="1:6" x14ac:dyDescent="0.2">
      <c r="A77" t="s">
        <v>3563</v>
      </c>
      <c r="B77" s="3" t="s">
        <v>3564</v>
      </c>
      <c r="C77">
        <f>comp_sa_min/comp_in_nlines</f>
        <v>2.8703703703703702</v>
      </c>
      <c r="D77" t="s">
        <v>3594</v>
      </c>
      <c r="E77" s="422" t="s">
        <v>615</v>
      </c>
    </row>
    <row r="78" spans="1:6" x14ac:dyDescent="0.2">
      <c r="A78" t="s">
        <v>3565</v>
      </c>
      <c r="B78" s="3" t="s">
        <v>3566</v>
      </c>
      <c r="C78">
        <f>comp_sa_max/comp_in_nlines</f>
        <v>28.703703703703706</v>
      </c>
      <c r="D78" t="s">
        <v>3594</v>
      </c>
      <c r="E78" s="422" t="s">
        <v>616</v>
      </c>
    </row>
    <row r="80" spans="1:6" x14ac:dyDescent="0.2">
      <c r="A80" s="1" t="s">
        <v>3567</v>
      </c>
      <c r="E80" s="422"/>
    </row>
    <row r="81" spans="1:5" x14ac:dyDescent="0.2">
      <c r="A81" s="5" t="s">
        <v>3563</v>
      </c>
      <c r="B81" s="3" t="s">
        <v>3568</v>
      </c>
      <c r="C81">
        <f>VLOOKUP(comp_vert_diam,vessel_size_table_cl,2)</f>
        <v>4.5</v>
      </c>
      <c r="D81" t="s">
        <v>3506</v>
      </c>
      <c r="E81" s="422" t="s">
        <v>617</v>
      </c>
    </row>
    <row r="82" spans="1:5" x14ac:dyDescent="0.2">
      <c r="A82" s="421" t="s">
        <v>3565</v>
      </c>
      <c r="C82">
        <f>VLOOKUP(comp_vert_diam,vessel_size_table_cl,3)</f>
        <v>12</v>
      </c>
      <c r="D82" t="s">
        <v>3506</v>
      </c>
      <c r="E82" s="422" t="s">
        <v>617</v>
      </c>
    </row>
    <row r="83" spans="1:5" x14ac:dyDescent="0.2">
      <c r="A83" s="421" t="s">
        <v>3565</v>
      </c>
      <c r="C83">
        <f>max_height</f>
        <v>24</v>
      </c>
      <c r="D83" t="s">
        <v>3506</v>
      </c>
      <c r="E83" s="422" t="s">
        <v>618</v>
      </c>
    </row>
    <row r="84" spans="1:5" x14ac:dyDescent="0.2">
      <c r="A84" t="s">
        <v>3565</v>
      </c>
      <c r="B84" s="3" t="s">
        <v>3569</v>
      </c>
      <c r="C84">
        <f>_xlfn.MINIFS( C82:C83, C82:C83,"&gt;0")</f>
        <v>12</v>
      </c>
      <c r="D84" t="s">
        <v>3506</v>
      </c>
      <c r="E84" s="422" t="s">
        <v>619</v>
      </c>
    </row>
    <row r="85" spans="1:5" x14ac:dyDescent="0.2">
      <c r="E85" s="422"/>
    </row>
    <row r="86" spans="1:5" x14ac:dyDescent="0.2">
      <c r="A86" s="1" t="s">
        <v>3570</v>
      </c>
      <c r="E86" s="422"/>
    </row>
    <row r="87" spans="1:5" x14ac:dyDescent="0.2">
      <c r="A87" s="421" t="s">
        <v>3563</v>
      </c>
      <c r="C87">
        <f>2*(SQRT(comp_vol_required/PI()/comp_max_vert_bed_depth/comp_in_nlines)+Vessel_thickness)</f>
        <v>2.210264259608353</v>
      </c>
      <c r="D87" t="s">
        <v>3506</v>
      </c>
      <c r="E87" s="422" t="s">
        <v>620</v>
      </c>
    </row>
    <row r="88" spans="1:5" x14ac:dyDescent="0.2">
      <c r="A88" s="421" t="s">
        <v>3563</v>
      </c>
      <c r="C88">
        <f>2*(SQRT(comp_min_sa_vessel/PI())+Vessel_thickness)</f>
        <v>1.9117188767158395</v>
      </c>
      <c r="D88" t="s">
        <v>3506</v>
      </c>
      <c r="E88" s="422" t="s">
        <v>621</v>
      </c>
    </row>
    <row r="89" spans="1:5" x14ac:dyDescent="0.2">
      <c r="A89" s="421" t="s">
        <v>3563</v>
      </c>
      <c r="C89">
        <f>min_diam</f>
        <v>1.5</v>
      </c>
      <c r="D89" t="s">
        <v>3506</v>
      </c>
      <c r="E89" s="422" t="s">
        <v>617</v>
      </c>
    </row>
    <row r="90" spans="1:5" x14ac:dyDescent="0.2">
      <c r="A90" t="s">
        <v>3563</v>
      </c>
      <c r="B90" s="3" t="s">
        <v>3571</v>
      </c>
      <c r="C90">
        <f>ROUNDUP(2*MAX(C87:C89),0)/2</f>
        <v>2.5</v>
      </c>
      <c r="D90" t="s">
        <v>3506</v>
      </c>
      <c r="E90" s="422" t="s">
        <v>622</v>
      </c>
    </row>
    <row r="91" spans="1:5" x14ac:dyDescent="0.2">
      <c r="A91" s="421" t="s">
        <v>3565</v>
      </c>
      <c r="C91">
        <f>max_diam</f>
        <v>14</v>
      </c>
      <c r="D91" t="s">
        <v>3506</v>
      </c>
      <c r="E91" s="422" t="s">
        <v>623</v>
      </c>
    </row>
    <row r="92" spans="1:5" x14ac:dyDescent="0.2">
      <c r="A92" s="421" t="s">
        <v>3565</v>
      </c>
      <c r="C92">
        <f>2*(SQRT(comp_max_sa_vessel/PI())+Vessel_thickness)</f>
        <v>6.0453858963606875</v>
      </c>
      <c r="D92" t="s">
        <v>3506</v>
      </c>
      <c r="E92" s="422" t="s">
        <v>624</v>
      </c>
    </row>
    <row r="93" spans="1:5" x14ac:dyDescent="0.2">
      <c r="A93" s="421" t="s">
        <v>3565</v>
      </c>
      <c r="C93">
        <f>max_diam</f>
        <v>14</v>
      </c>
      <c r="D93" t="s">
        <v>3506</v>
      </c>
      <c r="E93" s="422" t="s">
        <v>617</v>
      </c>
    </row>
    <row r="94" spans="1:5" x14ac:dyDescent="0.2">
      <c r="A94" t="s">
        <v>3565</v>
      </c>
      <c r="B94" s="3" t="s">
        <v>3572</v>
      </c>
      <c r="C94">
        <f>MAX(0.5,ROUNDDOWN(2*MIN(C91:C93),0)/2)</f>
        <v>6</v>
      </c>
      <c r="D94" t="s">
        <v>3506</v>
      </c>
      <c r="E94" s="422" t="s">
        <v>2428</v>
      </c>
    </row>
    <row r="95" spans="1:5" x14ac:dyDescent="0.2">
      <c r="E95" s="422"/>
    </row>
    <row r="96" spans="1:5" x14ac:dyDescent="0.2">
      <c r="A96" s="1" t="s">
        <v>3573</v>
      </c>
      <c r="B96" s="20"/>
    </row>
    <row r="97" spans="1:5" x14ac:dyDescent="0.2">
      <c r="A97" s="421" t="s">
        <v>3563</v>
      </c>
      <c r="B97" s="20"/>
      <c r="C97">
        <f>IF(comp_round_sa=1,comp_vol_required/C59,0)</f>
        <v>0</v>
      </c>
      <c r="D97" t="s">
        <v>3506</v>
      </c>
      <c r="E97" s="422" t="s">
        <v>2429</v>
      </c>
    </row>
    <row r="98" spans="1:5" x14ac:dyDescent="0.2">
      <c r="A98" s="421" t="s">
        <v>3563</v>
      </c>
      <c r="B98" s="20"/>
      <c r="C98">
        <f>min_bed_depth</f>
        <v>2</v>
      </c>
      <c r="D98" t="s">
        <v>3506</v>
      </c>
      <c r="E98" s="422" t="s">
        <v>2430</v>
      </c>
    </row>
    <row r="99" spans="1:5" x14ac:dyDescent="0.2">
      <c r="A99" t="s">
        <v>3563</v>
      </c>
      <c r="B99" s="3" t="s">
        <v>3574</v>
      </c>
      <c r="C99">
        <f>ROUNDUP(MAX(C97:C98),1)</f>
        <v>2</v>
      </c>
      <c r="D99" t="s">
        <v>3506</v>
      </c>
      <c r="E99" s="422" t="s">
        <v>622</v>
      </c>
    </row>
    <row r="100" spans="1:5" x14ac:dyDescent="0.2">
      <c r="A100" s="421" t="s">
        <v>3565</v>
      </c>
      <c r="C100">
        <f>(max_height-free_board)/(1+bed_expansion)</f>
        <v>15.333333333333334</v>
      </c>
      <c r="D100" t="s">
        <v>3506</v>
      </c>
      <c r="E100" s="422" t="s">
        <v>1361</v>
      </c>
    </row>
    <row r="101" spans="1:5" x14ac:dyDescent="0.2">
      <c r="A101" s="421" t="s">
        <v>3565</v>
      </c>
      <c r="C101">
        <f>max_bed_depth</f>
        <v>12</v>
      </c>
      <c r="D101" t="s">
        <v>3506</v>
      </c>
      <c r="E101" s="422" t="s">
        <v>2430</v>
      </c>
    </row>
    <row r="102" spans="1:5" x14ac:dyDescent="0.2">
      <c r="A102" t="s">
        <v>3565</v>
      </c>
      <c r="B102" s="3" t="s">
        <v>2152</v>
      </c>
      <c r="C102">
        <f>ROUNDDOWN(MIN(C100:C101),1)</f>
        <v>12</v>
      </c>
      <c r="D102" t="s">
        <v>3506</v>
      </c>
      <c r="E102" s="422" t="s">
        <v>1362</v>
      </c>
    </row>
    <row r="103" spans="1:5" x14ac:dyDescent="0.2">
      <c r="E103" s="422"/>
    </row>
    <row r="104" spans="1:5" x14ac:dyDescent="0.2">
      <c r="A104" s="1" t="s">
        <v>2153</v>
      </c>
      <c r="E104" s="422"/>
    </row>
    <row r="105" spans="1:5" x14ac:dyDescent="0.2">
      <c r="A105" t="s">
        <v>3563</v>
      </c>
      <c r="B105" s="3" t="s">
        <v>2154</v>
      </c>
      <c r="C105">
        <v>8</v>
      </c>
      <c r="D105" t="s">
        <v>3506</v>
      </c>
      <c r="E105" s="422" t="s">
        <v>1363</v>
      </c>
    </row>
    <row r="106" spans="1:5" x14ac:dyDescent="0.2">
      <c r="A106" s="421" t="s">
        <v>3565</v>
      </c>
      <c r="C106">
        <f>max_height</f>
        <v>24</v>
      </c>
      <c r="D106" t="s">
        <v>3506</v>
      </c>
      <c r="E106" s="422" t="s">
        <v>618</v>
      </c>
    </row>
    <row r="107" spans="1:5" x14ac:dyDescent="0.2">
      <c r="A107" s="421" t="s">
        <v>3565</v>
      </c>
      <c r="C107">
        <f>max_diam</f>
        <v>14</v>
      </c>
      <c r="D107" t="s">
        <v>3506</v>
      </c>
      <c r="E107" s="422" t="s">
        <v>1364</v>
      </c>
    </row>
    <row r="108" spans="1:5" x14ac:dyDescent="0.2">
      <c r="A108" s="5" t="s">
        <v>3565</v>
      </c>
      <c r="B108" s="3" t="s">
        <v>2155</v>
      </c>
      <c r="C108">
        <f>ROUNDDOWN(MIN(C106:C107),1)</f>
        <v>14</v>
      </c>
      <c r="D108" s="5" t="s">
        <v>3506</v>
      </c>
      <c r="E108" s="422" t="s">
        <v>1365</v>
      </c>
    </row>
    <row r="109" spans="1:5" x14ac:dyDescent="0.2">
      <c r="A109" s="5"/>
      <c r="D109" s="5"/>
      <c r="E109" s="422"/>
    </row>
    <row r="110" spans="1:5" x14ac:dyDescent="0.2">
      <c r="A110" s="1" t="s">
        <v>2156</v>
      </c>
      <c r="D110" s="5"/>
      <c r="E110" s="422"/>
    </row>
    <row r="111" spans="1:5" x14ac:dyDescent="0.2">
      <c r="A111" s="421" t="s">
        <v>3563</v>
      </c>
      <c r="C111">
        <f>comp_min_sa_vessel/(comp_horiz_diam-2*Vessel_thickness)</f>
        <v>0.24959742351046699</v>
      </c>
      <c r="D111" s="5" t="s">
        <v>3506</v>
      </c>
      <c r="E111" s="422" t="s">
        <v>1366</v>
      </c>
    </row>
    <row r="112" spans="1:5" x14ac:dyDescent="0.2">
      <c r="A112" s="421" t="s">
        <v>3563</v>
      </c>
      <c r="C112">
        <v>20</v>
      </c>
      <c r="D112" s="5" t="s">
        <v>3506</v>
      </c>
      <c r="E112" s="422"/>
    </row>
    <row r="113" spans="1:5" x14ac:dyDescent="0.2">
      <c r="A113" t="s">
        <v>3563</v>
      </c>
      <c r="B113" s="3" t="s">
        <v>2157</v>
      </c>
      <c r="C113">
        <f>ROUNDUP(MAX(C111:C112),0)</f>
        <v>20</v>
      </c>
      <c r="D113" s="5" t="s">
        <v>3506</v>
      </c>
      <c r="E113" s="422" t="s">
        <v>1367</v>
      </c>
    </row>
    <row r="114" spans="1:5" x14ac:dyDescent="0.2">
      <c r="A114" s="421" t="s">
        <v>3565</v>
      </c>
      <c r="C114">
        <f>max_length</f>
        <v>53</v>
      </c>
      <c r="D114" t="s">
        <v>3506</v>
      </c>
      <c r="E114" s="422" t="s">
        <v>1368</v>
      </c>
    </row>
    <row r="115" spans="1:5" x14ac:dyDescent="0.2">
      <c r="A115" s="421" t="s">
        <v>3565</v>
      </c>
      <c r="C115">
        <f>comp_max_vol/(comp_horiz_diam*comp_horiz_diam*PI()/4)/7.48</f>
        <v>34.881741255185993</v>
      </c>
      <c r="D115" t="s">
        <v>3506</v>
      </c>
      <c r="E115" s="422" t="s">
        <v>1369</v>
      </c>
    </row>
    <row r="116" spans="1:5" x14ac:dyDescent="0.2">
      <c r="A116" t="s">
        <v>3565</v>
      </c>
      <c r="B116" s="3" t="s">
        <v>2158</v>
      </c>
      <c r="C116">
        <f>ROUNDDOWN(MIN(C114:C115),0)</f>
        <v>34</v>
      </c>
      <c r="D116" t="s">
        <v>3506</v>
      </c>
      <c r="E116" s="422" t="s">
        <v>1362</v>
      </c>
    </row>
    <row r="117" spans="1:5" x14ac:dyDescent="0.2">
      <c r="E117" s="422"/>
    </row>
    <row r="118" spans="1:5" x14ac:dyDescent="0.2">
      <c r="A118" s="1" t="s">
        <v>2159</v>
      </c>
      <c r="B118" s="20"/>
    </row>
    <row r="119" spans="1:5" x14ac:dyDescent="0.2">
      <c r="A119" s="421" t="s">
        <v>3563</v>
      </c>
      <c r="B119" s="20"/>
      <c r="C119">
        <f>IF(comp_round_sa=1,comp_vol_required/C69,0)</f>
        <v>0</v>
      </c>
      <c r="D119" t="s">
        <v>3506</v>
      </c>
      <c r="E119" s="422" t="s">
        <v>1370</v>
      </c>
    </row>
    <row r="120" spans="1:5" x14ac:dyDescent="0.2">
      <c r="A120" s="421" t="s">
        <v>3563</v>
      </c>
      <c r="B120" s="20"/>
      <c r="C120">
        <f>min_bed_depth</f>
        <v>2</v>
      </c>
      <c r="D120" t="s">
        <v>3506</v>
      </c>
      <c r="E120" s="422" t="s">
        <v>1371</v>
      </c>
    </row>
    <row r="121" spans="1:5" x14ac:dyDescent="0.2">
      <c r="A121" t="s">
        <v>3563</v>
      </c>
      <c r="B121" s="3" t="s">
        <v>3588</v>
      </c>
      <c r="C121">
        <f>ROUNDUP(MAX(C119:C120),1)</f>
        <v>2</v>
      </c>
      <c r="D121" t="s">
        <v>3506</v>
      </c>
      <c r="E121" s="422" t="s">
        <v>1367</v>
      </c>
    </row>
    <row r="122" spans="1:5" x14ac:dyDescent="0.2">
      <c r="A122" s="421" t="s">
        <v>3565</v>
      </c>
      <c r="C122">
        <f>(MIN(max_height,max_diam)-free_board)/(1+bed_expansion)</f>
        <v>8.6666666666666661</v>
      </c>
      <c r="D122" t="s">
        <v>3506</v>
      </c>
      <c r="E122" s="422" t="s">
        <v>1372</v>
      </c>
    </row>
    <row r="123" spans="1:5" x14ac:dyDescent="0.2">
      <c r="A123" s="421" t="s">
        <v>3565</v>
      </c>
      <c r="C123">
        <f>max_bed_depth</f>
        <v>12</v>
      </c>
      <c r="D123" t="s">
        <v>3506</v>
      </c>
      <c r="E123" s="422" t="s">
        <v>1371</v>
      </c>
    </row>
    <row r="124" spans="1:5" x14ac:dyDescent="0.2">
      <c r="A124" t="s">
        <v>3565</v>
      </c>
      <c r="B124" s="3" t="s">
        <v>3589</v>
      </c>
      <c r="C124">
        <f>ROUNDDOWN(MIN(C122:C123),1)</f>
        <v>8.6</v>
      </c>
      <c r="D124" t="s">
        <v>3506</v>
      </c>
      <c r="E124" s="422" t="s">
        <v>1362</v>
      </c>
    </row>
    <row r="126" spans="1:5" x14ac:dyDescent="0.2">
      <c r="A126" s="420" t="s">
        <v>3590</v>
      </c>
    </row>
    <row r="127" spans="1:5" x14ac:dyDescent="0.2">
      <c r="A127" t="s">
        <v>3591</v>
      </c>
      <c r="B127" s="3" t="s">
        <v>3592</v>
      </c>
      <c r="C127" t="b">
        <v>1</v>
      </c>
      <c r="E127" s="422" t="s">
        <v>1373</v>
      </c>
    </row>
    <row r="129" spans="1:5" s="395" customFormat="1" x14ac:dyDescent="0.2">
      <c r="A129" s="393" t="s">
        <v>3028</v>
      </c>
      <c r="B129" s="394"/>
    </row>
    <row r="131" spans="1:5" x14ac:dyDescent="0.2">
      <c r="A131" s="420" t="s">
        <v>3657</v>
      </c>
    </row>
    <row r="132" spans="1:5" x14ac:dyDescent="0.2">
      <c r="A132" t="s">
        <v>3658</v>
      </c>
      <c r="C132">
        <f>design_flow_rate</f>
        <v>86.111111111111114</v>
      </c>
      <c r="D132" t="s">
        <v>2765</v>
      </c>
    </row>
    <row r="133" spans="1:5" x14ac:dyDescent="0.2">
      <c r="A133" t="s">
        <v>3653</v>
      </c>
      <c r="C133">
        <f>EBCT</f>
        <v>12</v>
      </c>
      <c r="D133" t="s">
        <v>3563</v>
      </c>
    </row>
    <row r="134" spans="1:5" x14ac:dyDescent="0.2">
      <c r="A134" t="s">
        <v>3662</v>
      </c>
      <c r="B134" s="3" t="s">
        <v>820</v>
      </c>
      <c r="C134" s="164">
        <v>0</v>
      </c>
      <c r="E134" s="422" t="s">
        <v>3596</v>
      </c>
    </row>
    <row r="135" spans="1:5" x14ac:dyDescent="0.2">
      <c r="A135" t="s">
        <v>3668</v>
      </c>
      <c r="B135" s="3" t="s">
        <v>821</v>
      </c>
      <c r="C135">
        <f>design_flow_rate*EBCT/7.481</f>
        <v>138.12770128770666</v>
      </c>
      <c r="D135" t="s">
        <v>3593</v>
      </c>
      <c r="E135" s="422" t="s">
        <v>3599</v>
      </c>
    </row>
    <row r="136" spans="1:5" x14ac:dyDescent="0.2">
      <c r="E136" s="422"/>
    </row>
    <row r="137" spans="1:5" x14ac:dyDescent="0.2">
      <c r="A137" s="2" t="s">
        <v>822</v>
      </c>
      <c r="E137" s="422"/>
    </row>
    <row r="138" spans="1:5" x14ac:dyDescent="0.2">
      <c r="A138" t="s">
        <v>3527</v>
      </c>
      <c r="B138" s="3" t="s">
        <v>823</v>
      </c>
      <c r="C138">
        <f>comp_max_bed_depth_a*comp_max_length_a*comp_max_width_a</f>
        <v>9000</v>
      </c>
      <c r="D138" t="s">
        <v>3593</v>
      </c>
      <c r="E138" s="422" t="s">
        <v>3600</v>
      </c>
    </row>
    <row r="139" spans="1:5" x14ac:dyDescent="0.2">
      <c r="A139" t="s">
        <v>3664</v>
      </c>
      <c r="B139" s="3" t="s">
        <v>824</v>
      </c>
      <c r="C139">
        <f>design_flow_rate/load_max</f>
        <v>8.6111111111111107</v>
      </c>
      <c r="D139" t="s">
        <v>3594</v>
      </c>
      <c r="E139" s="422" t="s">
        <v>3597</v>
      </c>
    </row>
    <row r="140" spans="1:5" x14ac:dyDescent="0.2">
      <c r="A140" t="s">
        <v>3666</v>
      </c>
      <c r="B140" s="3" t="s">
        <v>825</v>
      </c>
      <c r="C140">
        <f>design_flow_rate/load_min</f>
        <v>86.111111111111114</v>
      </c>
      <c r="D140" t="s">
        <v>3594</v>
      </c>
      <c r="E140" s="422" t="s">
        <v>3598</v>
      </c>
    </row>
    <row r="141" spans="1:5" x14ac:dyDescent="0.2">
      <c r="A141" t="s">
        <v>3675</v>
      </c>
      <c r="B141" s="3" t="s">
        <v>826</v>
      </c>
      <c r="C141">
        <f>IF(design_flow&lt;=1,target_bed_depth_under_g,target_bed_depth_over_g)</f>
        <v>5</v>
      </c>
      <c r="D141" t="s">
        <v>3506</v>
      </c>
      <c r="E141" s="422" t="s">
        <v>2754</v>
      </c>
    </row>
    <row r="142" spans="1:5" x14ac:dyDescent="0.2">
      <c r="A142" t="s">
        <v>3677</v>
      </c>
      <c r="B142" s="3" t="s">
        <v>827</v>
      </c>
      <c r="C142">
        <f>comp_vol_required_a/comp_target_bed_depth_vert_a</f>
        <v>27.625540257541331</v>
      </c>
      <c r="D142" t="s">
        <v>3594</v>
      </c>
      <c r="E142" s="422" t="s">
        <v>3603</v>
      </c>
    </row>
    <row r="143" spans="1:5" x14ac:dyDescent="0.2">
      <c r="A143" t="s">
        <v>828</v>
      </c>
      <c r="E143" s="422" t="s">
        <v>3604</v>
      </c>
    </row>
    <row r="144" spans="1:5" x14ac:dyDescent="0.2">
      <c r="A144" s="128" t="s">
        <v>3680</v>
      </c>
      <c r="C144">
        <f>comp_min_sa_a/comp_sa_max_a</f>
        <v>1.2499999999999999E-2</v>
      </c>
      <c r="E144" s="422"/>
    </row>
    <row r="145" spans="1:5" x14ac:dyDescent="0.2">
      <c r="A145" s="128" t="s">
        <v>3681</v>
      </c>
      <c r="C145">
        <f>comp_sa_required_vert_a/comp_sa_max_a</f>
        <v>0.32081272557144769</v>
      </c>
      <c r="E145" s="422"/>
    </row>
    <row r="146" spans="1:5" x14ac:dyDescent="0.2">
      <c r="A146" s="128" t="s">
        <v>3682</v>
      </c>
      <c r="C146">
        <f>comp_vol_required_a/comp_vert_max_media_a</f>
        <v>1.534752236530074E-2</v>
      </c>
      <c r="E146" s="422"/>
    </row>
    <row r="147" spans="1:5" x14ac:dyDescent="0.2">
      <c r="A147" t="s">
        <v>3683</v>
      </c>
      <c r="B147" s="3" t="s">
        <v>829</v>
      </c>
      <c r="C147">
        <f>MAX(C144:C146)</f>
        <v>0.32081272557144769</v>
      </c>
      <c r="E147" s="422" t="s">
        <v>3605</v>
      </c>
    </row>
    <row r="148" spans="1:5" x14ac:dyDescent="0.2">
      <c r="E148" s="422"/>
    </row>
    <row r="149" spans="1:5" x14ac:dyDescent="0.2">
      <c r="E149" s="422"/>
    </row>
    <row r="150" spans="1:5" x14ac:dyDescent="0.2">
      <c r="A150" t="s">
        <v>3532</v>
      </c>
      <c r="B150" s="3" t="s">
        <v>830</v>
      </c>
      <c r="C150" s="8">
        <v>1</v>
      </c>
      <c r="E150" s="422" t="s">
        <v>1635</v>
      </c>
    </row>
    <row r="151" spans="1:5" x14ac:dyDescent="0.2">
      <c r="A151" t="s">
        <v>3534</v>
      </c>
      <c r="B151" s="3" t="s">
        <v>831</v>
      </c>
      <c r="C151">
        <v>8</v>
      </c>
      <c r="E151" s="422" t="s">
        <v>1636</v>
      </c>
    </row>
    <row r="153" spans="1:5" x14ac:dyDescent="0.2">
      <c r="A153" s="420" t="s">
        <v>3536</v>
      </c>
    </row>
    <row r="155" spans="1:5" x14ac:dyDescent="0.2">
      <c r="A155" s="1" t="s">
        <v>3540</v>
      </c>
      <c r="B155" s="20"/>
    </row>
    <row r="156" spans="1:5" x14ac:dyDescent="0.2">
      <c r="A156" t="s">
        <v>832</v>
      </c>
      <c r="B156" s="3" t="s">
        <v>833</v>
      </c>
      <c r="C156">
        <f>SQRT(comp_sa_required_vert_a/comp_in_nlines_a)</f>
        <v>1.8582767641534634</v>
      </c>
      <c r="D156" t="s">
        <v>3506</v>
      </c>
      <c r="E156" s="423">
        <f>IF(C156&lt;comp_min_length_a,comp_min_length_a,IF(C156&gt;comp_max_length_a,comp_max_length_a,ROUNDUP(2*C156,0)/2))</f>
        <v>3</v>
      </c>
    </row>
    <row r="157" spans="1:5" x14ac:dyDescent="0.2">
      <c r="A157" t="s">
        <v>3543</v>
      </c>
      <c r="C157">
        <f>comp_length_width_a^2</f>
        <v>9</v>
      </c>
      <c r="D157" t="s">
        <v>3594</v>
      </c>
    </row>
    <row r="158" spans="1:5" x14ac:dyDescent="0.2">
      <c r="A158" t="s">
        <v>3544</v>
      </c>
      <c r="C158">
        <f>comp_in_nlines_a*C157</f>
        <v>72</v>
      </c>
      <c r="D158" t="s">
        <v>3594</v>
      </c>
    </row>
    <row r="159" spans="1:5" x14ac:dyDescent="0.2">
      <c r="A159" t="s">
        <v>3545</v>
      </c>
      <c r="B159" s="3" t="s">
        <v>834</v>
      </c>
      <c r="C159">
        <f>comp_vol_required_a/IF(comp_round_sa_a=1,ROUND(C157,0)*comp_in_nlines_a,C158)</f>
        <v>1.9184402956625926</v>
      </c>
      <c r="D159" t="s">
        <v>3506</v>
      </c>
      <c r="E159" s="423">
        <f>IF(comp_min_bed_depth_a&lt;=comp_max_bed_depth_a,IF(C159&lt;comp_min_bed_depth_a, ROUNDUP(comp_min_bed_depth_a,1), IF(C159&gt;comp_max_bed_depth_a, comp_max_bed_depth_a, ROUNDUP(C159,1))),-1)</f>
        <v>3</v>
      </c>
    </row>
    <row r="161" spans="1:5" x14ac:dyDescent="0.2">
      <c r="A161" s="420" t="s">
        <v>2731</v>
      </c>
      <c r="B161"/>
    </row>
    <row r="162" spans="1:5" x14ac:dyDescent="0.2">
      <c r="A162" s="1" t="s">
        <v>2732</v>
      </c>
      <c r="B162"/>
    </row>
    <row r="163" spans="1:5" x14ac:dyDescent="0.2">
      <c r="A163" s="421" t="s">
        <v>3563</v>
      </c>
      <c r="B163" s="20"/>
      <c r="C163">
        <f>min_depth</f>
        <v>3</v>
      </c>
      <c r="D163" t="s">
        <v>3506</v>
      </c>
      <c r="E163" s="422" t="s">
        <v>2745</v>
      </c>
    </row>
    <row r="164" spans="1:5" x14ac:dyDescent="0.2">
      <c r="A164" s="421" t="s">
        <v>3563</v>
      </c>
      <c r="B164" s="20"/>
      <c r="C164">
        <f>design_flow_rate*EBCT/(comp_in_nlines_a*max_length_g*max_width)/7.48</f>
        <v>1.9186967716379483E-2</v>
      </c>
      <c r="D164" t="s">
        <v>3506</v>
      </c>
      <c r="E164" s="422" t="s">
        <v>2746</v>
      </c>
    </row>
    <row r="165" spans="1:5" x14ac:dyDescent="0.2">
      <c r="A165" t="s">
        <v>3563</v>
      </c>
      <c r="B165" s="3" t="s">
        <v>2733</v>
      </c>
      <c r="C165">
        <f>MAX(C163:C164)</f>
        <v>3</v>
      </c>
      <c r="D165" t="s">
        <v>3506</v>
      </c>
      <c r="E165" s="422" t="s">
        <v>622</v>
      </c>
    </row>
    <row r="166" spans="1:5" x14ac:dyDescent="0.2">
      <c r="A166" t="s">
        <v>3565</v>
      </c>
      <c r="B166" s="3" t="s">
        <v>2734</v>
      </c>
      <c r="C166">
        <f>max_depth</f>
        <v>10</v>
      </c>
      <c r="D166" t="s">
        <v>3506</v>
      </c>
      <c r="E166" s="422" t="s">
        <v>2747</v>
      </c>
    </row>
    <row r="167" spans="1:5" x14ac:dyDescent="0.2">
      <c r="A167" s="1"/>
      <c r="B167" s="20"/>
    </row>
    <row r="168" spans="1:5" x14ac:dyDescent="0.2">
      <c r="A168" s="1" t="s">
        <v>2735</v>
      </c>
      <c r="E168" s="422"/>
    </row>
    <row r="169" spans="1:5" x14ac:dyDescent="0.2">
      <c r="A169" t="s">
        <v>3563</v>
      </c>
      <c r="B169" s="3" t="s">
        <v>2736</v>
      </c>
      <c r="C169">
        <f>design_flow_rate/comp_in_nlines_a/load_max</f>
        <v>1.0763888888888888</v>
      </c>
      <c r="D169" t="s">
        <v>3594</v>
      </c>
      <c r="E169" s="422" t="s">
        <v>2748</v>
      </c>
    </row>
    <row r="170" spans="1:5" x14ac:dyDescent="0.2">
      <c r="A170" t="s">
        <v>3565</v>
      </c>
      <c r="B170" s="3" t="s">
        <v>2737</v>
      </c>
      <c r="C170">
        <f>design_flow_rate/comp_in_nlines_a/load_min</f>
        <v>10.763888888888889</v>
      </c>
      <c r="D170" t="s">
        <v>3594</v>
      </c>
      <c r="E170" s="422" t="s">
        <v>2749</v>
      </c>
    </row>
    <row r="171" spans="1:5" x14ac:dyDescent="0.2">
      <c r="E171" s="422"/>
    </row>
    <row r="172" spans="1:5" x14ac:dyDescent="0.2">
      <c r="A172" s="1" t="s">
        <v>2738</v>
      </c>
      <c r="E172" s="422"/>
    </row>
    <row r="173" spans="1:5" x14ac:dyDescent="0.2">
      <c r="A173" t="s">
        <v>3563</v>
      </c>
      <c r="B173" s="3" t="s">
        <v>2739</v>
      </c>
      <c r="C173">
        <f>min_length_g</f>
        <v>3</v>
      </c>
      <c r="D173" t="s">
        <v>3506</v>
      </c>
      <c r="E173" s="422" t="s">
        <v>2750</v>
      </c>
    </row>
    <row r="174" spans="1:5" x14ac:dyDescent="0.2">
      <c r="A174" s="5" t="s">
        <v>3565</v>
      </c>
      <c r="B174" s="3" t="s">
        <v>2740</v>
      </c>
      <c r="C174">
        <f>max_length_g</f>
        <v>30</v>
      </c>
      <c r="D174" s="5" t="s">
        <v>3506</v>
      </c>
      <c r="E174" s="422" t="s">
        <v>2751</v>
      </c>
    </row>
    <row r="175" spans="1:5" x14ac:dyDescent="0.2">
      <c r="E175" s="422"/>
    </row>
    <row r="176" spans="1:5" x14ac:dyDescent="0.2">
      <c r="A176" s="1" t="s">
        <v>2741</v>
      </c>
      <c r="E176" s="422"/>
    </row>
    <row r="177" spans="1:5" x14ac:dyDescent="0.2">
      <c r="A177" t="s">
        <v>3563</v>
      </c>
      <c r="B177" s="3" t="s">
        <v>2742</v>
      </c>
      <c r="C177">
        <f>min_width</f>
        <v>3</v>
      </c>
      <c r="D177" t="s">
        <v>3506</v>
      </c>
      <c r="E177" s="422" t="s">
        <v>2752</v>
      </c>
    </row>
    <row r="178" spans="1:5" x14ac:dyDescent="0.2">
      <c r="A178" s="5" t="s">
        <v>3565</v>
      </c>
      <c r="B178" s="3" t="s">
        <v>2743</v>
      </c>
      <c r="C178">
        <f>max_width</f>
        <v>30</v>
      </c>
      <c r="D178" s="5" t="s">
        <v>3506</v>
      </c>
      <c r="E178" s="422" t="s">
        <v>2753</v>
      </c>
    </row>
    <row r="180" spans="1:5" x14ac:dyDescent="0.2">
      <c r="A180" s="420" t="s">
        <v>3590</v>
      </c>
    </row>
    <row r="181" spans="1:5" x14ac:dyDescent="0.2">
      <c r="A181" t="s">
        <v>3591</v>
      </c>
      <c r="B181" s="3" t="s">
        <v>2744</v>
      </c>
      <c r="C181" t="b">
        <v>1</v>
      </c>
      <c r="E181" s="422" t="s">
        <v>1373</v>
      </c>
    </row>
    <row r="183" spans="1:5" s="395" customFormat="1" x14ac:dyDescent="0.2">
      <c r="A183" s="393" t="s">
        <v>3025</v>
      </c>
      <c r="B183" s="394"/>
      <c r="C183" s="394"/>
      <c r="D183" s="394"/>
    </row>
    <row r="185" spans="1:5" x14ac:dyDescent="0.2">
      <c r="A185" s="420" t="s">
        <v>3657</v>
      </c>
    </row>
    <row r="186" spans="1:5" x14ac:dyDescent="0.2">
      <c r="A186" t="s">
        <v>3658</v>
      </c>
      <c r="C186">
        <f>design_flow_rate</f>
        <v>86.111111111111114</v>
      </c>
      <c r="D186" t="s">
        <v>2765</v>
      </c>
    </row>
    <row r="187" spans="1:5" x14ac:dyDescent="0.2">
      <c r="A187" t="s">
        <v>3659</v>
      </c>
      <c r="C187">
        <f>ebct_filt</f>
        <v>10</v>
      </c>
      <c r="D187" t="s">
        <v>3563</v>
      </c>
    </row>
    <row r="188" spans="1:5" x14ac:dyDescent="0.2">
      <c r="A188" t="s">
        <v>3654</v>
      </c>
      <c r="C188">
        <f>EBCT_tank_filt</f>
        <v>10</v>
      </c>
      <c r="D188" t="s">
        <v>3563</v>
      </c>
    </row>
    <row r="189" spans="1:5" x14ac:dyDescent="0.2">
      <c r="A189" t="s">
        <v>3660</v>
      </c>
      <c r="B189" s="3" t="s">
        <v>3029</v>
      </c>
      <c r="C189">
        <f>design_flow_rate*EBCT_tank_filt/7.48</f>
        <v>115.12180629827688</v>
      </c>
      <c r="D189" t="s">
        <v>3593</v>
      </c>
      <c r="E189" s="422" t="s">
        <v>3595</v>
      </c>
    </row>
    <row r="190" spans="1:5" x14ac:dyDescent="0.2">
      <c r="A190" t="s">
        <v>3662</v>
      </c>
      <c r="B190" s="3" t="s">
        <v>3030</v>
      </c>
      <c r="C190" s="164">
        <v>0</v>
      </c>
      <c r="E190" s="422" t="s">
        <v>3596</v>
      </c>
    </row>
    <row r="191" spans="1:5" x14ac:dyDescent="0.2">
      <c r="A191" t="s">
        <v>3664</v>
      </c>
      <c r="B191" s="3" t="s">
        <v>3031</v>
      </c>
      <c r="C191">
        <f>design_flow_rate/load_max_filt</f>
        <v>8.6111111111111107</v>
      </c>
      <c r="D191" t="s">
        <v>3594</v>
      </c>
      <c r="E191" s="422" t="s">
        <v>3597</v>
      </c>
    </row>
    <row r="192" spans="1:5" x14ac:dyDescent="0.2">
      <c r="A192" t="s">
        <v>3666</v>
      </c>
      <c r="B192" s="3" t="s">
        <v>3032</v>
      </c>
      <c r="C192">
        <f>design_flow_rate/load_min_filt</f>
        <v>86.111111111111114</v>
      </c>
      <c r="D192" t="s">
        <v>3594</v>
      </c>
      <c r="E192" s="422" t="s">
        <v>3598</v>
      </c>
    </row>
    <row r="193" spans="1:5" x14ac:dyDescent="0.2">
      <c r="A193" s="5" t="s">
        <v>2406</v>
      </c>
      <c r="B193" s="3" t="s">
        <v>3033</v>
      </c>
      <c r="C193">
        <f>design_flow_rate*ebct_filt/7.481</f>
        <v>115.10641773975553</v>
      </c>
      <c r="D193" t="s">
        <v>3593</v>
      </c>
      <c r="E193" s="422" t="s">
        <v>2407</v>
      </c>
    </row>
    <row r="194" spans="1:5" x14ac:dyDescent="0.2">
      <c r="E194" s="422"/>
    </row>
    <row r="195" spans="1:5" x14ac:dyDescent="0.2">
      <c r="A195" s="2" t="s">
        <v>3670</v>
      </c>
      <c r="E195" s="422"/>
    </row>
    <row r="196" spans="1:5" x14ac:dyDescent="0.2">
      <c r="A196" t="s">
        <v>3671</v>
      </c>
      <c r="B196" s="3" t="s">
        <v>3034</v>
      </c>
      <c r="C196">
        <f>(comp_max_vert_diam_filt/2-Vessel_thickness)*(comp_max_vert_diam_filt/2-Vessel_thickness)*PI()*comp_max_vert_bed_depth_filt</f>
        <v>461.81412007769956</v>
      </c>
      <c r="D196" t="s">
        <v>3593</v>
      </c>
      <c r="E196" s="422" t="s">
        <v>3600</v>
      </c>
    </row>
    <row r="197" spans="1:5" x14ac:dyDescent="0.2">
      <c r="A197" t="s">
        <v>3673</v>
      </c>
      <c r="B197" s="3" t="s">
        <v>3035</v>
      </c>
      <c r="C197">
        <f>(max_diam_std_size/2-Vessel_thickness)*(max_diam_std_size/2-Vessel_thickness)*PI()</f>
        <v>153.93804002589985</v>
      </c>
      <c r="D197" t="s">
        <v>3594</v>
      </c>
      <c r="E197" s="422" t="s">
        <v>3601</v>
      </c>
    </row>
    <row r="198" spans="1:5" x14ac:dyDescent="0.2">
      <c r="A198" t="s">
        <v>3675</v>
      </c>
      <c r="B198" s="3" t="s">
        <v>3036</v>
      </c>
      <c r="C198">
        <f>IF(design_flow_I&lt;=1,bed_depth_filt_small,IF(design_flow_I&lt;=10,bed_depth_filt,bed_depth_filt_large))</f>
        <v>5</v>
      </c>
      <c r="D198" t="s">
        <v>3506</v>
      </c>
      <c r="E198" s="422" t="s">
        <v>3100</v>
      </c>
    </row>
    <row r="199" spans="1:5" x14ac:dyDescent="0.2">
      <c r="A199" t="s">
        <v>3677</v>
      </c>
      <c r="B199" s="3" t="s">
        <v>3037</v>
      </c>
      <c r="C199">
        <f>comp_vol_required_stg1_filt/comp_target_bed_depth_vert_filt</f>
        <v>23.024361259655375</v>
      </c>
      <c r="D199" t="s">
        <v>3594</v>
      </c>
      <c r="E199" s="422" t="s">
        <v>3603</v>
      </c>
    </row>
    <row r="200" spans="1:5" x14ac:dyDescent="0.2">
      <c r="A200" t="s">
        <v>3679</v>
      </c>
      <c r="E200" s="422" t="s">
        <v>3604</v>
      </c>
    </row>
    <row r="201" spans="1:5" x14ac:dyDescent="0.2">
      <c r="A201" s="128" t="s">
        <v>3680</v>
      </c>
      <c r="C201">
        <f>comp_sa_min_filt/comp_vert_max_sa_filt</f>
        <v>5.59388121978317E-2</v>
      </c>
      <c r="E201" s="422"/>
    </row>
    <row r="202" spans="1:5" x14ac:dyDescent="0.2">
      <c r="A202" s="128" t="s">
        <v>3681</v>
      </c>
      <c r="C202">
        <f>comp_sa_required_vert_filt/comp_vert_max_sa_filt</f>
        <v>0.14956901657174251</v>
      </c>
      <c r="E202" s="422"/>
    </row>
    <row r="203" spans="1:5" x14ac:dyDescent="0.2">
      <c r="A203" s="128" t="s">
        <v>3682</v>
      </c>
      <c r="C203">
        <f>comp_vol_required_stg1_filt/comp_vert_max_media_filt</f>
        <v>0.2492816942862375</v>
      </c>
      <c r="E203" s="422"/>
    </row>
    <row r="204" spans="1:5" x14ac:dyDescent="0.2">
      <c r="A204" t="s">
        <v>3683</v>
      </c>
      <c r="B204" s="3" t="s">
        <v>3038</v>
      </c>
      <c r="C204">
        <f>MAX(C201:C203)</f>
        <v>0.2492816942862375</v>
      </c>
      <c r="E204" s="422" t="s">
        <v>3605</v>
      </c>
    </row>
    <row r="205" spans="1:5" x14ac:dyDescent="0.2">
      <c r="E205" s="422"/>
    </row>
    <row r="206" spans="1:5" x14ac:dyDescent="0.2">
      <c r="A206" s="2" t="s">
        <v>3685</v>
      </c>
      <c r="E206" s="422"/>
    </row>
    <row r="207" spans="1:5" x14ac:dyDescent="0.2">
      <c r="A207" t="s">
        <v>3686</v>
      </c>
      <c r="B207" s="3" t="s">
        <v>3039</v>
      </c>
      <c r="C207">
        <f>MAX(comp_pv_max_sizes)</f>
        <v>27101</v>
      </c>
      <c r="D207" t="s">
        <v>1332</v>
      </c>
      <c r="E207" s="422" t="s">
        <v>3606</v>
      </c>
    </row>
    <row r="208" spans="1:5" x14ac:dyDescent="0.2">
      <c r="A208" t="s">
        <v>3717</v>
      </c>
      <c r="C208">
        <f>comp_max_horiz_diam_filt</f>
        <v>14</v>
      </c>
      <c r="D208" t="s">
        <v>3506</v>
      </c>
      <c r="E208" s="422"/>
    </row>
    <row r="209" spans="1:5" x14ac:dyDescent="0.2">
      <c r="A209" t="s">
        <v>3718</v>
      </c>
      <c r="B209" s="3" t="s">
        <v>3040</v>
      </c>
      <c r="C209">
        <f>IF(comp_max_horiz_diam_filt = 0, 0, ROUND(comp_max_vol_filt/7.48/(PI()*comp_max_horiz_diam_filt*comp_max_horiz_diam_filt/4),0))</f>
        <v>24</v>
      </c>
      <c r="D209" t="s">
        <v>3506</v>
      </c>
      <c r="E209" s="422" t="s">
        <v>1630</v>
      </c>
    </row>
    <row r="210" spans="1:5" x14ac:dyDescent="0.2">
      <c r="A210" t="s">
        <v>3720</v>
      </c>
      <c r="B210" s="3" t="s">
        <v>3041</v>
      </c>
      <c r="C210">
        <f>IF(comp_round_sa_filt=1,ROUNDUP((comp_max_horiz_diam_filt-2*Vessel_thickness)*comp_max_vol_length_filt,0),(comp_max_horiz_diam_filt-2*Vessel_thickness)*comp_max_vol_length_filt)</f>
        <v>336</v>
      </c>
      <c r="D210" t="s">
        <v>3594</v>
      </c>
      <c r="E210" s="422" t="s">
        <v>1631</v>
      </c>
    </row>
    <row r="211" spans="1:5" x14ac:dyDescent="0.2">
      <c r="A211" t="s">
        <v>3675</v>
      </c>
      <c r="B211" s="3" t="s">
        <v>3042</v>
      </c>
      <c r="C211">
        <f>target_bed_depth_over</f>
        <v>5</v>
      </c>
      <c r="D211" t="s">
        <v>3506</v>
      </c>
      <c r="E211" s="422" t="s">
        <v>3602</v>
      </c>
    </row>
    <row r="212" spans="1:5" x14ac:dyDescent="0.2">
      <c r="A212" t="s">
        <v>3677</v>
      </c>
      <c r="B212" s="3" t="s">
        <v>3043</v>
      </c>
      <c r="C212">
        <f>comp_vol_required_stg1_filt/comp_target_bed_depth_horiz_filt</f>
        <v>23.024361259655375</v>
      </c>
      <c r="D212" t="s">
        <v>3594</v>
      </c>
      <c r="E212" s="422" t="s">
        <v>3603</v>
      </c>
    </row>
    <row r="213" spans="1:5" x14ac:dyDescent="0.2">
      <c r="A213" t="s">
        <v>3525</v>
      </c>
      <c r="E213" s="422"/>
    </row>
    <row r="214" spans="1:5" x14ac:dyDescent="0.2">
      <c r="A214" s="128" t="s">
        <v>3152</v>
      </c>
      <c r="C214">
        <f>IF(comp_max_horiz_diam_filt = 0, 0, comp_max_vol_length_filt*(comp_max_horiz_diam_filt*comp_max_horiz_diam_filt/2*ASIN(SQRT(free_board/comp_max_horiz_diam_filt))-(comp_max_horiz_diam_filt/2-free_board)*SQRT((comp_max_horiz_diam_filt-free_board)*free_board)))</f>
        <v>117.13365885878912</v>
      </c>
      <c r="D214" t="s">
        <v>3593</v>
      </c>
      <c r="E214" s="422" t="s">
        <v>1632</v>
      </c>
    </row>
    <row r="215" spans="1:5" x14ac:dyDescent="0.2">
      <c r="A215" s="128" t="s">
        <v>3154</v>
      </c>
      <c r="C215">
        <f>IF(comp_max_horiz_diam_filt = 0, 0, comp_max_vol_length_filt*(comp_max_horiz_diam_filt*comp_max_horiz_diam_filt/2*ASIN(SQRT(horiz_underdrain/comp_max_horiz_diam_filt))-(comp_max_horiz_diam_filt/2-horiz_underdrain)*SQRT((comp_max_horiz_diam_filt-horiz_underdrain)*horiz_underdrain)))</f>
        <v>212.75213463857958</v>
      </c>
      <c r="D215" t="s">
        <v>3593</v>
      </c>
      <c r="E215" s="422"/>
    </row>
    <row r="216" spans="1:5" x14ac:dyDescent="0.2">
      <c r="A216" s="129" t="s">
        <v>3156</v>
      </c>
      <c r="B216" s="3" t="s">
        <v>3044</v>
      </c>
      <c r="C216">
        <f>SUM(C214:C215)</f>
        <v>329.8857934973687</v>
      </c>
      <c r="D216" t="s">
        <v>3593</v>
      </c>
      <c r="E216" s="422" t="s">
        <v>1633</v>
      </c>
    </row>
    <row r="217" spans="1:5" x14ac:dyDescent="0.2">
      <c r="A217" s="26" t="s">
        <v>3527</v>
      </c>
      <c r="B217" s="3" t="s">
        <v>3045</v>
      </c>
      <c r="C217">
        <f>(comp_max_vol_filt/7.481-comp_horiz_void_required_filt)/(1+filt_bed_expansion)</f>
        <v>2195.1721586994772</v>
      </c>
      <c r="D217" t="s">
        <v>3593</v>
      </c>
      <c r="E217" s="422" t="s">
        <v>1634</v>
      </c>
    </row>
    <row r="218" spans="1:5" x14ac:dyDescent="0.2">
      <c r="A218" t="s">
        <v>3529</v>
      </c>
      <c r="E218" s="422"/>
    </row>
    <row r="219" spans="1:5" x14ac:dyDescent="0.2">
      <c r="A219" s="128" t="s">
        <v>3680</v>
      </c>
      <c r="C219">
        <f>IF(comp_max_horiz_sa_filt = 0, 0, comp_sa_min_filt/comp_max_horiz_sa_filt)</f>
        <v>2.5628306878306879E-2</v>
      </c>
      <c r="E219" s="422"/>
    </row>
    <row r="220" spans="1:5" x14ac:dyDescent="0.2">
      <c r="A220" s="128" t="s">
        <v>3681</v>
      </c>
      <c r="C220">
        <f>IF(comp_max_horiz_sa_filt = 0, 0, comp_sa_required_horiz_filt/comp_max_horiz_sa_filt)</f>
        <v>6.8524884701355288E-2</v>
      </c>
      <c r="E220" s="422"/>
    </row>
    <row r="221" spans="1:5" x14ac:dyDescent="0.2">
      <c r="A221" s="128" t="s">
        <v>3682</v>
      </c>
      <c r="C221">
        <f>comp_vol_required_stg1_filt/comp_horiz_max_media_filt</f>
        <v>5.2443178928836466E-2</v>
      </c>
      <c r="E221" s="422"/>
    </row>
    <row r="222" spans="1:5" x14ac:dyDescent="0.2">
      <c r="A222" t="s">
        <v>3530</v>
      </c>
      <c r="B222" s="3" t="s">
        <v>3046</v>
      </c>
      <c r="C222">
        <f>MAX(C219:C221)</f>
        <v>6.8524884701355288E-2</v>
      </c>
      <c r="E222" s="422" t="s">
        <v>3605</v>
      </c>
    </row>
    <row r="224" spans="1:5" x14ac:dyDescent="0.2">
      <c r="E224" s="422"/>
    </row>
    <row r="225" spans="1:6" x14ac:dyDescent="0.2">
      <c r="A225" t="s">
        <v>3532</v>
      </c>
      <c r="B225" s="3" t="s">
        <v>3047</v>
      </c>
      <c r="C225" s="8">
        <v>1</v>
      </c>
      <c r="E225" s="422" t="s">
        <v>1635</v>
      </c>
    </row>
    <row r="226" spans="1:6" x14ac:dyDescent="0.2">
      <c r="A226" t="s">
        <v>3534</v>
      </c>
      <c r="B226" s="3" t="s">
        <v>3048</v>
      </c>
      <c r="C226">
        <v>2</v>
      </c>
      <c r="E226" s="422" t="s">
        <v>1636</v>
      </c>
    </row>
    <row r="227" spans="1:6" x14ac:dyDescent="0.2">
      <c r="E227" s="422"/>
    </row>
    <row r="228" spans="1:6" x14ac:dyDescent="0.2">
      <c r="A228" s="420" t="s">
        <v>3536</v>
      </c>
      <c r="D228" s="5"/>
      <c r="E228" s="5"/>
    </row>
    <row r="229" spans="1:6" x14ac:dyDescent="0.2">
      <c r="A229" s="1" t="s">
        <v>3537</v>
      </c>
    </row>
    <row r="230" spans="1:6" x14ac:dyDescent="0.2">
      <c r="A230" t="s">
        <v>3538</v>
      </c>
      <c r="B230" s="3" t="s">
        <v>3049</v>
      </c>
      <c r="C230" s="75" t="str">
        <f>IF(comp_in_nlines_filt&gt;=comp_vert_min_number_filt,"upright","horizontal")</f>
        <v>upright</v>
      </c>
      <c r="E230" s="422" t="s">
        <v>614</v>
      </c>
    </row>
    <row r="232" spans="1:6" x14ac:dyDescent="0.2">
      <c r="A232" s="1" t="s">
        <v>3540</v>
      </c>
      <c r="B232" s="20"/>
    </row>
    <row r="233" spans="1:6" x14ac:dyDescent="0.2">
      <c r="A233" t="s">
        <v>3541</v>
      </c>
      <c r="B233" s="3" t="s">
        <v>3050</v>
      </c>
      <c r="C233">
        <f>2*(SQRT(comp_sa_required_vert_filt/comp_in_nlines_filt/PI())+Vessel_thickness)</f>
        <v>3.8285458889806669</v>
      </c>
      <c r="D233" t="s">
        <v>3506</v>
      </c>
      <c r="E233" s="423">
        <f>IF(C233&lt;comp_min_vert_diam_filt,comp_min_vert_diam_filt,IF(C233&gt;comp_max_vert_diam_filt,comp_max_vert_diam_filt,ROUNDUP(2*C233,0)/2))</f>
        <v>4</v>
      </c>
      <c r="F233" t="s">
        <v>1374</v>
      </c>
    </row>
    <row r="234" spans="1:6" x14ac:dyDescent="0.2">
      <c r="A234" t="s">
        <v>3543</v>
      </c>
      <c r="C234">
        <f>(comp_vert_diam_filt-2*Vessel_thickness)*(comp_vert_diam_filt-2*Vessel_thickness)*PI()/4</f>
        <v>12.566370614359172</v>
      </c>
      <c r="D234" t="s">
        <v>3594</v>
      </c>
    </row>
    <row r="235" spans="1:6" x14ac:dyDescent="0.2">
      <c r="A235" t="s">
        <v>3544</v>
      </c>
      <c r="C235">
        <f>comp_in_nlines_filt*C234</f>
        <v>25.132741228718345</v>
      </c>
      <c r="D235" t="s">
        <v>3594</v>
      </c>
    </row>
    <row r="236" spans="1:6" x14ac:dyDescent="0.2">
      <c r="A236" t="s">
        <v>3545</v>
      </c>
      <c r="B236" s="3" t="s">
        <v>3051</v>
      </c>
      <c r="C236">
        <f>comp_vol_required_filt/IF(comp_round_sa_filt=1,ROUND(C234,0)*comp_in_nlines_filt,C235)</f>
        <v>4.579938841220681</v>
      </c>
      <c r="D236" t="s">
        <v>3506</v>
      </c>
      <c r="E236">
        <f>IF(comp_min_vert_bed_depth_filt&lt;=comp_max_vert_bed_depth_filt,IF(C236&lt;comp_min_vert_bed_depth_filt, comp_min_vert_bed_depth_filt, IF(C236&gt;comp_max_vert_bed_depth_filt, comp_max_vert_bed_depth_filt, ROUNDUP(C236,1))),-1)</f>
        <v>4.5999999999999996</v>
      </c>
      <c r="F236" t="s">
        <v>813</v>
      </c>
    </row>
    <row r="237" spans="1:6" x14ac:dyDescent="0.2">
      <c r="A237" t="s">
        <v>3547</v>
      </c>
      <c r="B237" s="3" t="s">
        <v>3052</v>
      </c>
      <c r="C237">
        <f>comp_vert_bed_depth_filt*(1+filt_bed_expansion)+free_board</f>
        <v>7.8999999999999995</v>
      </c>
      <c r="D237" t="s">
        <v>3506</v>
      </c>
      <c r="E237" s="423">
        <f>IF(comp_min_vert_height_filt&gt;comp_max_vert_height_filt,-1,IF(C237&gt;comp_max_vert_height_filt,comp_max_vert_height_filt,IF(C237&lt;comp_min_vert_height_filt,comp_min_vert_height_filt,ROUNDUP(2*C237,0)/2)))</f>
        <v>8</v>
      </c>
      <c r="F237" t="s">
        <v>814</v>
      </c>
    </row>
    <row r="239" spans="1:6" x14ac:dyDescent="0.2">
      <c r="A239" s="1" t="s">
        <v>3549</v>
      </c>
      <c r="B239" s="20"/>
    </row>
    <row r="240" spans="1:6" x14ac:dyDescent="0.2">
      <c r="A240" s="5" t="s">
        <v>3550</v>
      </c>
      <c r="B240" s="3" t="s">
        <v>3053</v>
      </c>
      <c r="C240">
        <f>IF(comp_max_vol_length_filt = 0, 0, comp_horiz_void_required_filt/comp_max_vol_length_filt)</f>
        <v>13.745241395723696</v>
      </c>
      <c r="D240" s="5" t="s">
        <v>3594</v>
      </c>
      <c r="F240" s="5"/>
    </row>
    <row r="241" spans="1:6" x14ac:dyDescent="0.2">
      <c r="A241" s="5" t="s">
        <v>3552</v>
      </c>
      <c r="B241" s="3" t="s">
        <v>3054</v>
      </c>
      <c r="C241">
        <f>comp_target_bed_depth_horiz_filt*(1+filt_bed_expansion)</f>
        <v>7.5</v>
      </c>
      <c r="D241" s="5" t="s">
        <v>3506</v>
      </c>
      <c r="F241" s="5"/>
    </row>
    <row r="242" spans="1:6" x14ac:dyDescent="0.2">
      <c r="A242" s="5" t="s">
        <v>3541</v>
      </c>
      <c r="B242" s="3" t="s">
        <v>3055</v>
      </c>
      <c r="C242">
        <f>(comp_horiz_expanded_bd_filt+SQRT(comp_horiz_expanded_bd_filt*comp_horiz_expanded_bd_filt+PI()*comp_horiz_void_area_filt))/(PI()/2)</f>
        <v>11.122738652580997</v>
      </c>
      <c r="D242" s="5" t="s">
        <v>3506</v>
      </c>
      <c r="E242" s="423">
        <f>IF(comp_min_horiz_diam_filt&lt;=comp_max_horiz_diam_filt,IF(C242&lt;comp_min_horiz_diam_filt,comp_min_horiz_diam_filt,IF(C242&gt;comp_max_horiz_diam_filt,comp_max_horiz_diam_filt,ROUNDUP(2*C242,0)/2)),-1)</f>
        <v>11.5</v>
      </c>
      <c r="F242" t="s">
        <v>1374</v>
      </c>
    </row>
    <row r="243" spans="1:6" s="694" customFormat="1" x14ac:dyDescent="0.2">
      <c r="A243" s="694" t="s">
        <v>3555</v>
      </c>
      <c r="B243" s="3"/>
      <c r="C243" s="694">
        <f>SQRT(comp_sa_required_horiz_filt/comp_in_nlines_filt/length_diam_ratio)</f>
        <v>2.1458966079313035</v>
      </c>
      <c r="D243" s="694" t="s">
        <v>3506</v>
      </c>
    </row>
    <row r="244" spans="1:6" x14ac:dyDescent="0.2">
      <c r="A244" t="s">
        <v>3556</v>
      </c>
      <c r="B244" s="3" t="s">
        <v>3056</v>
      </c>
      <c r="C244">
        <f>comp_sa_required_horiz_filt/(comp_horiz_diam_filt-2*Vessel_thickness)/comp_in_nlines_filt</f>
        <v>1.0350131374485114</v>
      </c>
      <c r="D244" t="s">
        <v>3506</v>
      </c>
      <c r="E244" s="423">
        <f>IF(comp_min_horiz_length_filt&lt;=comp_max_horiz_length_filt,IF(C244&lt;comp_min_horiz_length_filt,comp_min_horiz_length_filt,IF(C244&gt;comp_max_horiz_length_filt,comp_max_horiz_length_filt,ROUNDUP(C244,0))),-1)</f>
        <v>20</v>
      </c>
      <c r="F244" t="s">
        <v>815</v>
      </c>
    </row>
    <row r="245" spans="1:6" x14ac:dyDescent="0.2">
      <c r="A245" t="s">
        <v>3544</v>
      </c>
      <c r="C245">
        <f>comp_in_nlines_filt*(comp_horiz_diam_filt-2*Vessel_thickness)*comp_horiz_length_filt</f>
        <v>23.024361259655372</v>
      </c>
      <c r="D245" t="s">
        <v>3594</v>
      </c>
    </row>
    <row r="246" spans="1:6" x14ac:dyDescent="0.2">
      <c r="A246" t="s">
        <v>3545</v>
      </c>
      <c r="B246" s="3" t="s">
        <v>3057</v>
      </c>
      <c r="C246">
        <f>IF( C245= 0, 0, comp_vol_required_filt/IF(comp_round_sa_filt=1,ROUND(C245,0),C245))</f>
        <v>4.9993316401550603</v>
      </c>
      <c r="D246" t="s">
        <v>3506</v>
      </c>
      <c r="E246">
        <f>IF(comp_min_horiz_bed_depth_filt&lt;=comp_max_horiz_bed_depth_filt,IF(C246&lt;comp_min_horiz_bed_depth_filt, comp_min_horiz_bed_depth_filt, IF(C246&gt;comp_max_horiz_bed_depth_filt, comp_max_horiz_bed_depth_filt, ROUNDUP(C246,1))),-1)</f>
        <v>5</v>
      </c>
      <c r="F246" t="s">
        <v>813</v>
      </c>
    </row>
    <row r="248" spans="1:6" x14ac:dyDescent="0.2">
      <c r="A248" s="1" t="s">
        <v>3537</v>
      </c>
      <c r="B248"/>
    </row>
    <row r="249" spans="1:6" x14ac:dyDescent="0.2">
      <c r="A249" t="s">
        <v>3559</v>
      </c>
      <c r="B249" s="3" t="s">
        <v>3058</v>
      </c>
      <c r="C249" s="75">
        <f>IF(comp_tank_geom_filt="upright",comp_vert_bed_depth_filt,IF(comp_tank_geom_filt="horizontal",comp_horiz_bed_depth_filt,-1))</f>
        <v>4.5999999999999996</v>
      </c>
      <c r="D249" t="s">
        <v>3506</v>
      </c>
    </row>
    <row r="250" spans="1:6" x14ac:dyDescent="0.2">
      <c r="E250" s="422"/>
    </row>
    <row r="251" spans="1:6" x14ac:dyDescent="0.2">
      <c r="A251" s="420" t="s">
        <v>3561</v>
      </c>
      <c r="B251" s="20"/>
      <c r="E251" s="422"/>
    </row>
    <row r="252" spans="1:6" x14ac:dyDescent="0.2">
      <c r="A252" s="1" t="s">
        <v>3562</v>
      </c>
    </row>
    <row r="253" spans="1:6" x14ac:dyDescent="0.2">
      <c r="A253" t="s">
        <v>3563</v>
      </c>
      <c r="B253" s="3" t="s">
        <v>3059</v>
      </c>
      <c r="C253">
        <f>comp_sa_min_filt/comp_in_nlines_filt</f>
        <v>4.3055555555555554</v>
      </c>
      <c r="D253" t="s">
        <v>3594</v>
      </c>
      <c r="E253" s="422" t="s">
        <v>615</v>
      </c>
    </row>
    <row r="254" spans="1:6" x14ac:dyDescent="0.2">
      <c r="A254" t="s">
        <v>3565</v>
      </c>
      <c r="B254" s="3" t="s">
        <v>3060</v>
      </c>
      <c r="C254">
        <f>comp_sa_max_filt/comp_in_nlines_filt</f>
        <v>43.055555555555557</v>
      </c>
      <c r="D254" t="s">
        <v>3594</v>
      </c>
      <c r="E254" s="422" t="s">
        <v>616</v>
      </c>
    </row>
    <row r="256" spans="1:6" x14ac:dyDescent="0.2">
      <c r="A256" s="1" t="s">
        <v>3567</v>
      </c>
      <c r="E256" s="422"/>
    </row>
    <row r="257" spans="1:5" x14ac:dyDescent="0.2">
      <c r="A257" s="5" t="s">
        <v>3563</v>
      </c>
      <c r="B257" s="3" t="s">
        <v>3061</v>
      </c>
      <c r="C257">
        <f>VLOOKUP(comp_vert_diam_filt,vessel_size_table_cl,2)</f>
        <v>4.5</v>
      </c>
      <c r="D257" t="s">
        <v>3506</v>
      </c>
      <c r="E257" s="422" t="s">
        <v>617</v>
      </c>
    </row>
    <row r="258" spans="1:5" x14ac:dyDescent="0.2">
      <c r="A258" s="421" t="s">
        <v>3565</v>
      </c>
      <c r="C258">
        <f>VLOOKUP(comp_vert_diam_filt,vessel_size_table_cl,3)</f>
        <v>12</v>
      </c>
      <c r="D258" t="s">
        <v>3506</v>
      </c>
      <c r="E258" s="422" t="s">
        <v>617</v>
      </c>
    </row>
    <row r="259" spans="1:5" x14ac:dyDescent="0.2">
      <c r="A259" s="421" t="s">
        <v>3565</v>
      </c>
      <c r="C259">
        <f>max_height</f>
        <v>24</v>
      </c>
      <c r="D259" t="s">
        <v>3506</v>
      </c>
      <c r="E259" s="422" t="s">
        <v>618</v>
      </c>
    </row>
    <row r="260" spans="1:5" x14ac:dyDescent="0.2">
      <c r="A260" t="s">
        <v>3565</v>
      </c>
      <c r="B260" s="3" t="s">
        <v>3062</v>
      </c>
      <c r="C260">
        <f>_xlfn.MINIFS(C258:C259, C258:C259, "&gt;0")</f>
        <v>12</v>
      </c>
      <c r="D260" t="s">
        <v>3506</v>
      </c>
      <c r="E260" s="422" t="s">
        <v>619</v>
      </c>
    </row>
    <row r="261" spans="1:5" x14ac:dyDescent="0.2">
      <c r="E261" s="422"/>
    </row>
    <row r="262" spans="1:5" x14ac:dyDescent="0.2">
      <c r="A262" s="1" t="s">
        <v>3570</v>
      </c>
      <c r="E262" s="422"/>
    </row>
    <row r="263" spans="1:5" x14ac:dyDescent="0.2">
      <c r="A263" s="421" t="s">
        <v>3563</v>
      </c>
      <c r="C263">
        <f>2*(SQRT(comp_vol_required_filt/PI()/comp_max_vert_bed_depth_filt/comp_in_nlines_filt)+Vessel_thickness)</f>
        <v>2.4711505663612598</v>
      </c>
      <c r="D263" t="s">
        <v>3506</v>
      </c>
      <c r="E263" s="422" t="s">
        <v>620</v>
      </c>
    </row>
    <row r="264" spans="1:5" x14ac:dyDescent="0.2">
      <c r="A264" s="421" t="s">
        <v>3563</v>
      </c>
      <c r="C264">
        <f>2*(SQRT(comp_min_sa_vessel_filt/PI())+Vessel_thickness)</f>
        <v>2.3413678898002139</v>
      </c>
      <c r="D264" t="s">
        <v>3506</v>
      </c>
      <c r="E264" s="422" t="s">
        <v>621</v>
      </c>
    </row>
    <row r="265" spans="1:5" x14ac:dyDescent="0.2">
      <c r="A265" s="421" t="s">
        <v>3563</v>
      </c>
      <c r="C265">
        <f>min_diam</f>
        <v>1.5</v>
      </c>
      <c r="D265" t="s">
        <v>3506</v>
      </c>
      <c r="E265" s="422" t="s">
        <v>617</v>
      </c>
    </row>
    <row r="266" spans="1:5" x14ac:dyDescent="0.2">
      <c r="A266" t="s">
        <v>3563</v>
      </c>
      <c r="B266" s="3" t="s">
        <v>3063</v>
      </c>
      <c r="C266">
        <f>ROUNDUP(2*MAX(C263:C265),0)/2</f>
        <v>2.5</v>
      </c>
      <c r="D266" t="s">
        <v>3506</v>
      </c>
      <c r="E266" s="422" t="s">
        <v>622</v>
      </c>
    </row>
    <row r="267" spans="1:5" x14ac:dyDescent="0.2">
      <c r="A267" s="421" t="s">
        <v>3565</v>
      </c>
      <c r="C267">
        <f>max_diam</f>
        <v>14</v>
      </c>
      <c r="D267" t="s">
        <v>3506</v>
      </c>
      <c r="E267" s="422" t="s">
        <v>623</v>
      </c>
    </row>
    <row r="268" spans="1:5" x14ac:dyDescent="0.2">
      <c r="A268" s="421" t="s">
        <v>3565</v>
      </c>
      <c r="C268">
        <f>2*(SQRT(comp_max_sa_vessel_filt/PI())+Vessel_thickness)</f>
        <v>7.404055372150796</v>
      </c>
      <c r="D268" t="s">
        <v>3506</v>
      </c>
      <c r="E268" s="422" t="s">
        <v>624</v>
      </c>
    </row>
    <row r="269" spans="1:5" x14ac:dyDescent="0.2">
      <c r="A269" s="421" t="s">
        <v>3565</v>
      </c>
      <c r="C269">
        <f>max_diam</f>
        <v>14</v>
      </c>
      <c r="D269" t="s">
        <v>3506</v>
      </c>
      <c r="E269" s="422" t="s">
        <v>617</v>
      </c>
    </row>
    <row r="270" spans="1:5" x14ac:dyDescent="0.2">
      <c r="A270" t="s">
        <v>3565</v>
      </c>
      <c r="B270" s="3" t="s">
        <v>3064</v>
      </c>
      <c r="C270">
        <f>MAX(0.5,ROUNDDOWN(2*MIN(C267:C269),0)/2)</f>
        <v>7</v>
      </c>
      <c r="D270" t="s">
        <v>3506</v>
      </c>
      <c r="E270" s="422" t="s">
        <v>2428</v>
      </c>
    </row>
    <row r="271" spans="1:5" x14ac:dyDescent="0.2">
      <c r="E271" s="422"/>
    </row>
    <row r="272" spans="1:5" x14ac:dyDescent="0.2">
      <c r="A272" s="1" t="s">
        <v>3573</v>
      </c>
      <c r="B272" s="20"/>
    </row>
    <row r="273" spans="1:5" x14ac:dyDescent="0.2">
      <c r="A273" s="421" t="s">
        <v>3563</v>
      </c>
      <c r="B273" s="20"/>
      <c r="C273">
        <f>IF(comp_round_sa_filt=1,comp_vol_required_filt/C235,0)</f>
        <v>0</v>
      </c>
      <c r="D273" t="s">
        <v>3506</v>
      </c>
      <c r="E273" s="422" t="s">
        <v>2429</v>
      </c>
    </row>
    <row r="274" spans="1:5" x14ac:dyDescent="0.2">
      <c r="A274" s="421" t="s">
        <v>3563</v>
      </c>
      <c r="B274" s="20"/>
      <c r="C274">
        <f>min_bed_depth</f>
        <v>2</v>
      </c>
      <c r="D274" t="s">
        <v>3506</v>
      </c>
      <c r="E274" s="422" t="s">
        <v>3101</v>
      </c>
    </row>
    <row r="275" spans="1:5" x14ac:dyDescent="0.2">
      <c r="A275" t="s">
        <v>3563</v>
      </c>
      <c r="B275" s="3" t="s">
        <v>3065</v>
      </c>
      <c r="C275">
        <f>ROUNDUP(MAX(C273:C274),1)</f>
        <v>2</v>
      </c>
      <c r="D275" t="s">
        <v>3506</v>
      </c>
      <c r="E275" s="422" t="s">
        <v>622</v>
      </c>
    </row>
    <row r="276" spans="1:5" x14ac:dyDescent="0.2">
      <c r="A276" s="421" t="s">
        <v>3565</v>
      </c>
      <c r="C276">
        <f>(max_height-free_board)/(1+filt_bed_expansion)</f>
        <v>15.333333333333334</v>
      </c>
      <c r="D276" t="s">
        <v>3506</v>
      </c>
      <c r="E276" s="422" t="s">
        <v>1361</v>
      </c>
    </row>
    <row r="277" spans="1:5" x14ac:dyDescent="0.2">
      <c r="A277" s="421" t="s">
        <v>3565</v>
      </c>
      <c r="C277">
        <f>max_bed_depth</f>
        <v>12</v>
      </c>
      <c r="D277" t="s">
        <v>3506</v>
      </c>
      <c r="E277" s="422" t="s">
        <v>2430</v>
      </c>
    </row>
    <row r="278" spans="1:5" x14ac:dyDescent="0.2">
      <c r="A278" t="s">
        <v>3565</v>
      </c>
      <c r="B278" s="3" t="s">
        <v>3066</v>
      </c>
      <c r="C278">
        <f>ROUNDDOWN(MIN(C276:C277),1)</f>
        <v>12</v>
      </c>
      <c r="D278" t="s">
        <v>3506</v>
      </c>
      <c r="E278" s="422" t="s">
        <v>1362</v>
      </c>
    </row>
    <row r="279" spans="1:5" x14ac:dyDescent="0.2">
      <c r="E279" s="422"/>
    </row>
    <row r="280" spans="1:5" x14ac:dyDescent="0.2">
      <c r="A280" s="1" t="s">
        <v>2153</v>
      </c>
      <c r="E280" s="422"/>
    </row>
    <row r="281" spans="1:5" x14ac:dyDescent="0.2">
      <c r="A281" t="s">
        <v>3563</v>
      </c>
      <c r="B281" s="3" t="s">
        <v>3067</v>
      </c>
      <c r="C281">
        <v>8</v>
      </c>
      <c r="D281" t="s">
        <v>3506</v>
      </c>
      <c r="E281" s="422" t="s">
        <v>1363</v>
      </c>
    </row>
    <row r="282" spans="1:5" x14ac:dyDescent="0.2">
      <c r="A282" s="421" t="s">
        <v>3565</v>
      </c>
      <c r="C282">
        <f>max_height</f>
        <v>24</v>
      </c>
      <c r="D282" t="s">
        <v>3506</v>
      </c>
      <c r="E282" s="422" t="s">
        <v>618</v>
      </c>
    </row>
    <row r="283" spans="1:5" x14ac:dyDescent="0.2">
      <c r="A283" s="421" t="s">
        <v>3565</v>
      </c>
      <c r="C283">
        <f>max_diam</f>
        <v>14</v>
      </c>
      <c r="D283" t="s">
        <v>3506</v>
      </c>
      <c r="E283" s="422" t="s">
        <v>1364</v>
      </c>
    </row>
    <row r="284" spans="1:5" x14ac:dyDescent="0.2">
      <c r="A284" s="5" t="s">
        <v>3565</v>
      </c>
      <c r="B284" s="3" t="s">
        <v>3068</v>
      </c>
      <c r="C284">
        <f>ROUNDDOWN(MIN(C282:C283),1)</f>
        <v>14</v>
      </c>
      <c r="D284" s="5" t="s">
        <v>3506</v>
      </c>
      <c r="E284" s="422" t="s">
        <v>1365</v>
      </c>
    </row>
    <row r="285" spans="1:5" x14ac:dyDescent="0.2">
      <c r="A285" s="5"/>
      <c r="D285" s="5"/>
      <c r="E285" s="422"/>
    </row>
    <row r="286" spans="1:5" x14ac:dyDescent="0.2">
      <c r="A286" s="1" t="s">
        <v>2156</v>
      </c>
      <c r="D286" s="5"/>
      <c r="E286" s="422"/>
    </row>
    <row r="287" spans="1:5" x14ac:dyDescent="0.2">
      <c r="A287" s="421" t="s">
        <v>3563</v>
      </c>
      <c r="C287">
        <f>comp_min_sa_vessel_filt/(comp_horiz_diam_filt-2*Vessel_thickness)</f>
        <v>0.38709491340574331</v>
      </c>
      <c r="D287" s="5" t="s">
        <v>3506</v>
      </c>
      <c r="E287" s="422" t="s">
        <v>1366</v>
      </c>
    </row>
    <row r="288" spans="1:5" x14ac:dyDescent="0.2">
      <c r="A288" s="421" t="s">
        <v>3563</v>
      </c>
      <c r="C288">
        <v>20</v>
      </c>
      <c r="D288" s="5" t="s">
        <v>3506</v>
      </c>
      <c r="E288" s="933"/>
    </row>
    <row r="289" spans="1:5" x14ac:dyDescent="0.2">
      <c r="A289" t="s">
        <v>3563</v>
      </c>
      <c r="B289" s="3" t="s">
        <v>3069</v>
      </c>
      <c r="C289">
        <f>ROUNDUP(MAX(C287:C288),0)</f>
        <v>20</v>
      </c>
      <c r="D289" s="5" t="s">
        <v>3506</v>
      </c>
      <c r="E289" s="422" t="s">
        <v>1367</v>
      </c>
    </row>
    <row r="290" spans="1:5" x14ac:dyDescent="0.2">
      <c r="A290" s="421" t="s">
        <v>3565</v>
      </c>
      <c r="C290">
        <f>max_length</f>
        <v>53</v>
      </c>
      <c r="D290" t="s">
        <v>3506</v>
      </c>
      <c r="E290" s="422" t="s">
        <v>1368</v>
      </c>
    </row>
    <row r="291" spans="1:5" x14ac:dyDescent="0.2">
      <c r="A291" s="421" t="s">
        <v>3565</v>
      </c>
      <c r="C291">
        <f>comp_max_vol_filt/(comp_horiz_diam_filt*comp_horiz_diam_filt*PI()/4)/7.48</f>
        <v>37.288110013024138</v>
      </c>
      <c r="D291" t="s">
        <v>3506</v>
      </c>
      <c r="E291" s="422" t="s">
        <v>1369</v>
      </c>
    </row>
    <row r="292" spans="1:5" x14ac:dyDescent="0.2">
      <c r="A292" t="s">
        <v>3565</v>
      </c>
      <c r="B292" s="3" t="s">
        <v>3070</v>
      </c>
      <c r="C292">
        <f>ROUNDDOWN(MIN(C290:C291),0)</f>
        <v>37</v>
      </c>
      <c r="D292" t="s">
        <v>3506</v>
      </c>
      <c r="E292" s="422" t="s">
        <v>1362</v>
      </c>
    </row>
    <row r="293" spans="1:5" x14ac:dyDescent="0.2">
      <c r="E293" s="422"/>
    </row>
    <row r="294" spans="1:5" x14ac:dyDescent="0.2">
      <c r="A294" s="1" t="s">
        <v>2159</v>
      </c>
      <c r="B294" s="20"/>
    </row>
    <row r="295" spans="1:5" x14ac:dyDescent="0.2">
      <c r="A295" s="421" t="s">
        <v>3563</v>
      </c>
      <c r="B295" s="20"/>
      <c r="C295">
        <f>IF(comp_round_sa_filt=1,comp_vol_required_filt/C245,0)</f>
        <v>0</v>
      </c>
      <c r="D295" t="s">
        <v>3506</v>
      </c>
      <c r="E295" s="422" t="s">
        <v>1370</v>
      </c>
    </row>
    <row r="296" spans="1:5" x14ac:dyDescent="0.2">
      <c r="A296" s="421" t="s">
        <v>3563</v>
      </c>
      <c r="B296" s="20"/>
      <c r="C296">
        <f>min_bed_depth</f>
        <v>2</v>
      </c>
      <c r="D296" t="s">
        <v>3506</v>
      </c>
      <c r="E296" s="422" t="s">
        <v>1371</v>
      </c>
    </row>
    <row r="297" spans="1:5" x14ac:dyDescent="0.2">
      <c r="A297" t="s">
        <v>3563</v>
      </c>
      <c r="B297" s="3" t="s">
        <v>3071</v>
      </c>
      <c r="C297">
        <f>ROUNDUP(MAX(C295:C296),1)</f>
        <v>2</v>
      </c>
      <c r="D297" t="s">
        <v>3506</v>
      </c>
      <c r="E297" s="422" t="s">
        <v>1367</v>
      </c>
    </row>
    <row r="298" spans="1:5" x14ac:dyDescent="0.2">
      <c r="A298" s="421" t="s">
        <v>3565</v>
      </c>
      <c r="C298">
        <f>(MIN(max_height,max_diam)-free_board)/(1+filt_bed_expansion)</f>
        <v>8.6666666666666661</v>
      </c>
      <c r="D298" t="s">
        <v>3506</v>
      </c>
      <c r="E298" s="422" t="s">
        <v>1372</v>
      </c>
    </row>
    <row r="299" spans="1:5" x14ac:dyDescent="0.2">
      <c r="A299" s="421" t="s">
        <v>3565</v>
      </c>
      <c r="C299">
        <f>max_bed_depth</f>
        <v>12</v>
      </c>
      <c r="D299" t="s">
        <v>3506</v>
      </c>
      <c r="E299" s="422" t="s">
        <v>1371</v>
      </c>
    </row>
    <row r="300" spans="1:5" x14ac:dyDescent="0.2">
      <c r="A300" t="s">
        <v>3565</v>
      </c>
      <c r="B300" s="3" t="s">
        <v>3072</v>
      </c>
      <c r="C300">
        <f>ROUNDDOWN(MIN(C298:C299),1)</f>
        <v>8.6</v>
      </c>
      <c r="D300" t="s">
        <v>3506</v>
      </c>
      <c r="E300" s="422" t="s">
        <v>1362</v>
      </c>
    </row>
    <row r="302" spans="1:5" x14ac:dyDescent="0.2">
      <c r="A302" s="420" t="s">
        <v>3590</v>
      </c>
    </row>
    <row r="303" spans="1:5" x14ac:dyDescent="0.2">
      <c r="A303" t="s">
        <v>3591</v>
      </c>
      <c r="B303" s="3" t="s">
        <v>3073</v>
      </c>
      <c r="C303" t="b">
        <v>1</v>
      </c>
      <c r="E303" s="422" t="s">
        <v>1373</v>
      </c>
    </row>
    <row r="305" spans="1:5" s="395" customFormat="1" x14ac:dyDescent="0.2">
      <c r="A305" s="393" t="s">
        <v>3026</v>
      </c>
      <c r="B305" s="394"/>
    </row>
    <row r="307" spans="1:5" x14ac:dyDescent="0.2">
      <c r="A307" s="420" t="s">
        <v>3657</v>
      </c>
    </row>
    <row r="308" spans="1:5" x14ac:dyDescent="0.2">
      <c r="A308" t="s">
        <v>3658</v>
      </c>
      <c r="C308">
        <f>design_flow_rate</f>
        <v>86.111111111111114</v>
      </c>
      <c r="D308" t="s">
        <v>2765</v>
      </c>
    </row>
    <row r="309" spans="1:5" x14ac:dyDescent="0.2">
      <c r="A309" t="s">
        <v>3653</v>
      </c>
      <c r="C309">
        <f>ebct_filt</f>
        <v>10</v>
      </c>
      <c r="D309" t="s">
        <v>3563</v>
      </c>
    </row>
    <row r="310" spans="1:5" x14ac:dyDescent="0.2">
      <c r="A310" t="s">
        <v>3662</v>
      </c>
      <c r="B310" s="3" t="s">
        <v>3074</v>
      </c>
      <c r="C310" s="164">
        <v>0</v>
      </c>
      <c r="E310" s="422" t="s">
        <v>3596</v>
      </c>
    </row>
    <row r="311" spans="1:5" x14ac:dyDescent="0.2">
      <c r="A311" t="s">
        <v>3668</v>
      </c>
      <c r="B311" s="3" t="s">
        <v>3075</v>
      </c>
      <c r="C311">
        <f>design_flow_rate*ebct_filt/7.481</f>
        <v>115.10641773975553</v>
      </c>
      <c r="D311" t="s">
        <v>3593</v>
      </c>
      <c r="E311" s="422" t="s">
        <v>3599</v>
      </c>
    </row>
    <row r="312" spans="1:5" x14ac:dyDescent="0.2">
      <c r="E312" s="422"/>
    </row>
    <row r="313" spans="1:5" x14ac:dyDescent="0.2">
      <c r="A313" s="2" t="s">
        <v>822</v>
      </c>
      <c r="E313" s="422"/>
    </row>
    <row r="314" spans="1:5" x14ac:dyDescent="0.2">
      <c r="A314" t="s">
        <v>3527</v>
      </c>
      <c r="B314" s="3" t="s">
        <v>3076</v>
      </c>
      <c r="C314">
        <f>comp_max_bed_depth_a_filt*comp_max_length_a_filt*comp_max_width_a_filt</f>
        <v>9000</v>
      </c>
      <c r="D314" t="s">
        <v>3593</v>
      </c>
      <c r="E314" s="422" t="s">
        <v>3600</v>
      </c>
    </row>
    <row r="315" spans="1:5" x14ac:dyDescent="0.2">
      <c r="A315" t="s">
        <v>3664</v>
      </c>
      <c r="B315" s="3" t="s">
        <v>3077</v>
      </c>
      <c r="C315">
        <f>design_flow_rate/load_max_filt</f>
        <v>8.6111111111111107</v>
      </c>
      <c r="D315" t="s">
        <v>3594</v>
      </c>
      <c r="E315" s="422" t="s">
        <v>3597</v>
      </c>
    </row>
    <row r="316" spans="1:5" x14ac:dyDescent="0.2">
      <c r="A316" t="s">
        <v>3666</v>
      </c>
      <c r="B316" s="3" t="s">
        <v>3078</v>
      </c>
      <c r="C316">
        <f>design_flow_rate/load_min_filt</f>
        <v>86.111111111111114</v>
      </c>
      <c r="D316" t="s">
        <v>3594</v>
      </c>
      <c r="E316" s="422" t="s">
        <v>3598</v>
      </c>
    </row>
    <row r="317" spans="1:5" x14ac:dyDescent="0.2">
      <c r="A317" t="s">
        <v>3675</v>
      </c>
      <c r="B317" s="3" t="s">
        <v>3079</v>
      </c>
      <c r="C317">
        <f>IF(design_flow_I&lt;=1,bed_depth_filt_small,IF(design_flow_I&lt;=10,bed_depth_filt,bed_depth_filt_large))</f>
        <v>5</v>
      </c>
      <c r="D317" t="s">
        <v>3506</v>
      </c>
      <c r="E317" s="422" t="s">
        <v>2754</v>
      </c>
    </row>
    <row r="318" spans="1:5" x14ac:dyDescent="0.2">
      <c r="A318" t="s">
        <v>3677</v>
      </c>
      <c r="B318" s="3" t="s">
        <v>3080</v>
      </c>
      <c r="C318">
        <f>comp_vol_required_a_filt/comp_target_bed_depth_vert_a_filt</f>
        <v>23.021283547951107</v>
      </c>
      <c r="D318" t="s">
        <v>3594</v>
      </c>
      <c r="E318" s="422" t="s">
        <v>3603</v>
      </c>
    </row>
    <row r="319" spans="1:5" x14ac:dyDescent="0.2">
      <c r="A319" t="s">
        <v>828</v>
      </c>
      <c r="E319" s="422" t="s">
        <v>3604</v>
      </c>
    </row>
    <row r="320" spans="1:5" x14ac:dyDescent="0.2">
      <c r="A320" s="128" t="s">
        <v>3680</v>
      </c>
      <c r="C320">
        <f>comp_min_sa_a_filt/comp_sa_max_a_filt</f>
        <v>1.6666666666666666E-2</v>
      </c>
      <c r="E320" s="422"/>
    </row>
    <row r="321" spans="1:5" x14ac:dyDescent="0.2">
      <c r="A321" s="128" t="s">
        <v>3681</v>
      </c>
      <c r="C321">
        <f>comp_sa_required_vert_a_filt/comp_sa_max_a_filt</f>
        <v>0.26734393797620637</v>
      </c>
      <c r="E321" s="422"/>
    </row>
    <row r="322" spans="1:5" x14ac:dyDescent="0.2">
      <c r="A322" s="128" t="s">
        <v>3682</v>
      </c>
      <c r="C322">
        <f>comp_vol_required_a_filt/comp_vert_max_media_a_filt</f>
        <v>1.2789601971083947E-2</v>
      </c>
      <c r="E322" s="422"/>
    </row>
    <row r="323" spans="1:5" x14ac:dyDescent="0.2">
      <c r="A323" t="s">
        <v>3683</v>
      </c>
      <c r="B323" s="3" t="s">
        <v>3081</v>
      </c>
      <c r="C323">
        <f>MAX(C320:C322)</f>
        <v>0.26734393797620637</v>
      </c>
      <c r="E323" s="422" t="s">
        <v>3605</v>
      </c>
    </row>
    <row r="324" spans="1:5" x14ac:dyDescent="0.2">
      <c r="E324" s="422"/>
    </row>
    <row r="325" spans="1:5" x14ac:dyDescent="0.2">
      <c r="E325" s="422"/>
    </row>
    <row r="326" spans="1:5" x14ac:dyDescent="0.2">
      <c r="A326" t="s">
        <v>3532</v>
      </c>
      <c r="B326" s="3" t="s">
        <v>3082</v>
      </c>
      <c r="C326" s="8">
        <v>2</v>
      </c>
      <c r="E326" s="422" t="s">
        <v>1635</v>
      </c>
    </row>
    <row r="327" spans="1:5" x14ac:dyDescent="0.2">
      <c r="A327" t="s">
        <v>3534</v>
      </c>
      <c r="B327" s="3" t="s">
        <v>3083</v>
      </c>
      <c r="C327">
        <v>6</v>
      </c>
      <c r="E327" s="422" t="s">
        <v>1636</v>
      </c>
    </row>
    <row r="329" spans="1:5" x14ac:dyDescent="0.2">
      <c r="A329" s="420" t="s">
        <v>3536</v>
      </c>
    </row>
    <row r="331" spans="1:5" x14ac:dyDescent="0.2">
      <c r="A331" s="1" t="s">
        <v>3540</v>
      </c>
      <c r="B331" s="20"/>
    </row>
    <row r="332" spans="1:5" x14ac:dyDescent="0.2">
      <c r="A332" t="s">
        <v>832</v>
      </c>
      <c r="B332" s="3" t="s">
        <v>3084</v>
      </c>
      <c r="C332">
        <f>SQRT(comp_sa_required_vert_a_filt/comp_in_nlines_a_filt)</f>
        <v>1.9587956992308271</v>
      </c>
      <c r="D332" t="s">
        <v>3506</v>
      </c>
      <c r="E332" s="423">
        <f>IF(C332&lt;comp_min_length_a_filt,comp_min_length_a_filt,IF(C332&gt;comp_max_length_a_filt,comp_max_length_a_filt,ROUNDUP(2*C332,0)/2))</f>
        <v>3</v>
      </c>
    </row>
    <row r="333" spans="1:5" x14ac:dyDescent="0.2">
      <c r="A333" t="s">
        <v>3543</v>
      </c>
      <c r="C333">
        <f>comp_length_width_a_filt^2</f>
        <v>9</v>
      </c>
      <c r="D333" t="s">
        <v>3594</v>
      </c>
    </row>
    <row r="334" spans="1:5" x14ac:dyDescent="0.2">
      <c r="A334" t="s">
        <v>3544</v>
      </c>
      <c r="C334">
        <f>comp_in_nlines_a_filt*C333</f>
        <v>54</v>
      </c>
      <c r="D334" t="s">
        <v>3594</v>
      </c>
    </row>
    <row r="335" spans="1:5" x14ac:dyDescent="0.2">
      <c r="A335" t="s">
        <v>3545</v>
      </c>
      <c r="B335" s="3" t="s">
        <v>3085</v>
      </c>
      <c r="C335">
        <f>comp_vol_required_a_filt/IF(comp_round_sa_a_filt=1,ROUND(C333,0)*comp_in_nlines_a_filt,C334)</f>
        <v>2.1316003285139913</v>
      </c>
      <c r="D335" t="s">
        <v>3506</v>
      </c>
      <c r="E335" s="423">
        <f>IF(comp_min_bed_depth_a_filt&lt;=comp_max_bed_depth_a_filt,IF(C335&lt;comp_min_bed_depth_a_filt, ROUNDUP(comp_min_bed_depth_a_filt,1), IF(C335&gt;comp_max_bed_depth_a_filt, comp_max_bed_depth_a_filt, ROUNDUP(C335,1))),-1)</f>
        <v>3</v>
      </c>
    </row>
    <row r="337" spans="1:5" x14ac:dyDescent="0.2">
      <c r="A337" s="420" t="s">
        <v>2731</v>
      </c>
      <c r="B337"/>
    </row>
    <row r="338" spans="1:5" x14ac:dyDescent="0.2">
      <c r="A338" s="1" t="s">
        <v>2732</v>
      </c>
      <c r="B338"/>
    </row>
    <row r="339" spans="1:5" x14ac:dyDescent="0.2">
      <c r="A339" s="421" t="s">
        <v>3563</v>
      </c>
      <c r="B339" s="20"/>
      <c r="C339">
        <f>min_depth</f>
        <v>3</v>
      </c>
      <c r="D339" t="s">
        <v>3506</v>
      </c>
      <c r="E339" s="422" t="s">
        <v>2745</v>
      </c>
    </row>
    <row r="340" spans="1:5" x14ac:dyDescent="0.2">
      <c r="A340" s="421" t="s">
        <v>3563</v>
      </c>
      <c r="B340" s="20"/>
      <c r="C340">
        <f>design_flow_rate*EBCT/(comp_in_nlines_a_filt*max_length_g*max_width)/7.48</f>
        <v>2.5582623621839308E-2</v>
      </c>
      <c r="D340" t="s">
        <v>3506</v>
      </c>
      <c r="E340" s="422" t="s">
        <v>2746</v>
      </c>
    </row>
    <row r="341" spans="1:5" x14ac:dyDescent="0.2">
      <c r="A341" t="s">
        <v>3563</v>
      </c>
      <c r="B341" s="3" t="s">
        <v>3086</v>
      </c>
      <c r="C341">
        <f>MAX(C339:C340)</f>
        <v>3</v>
      </c>
      <c r="D341" t="s">
        <v>3506</v>
      </c>
      <c r="E341" s="422" t="s">
        <v>622</v>
      </c>
    </row>
    <row r="342" spans="1:5" x14ac:dyDescent="0.2">
      <c r="A342" t="s">
        <v>3565</v>
      </c>
      <c r="B342" s="3" t="s">
        <v>3087</v>
      </c>
      <c r="C342">
        <f>max_depth</f>
        <v>10</v>
      </c>
      <c r="D342" t="s">
        <v>3506</v>
      </c>
      <c r="E342" s="422" t="s">
        <v>2747</v>
      </c>
    </row>
    <row r="343" spans="1:5" x14ac:dyDescent="0.2">
      <c r="A343" s="1"/>
      <c r="B343" s="20"/>
    </row>
    <row r="344" spans="1:5" x14ac:dyDescent="0.2">
      <c r="A344" s="1" t="s">
        <v>2735</v>
      </c>
      <c r="E344" s="422"/>
    </row>
    <row r="345" spans="1:5" x14ac:dyDescent="0.2">
      <c r="A345" t="s">
        <v>3563</v>
      </c>
      <c r="B345" s="3" t="s">
        <v>3088</v>
      </c>
      <c r="C345">
        <f>design_flow_rate/comp_in_nlines_a_filt/load_max_filt</f>
        <v>1.4351851851851853</v>
      </c>
      <c r="D345" t="s">
        <v>3594</v>
      </c>
      <c r="E345" s="422" t="s">
        <v>2748</v>
      </c>
    </row>
    <row r="346" spans="1:5" x14ac:dyDescent="0.2">
      <c r="A346" t="s">
        <v>3565</v>
      </c>
      <c r="B346" s="3" t="s">
        <v>3089</v>
      </c>
      <c r="C346">
        <f>design_flow_rate/comp_in_nlines_a_filt/load_min_filt</f>
        <v>14.351851851851853</v>
      </c>
      <c r="D346" t="s">
        <v>3594</v>
      </c>
      <c r="E346" s="422" t="s">
        <v>2749</v>
      </c>
    </row>
    <row r="347" spans="1:5" x14ac:dyDescent="0.2">
      <c r="E347" s="422"/>
    </row>
    <row r="348" spans="1:5" x14ac:dyDescent="0.2">
      <c r="A348" s="1" t="s">
        <v>2738</v>
      </c>
      <c r="E348" s="422"/>
    </row>
    <row r="349" spans="1:5" x14ac:dyDescent="0.2">
      <c r="A349" t="s">
        <v>3563</v>
      </c>
      <c r="B349" s="3" t="s">
        <v>3090</v>
      </c>
      <c r="C349">
        <f>min_length_g</f>
        <v>3</v>
      </c>
      <c r="D349" t="s">
        <v>3506</v>
      </c>
      <c r="E349" s="422" t="s">
        <v>2750</v>
      </c>
    </row>
    <row r="350" spans="1:5" x14ac:dyDescent="0.2">
      <c r="A350" s="5" t="s">
        <v>3565</v>
      </c>
      <c r="B350" s="3" t="s">
        <v>3091</v>
      </c>
      <c r="C350">
        <f>max_length_g</f>
        <v>30</v>
      </c>
      <c r="D350" s="5" t="s">
        <v>3506</v>
      </c>
      <c r="E350" s="422" t="s">
        <v>2751</v>
      </c>
    </row>
    <row r="351" spans="1:5" x14ac:dyDescent="0.2">
      <c r="E351" s="422"/>
    </row>
    <row r="352" spans="1:5" x14ac:dyDescent="0.2">
      <c r="A352" s="1" t="s">
        <v>2741</v>
      </c>
      <c r="E352" s="422"/>
    </row>
    <row r="353" spans="1:5" x14ac:dyDescent="0.2">
      <c r="A353" t="s">
        <v>3563</v>
      </c>
      <c r="B353" s="3" t="s">
        <v>3092</v>
      </c>
      <c r="C353">
        <f>min_width</f>
        <v>3</v>
      </c>
      <c r="D353" t="s">
        <v>3506</v>
      </c>
      <c r="E353" s="422" t="s">
        <v>2752</v>
      </c>
    </row>
    <row r="354" spans="1:5" x14ac:dyDescent="0.2">
      <c r="A354" s="5" t="s">
        <v>3565</v>
      </c>
      <c r="B354" s="3" t="s">
        <v>3093</v>
      </c>
      <c r="C354">
        <f>max_width</f>
        <v>30</v>
      </c>
      <c r="D354" s="5" t="s">
        <v>3506</v>
      </c>
      <c r="E354" s="422" t="s">
        <v>2753</v>
      </c>
    </row>
    <row r="356" spans="1:5" x14ac:dyDescent="0.2">
      <c r="A356" s="420" t="s">
        <v>3590</v>
      </c>
    </row>
    <row r="357" spans="1:5" x14ac:dyDescent="0.2">
      <c r="A357" t="s">
        <v>3591</v>
      </c>
      <c r="B357" s="3" t="s">
        <v>3094</v>
      </c>
      <c r="C357" t="b">
        <v>1</v>
      </c>
      <c r="E357" s="422" t="s">
        <v>1373</v>
      </c>
    </row>
  </sheetData>
  <phoneticPr fontId="0" type="noConversion"/>
  <pageMargins left="0.75" right="0.75" top="1" bottom="1" header="0.5" footer="0.5"/>
  <pageSetup orientation="portrait" horizontalDpi="4294967294" verticalDpi="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A1:Q498"/>
  <sheetViews>
    <sheetView workbookViewId="0">
      <pane xSplit="2" ySplit="4" topLeftCell="C5" activePane="bottomRight" state="frozen"/>
      <selection pane="topRight" activeCell="C1" sqref="C1"/>
      <selection pane="bottomLeft" activeCell="A5" sqref="A5"/>
      <selection pane="bottomRight"/>
    </sheetView>
  </sheetViews>
  <sheetFormatPr defaultRowHeight="12.75" x14ac:dyDescent="0.2"/>
  <cols>
    <col min="1" max="1" width="33.140625" customWidth="1"/>
    <col min="2" max="2" width="22.85546875" customWidth="1"/>
    <col min="3" max="3" width="13.140625" customWidth="1"/>
    <col min="5" max="5" width="15" customWidth="1"/>
    <col min="12" max="12" width="9.28515625" customWidth="1"/>
  </cols>
  <sheetData>
    <row r="1" spans="1:17" x14ac:dyDescent="0.2">
      <c r="A1" s="1" t="s">
        <v>3870</v>
      </c>
    </row>
    <row r="2" spans="1:17" x14ac:dyDescent="0.2">
      <c r="A2" s="725" t="s">
        <v>3871</v>
      </c>
    </row>
    <row r="4" spans="1:17" x14ac:dyDescent="0.2">
      <c r="A4" s="1" t="s">
        <v>3872</v>
      </c>
      <c r="B4" s="1"/>
      <c r="C4" s="1" t="s">
        <v>2626</v>
      </c>
      <c r="D4" s="1" t="s">
        <v>2627</v>
      </c>
      <c r="E4" s="1"/>
      <c r="F4" s="1">
        <v>2</v>
      </c>
      <c r="G4" s="1">
        <v>3</v>
      </c>
      <c r="H4" s="1">
        <v>4</v>
      </c>
      <c r="I4" s="1">
        <v>5</v>
      </c>
      <c r="J4" s="1">
        <v>6</v>
      </c>
      <c r="K4" s="1">
        <v>7</v>
      </c>
      <c r="L4" s="1">
        <v>8</v>
      </c>
      <c r="M4" s="1">
        <v>9</v>
      </c>
      <c r="N4" s="1">
        <v>10</v>
      </c>
      <c r="O4" s="1">
        <v>11</v>
      </c>
      <c r="P4" s="1">
        <v>15</v>
      </c>
      <c r="Q4" s="1">
        <v>16</v>
      </c>
    </row>
    <row r="5" spans="1:17" x14ac:dyDescent="0.2">
      <c r="A5" s="18" t="s">
        <v>2211</v>
      </c>
    </row>
    <row r="6" spans="1:17" x14ac:dyDescent="0.2">
      <c r="A6" s="690" t="s">
        <v>1420</v>
      </c>
    </row>
    <row r="7" spans="1:17" x14ac:dyDescent="0.2">
      <c r="A7" s="5" t="s">
        <v>1421</v>
      </c>
      <c r="B7" t="s">
        <v>2628</v>
      </c>
      <c r="C7" s="10">
        <f>IF(OR(D7&gt;P7,D7&lt;=Q7),"contact vendor",F7*D7^G7+H7*LN(D7)+I7+J7*EXP(K7*D7)+L7*D7^3+M7*D7^2+N7*D7+O7)</f>
        <v>45397.367088323284</v>
      </c>
      <c r="D7">
        <f>comm_vol_gal</f>
        <v>657.97516536784633</v>
      </c>
      <c r="E7" t="s">
        <v>2628</v>
      </c>
      <c r="F7">
        <f t="shared" ref="F7:Q10" si="0">VLOOKUP($E7,eq_table_cl,F$4,FALSE)</f>
        <v>0</v>
      </c>
      <c r="G7">
        <f t="shared" si="0"/>
        <v>0</v>
      </c>
      <c r="H7">
        <f t="shared" si="0"/>
        <v>0</v>
      </c>
      <c r="I7">
        <f t="shared" si="0"/>
        <v>0</v>
      </c>
      <c r="J7">
        <f t="shared" si="0"/>
        <v>0</v>
      </c>
      <c r="K7">
        <f t="shared" si="0"/>
        <v>0</v>
      </c>
      <c r="L7">
        <f t="shared" si="0"/>
        <v>4.0000000000000001E-8</v>
      </c>
      <c r="M7">
        <f t="shared" si="0"/>
        <v>-1.6522430000000001E-3</v>
      </c>
      <c r="N7">
        <f t="shared" si="0"/>
        <v>26.487093706</v>
      </c>
      <c r="O7">
        <f t="shared" si="0"/>
        <v>28673.43064482</v>
      </c>
      <c r="P7">
        <f t="shared" si="0"/>
        <v>27101</v>
      </c>
      <c r="Q7">
        <f t="shared" si="0"/>
        <v>0</v>
      </c>
    </row>
    <row r="8" spans="1:17" x14ac:dyDescent="0.2">
      <c r="A8" s="5" t="s">
        <v>1462</v>
      </c>
      <c r="B8" t="s">
        <v>1465</v>
      </c>
      <c r="C8" s="10">
        <f t="shared" ref="C8:C10" si="1">IF(OR(D8&gt;P8,D8&lt;=Q8),"contact vendor",F8*D8^G8+H8*LN(D8)+I8+J8*EXP(K8*D8)+L8*D8^3+M8*D8^2+N8*D8+O8)</f>
        <v>31486.690448574245</v>
      </c>
      <c r="D8">
        <f>comm_vol_gal</f>
        <v>657.97516536784633</v>
      </c>
      <c r="E8" t="s">
        <v>1465</v>
      </c>
      <c r="F8">
        <f t="shared" si="0"/>
        <v>1596.499332614</v>
      </c>
      <c r="G8">
        <f t="shared" si="0"/>
        <v>0.45949680900000001</v>
      </c>
      <c r="H8">
        <f t="shared" si="0"/>
        <v>0</v>
      </c>
      <c r="I8">
        <f t="shared" si="0"/>
        <v>0</v>
      </c>
      <c r="J8">
        <f t="shared" si="0"/>
        <v>0</v>
      </c>
      <c r="K8">
        <f t="shared" si="0"/>
        <v>0</v>
      </c>
      <c r="L8">
        <f t="shared" si="0"/>
        <v>0</v>
      </c>
      <c r="M8">
        <f t="shared" si="0"/>
        <v>0</v>
      </c>
      <c r="N8">
        <f t="shared" si="0"/>
        <v>0</v>
      </c>
      <c r="O8">
        <f t="shared" si="0"/>
        <v>0</v>
      </c>
      <c r="P8">
        <f t="shared" si="0"/>
        <v>27101</v>
      </c>
      <c r="Q8">
        <f t="shared" si="0"/>
        <v>0</v>
      </c>
    </row>
    <row r="9" spans="1:17" x14ac:dyDescent="0.2">
      <c r="A9" s="5" t="s">
        <v>1463</v>
      </c>
      <c r="B9" t="s">
        <v>1466</v>
      </c>
      <c r="C9" s="10">
        <f t="shared" si="1"/>
        <v>28009.983266523937</v>
      </c>
      <c r="D9">
        <f>comm_vol_gal</f>
        <v>657.97516536784633</v>
      </c>
      <c r="E9" t="s">
        <v>1466</v>
      </c>
      <c r="F9">
        <f t="shared" si="0"/>
        <v>1798.6988144679999</v>
      </c>
      <c r="G9">
        <f t="shared" si="0"/>
        <v>0.42308934100000001</v>
      </c>
      <c r="H9">
        <f t="shared" si="0"/>
        <v>0</v>
      </c>
      <c r="I9">
        <f t="shared" si="0"/>
        <v>0</v>
      </c>
      <c r="J9">
        <f t="shared" si="0"/>
        <v>0</v>
      </c>
      <c r="K9">
        <f t="shared" si="0"/>
        <v>0</v>
      </c>
      <c r="L9">
        <f t="shared" si="0"/>
        <v>0</v>
      </c>
      <c r="M9">
        <f t="shared" si="0"/>
        <v>0</v>
      </c>
      <c r="N9">
        <f t="shared" si="0"/>
        <v>0</v>
      </c>
      <c r="O9">
        <f t="shared" si="0"/>
        <v>0</v>
      </c>
      <c r="P9">
        <f t="shared" si="0"/>
        <v>27101</v>
      </c>
      <c r="Q9">
        <f t="shared" si="0"/>
        <v>0</v>
      </c>
    </row>
    <row r="10" spans="1:17" x14ac:dyDescent="0.2">
      <c r="A10" s="5" t="s">
        <v>1425</v>
      </c>
      <c r="B10" t="s">
        <v>1471</v>
      </c>
      <c r="C10" s="10">
        <f t="shared" si="1"/>
        <v>13608.236948824066</v>
      </c>
      <c r="D10">
        <f>comm_vol_gal</f>
        <v>657.97516536784633</v>
      </c>
      <c r="E10" t="s">
        <v>1471</v>
      </c>
      <c r="F10">
        <f t="shared" si="0"/>
        <v>0</v>
      </c>
      <c r="G10">
        <f t="shared" si="0"/>
        <v>0</v>
      </c>
      <c r="H10">
        <f t="shared" si="0"/>
        <v>0</v>
      </c>
      <c r="I10">
        <f t="shared" si="0"/>
        <v>0</v>
      </c>
      <c r="J10">
        <f t="shared" si="0"/>
        <v>0</v>
      </c>
      <c r="K10">
        <f t="shared" si="0"/>
        <v>0</v>
      </c>
      <c r="L10">
        <f t="shared" si="0"/>
        <v>0</v>
      </c>
      <c r="M10">
        <f t="shared" si="0"/>
        <v>2.2354919999999999E-3</v>
      </c>
      <c r="N10">
        <f t="shared" si="0"/>
        <v>18.79231828</v>
      </c>
      <c r="O10">
        <f t="shared" si="0"/>
        <v>275.54372241900001</v>
      </c>
      <c r="P10">
        <f t="shared" si="0"/>
        <v>901</v>
      </c>
      <c r="Q10">
        <f t="shared" si="0"/>
        <v>0</v>
      </c>
    </row>
    <row r="11" spans="1:17" x14ac:dyDescent="0.2">
      <c r="A11" s="13" t="s">
        <v>2213</v>
      </c>
      <c r="C11" s="10"/>
    </row>
    <row r="12" spans="1:17" x14ac:dyDescent="0.2">
      <c r="A12" s="5" t="s">
        <v>1706</v>
      </c>
      <c r="B12" s="5" t="s">
        <v>2629</v>
      </c>
      <c r="C12" s="10"/>
    </row>
    <row r="13" spans="1:17" x14ac:dyDescent="0.2">
      <c r="A13" s="87" t="s">
        <v>3752</v>
      </c>
      <c r="C13" s="10" t="str">
        <f>IF(OR(D13&gt;P13,D13&lt;Q13),"contact vendor",F13*D13^G13+H13*LN(D13)+I13+J13*EXP(K13*D13)+L13*D13^3+M13*D13^2+N13*D13+O13)</f>
        <v>contact vendor</v>
      </c>
      <c r="D13" t="str">
        <f>basin_area</f>
        <v>-</v>
      </c>
      <c r="E13" t="s">
        <v>3757</v>
      </c>
      <c r="F13">
        <f t="shared" ref="F13:Q15" si="2">VLOOKUP($E13,eq_table_cl,F$4,FALSE)</f>
        <v>0</v>
      </c>
      <c r="G13">
        <f t="shared" si="2"/>
        <v>0</v>
      </c>
      <c r="H13">
        <f t="shared" si="2"/>
        <v>0</v>
      </c>
      <c r="I13">
        <f t="shared" si="2"/>
        <v>0</v>
      </c>
      <c r="J13">
        <f t="shared" si="2"/>
        <v>0</v>
      </c>
      <c r="K13">
        <f t="shared" si="2"/>
        <v>0</v>
      </c>
      <c r="L13">
        <f t="shared" si="2"/>
        <v>-5.6289999999999998E-6</v>
      </c>
      <c r="M13">
        <f t="shared" si="2"/>
        <v>1.3916018E-2</v>
      </c>
      <c r="N13">
        <f t="shared" si="2"/>
        <v>52.090398698000001</v>
      </c>
      <c r="O13">
        <f t="shared" si="2"/>
        <v>47002.723866152999</v>
      </c>
      <c r="P13">
        <f t="shared" si="2"/>
        <v>1001</v>
      </c>
      <c r="Q13">
        <f t="shared" si="2"/>
        <v>0</v>
      </c>
    </row>
    <row r="14" spans="1:17" x14ac:dyDescent="0.2">
      <c r="A14" s="87" t="s">
        <v>3753</v>
      </c>
      <c r="C14" s="10" t="str">
        <f>IF(OR(D14&gt;P14,D14&lt;Q14),"contact vendor",F14*D14^G14+H14*LN(D14)+I14+J14*EXP(K14*D14)+L14*D14^3+M14*D14^2+N14*D14+O14)</f>
        <v>contact vendor</v>
      </c>
      <c r="D14" t="str">
        <f>basin_area</f>
        <v>-</v>
      </c>
      <c r="E14" t="s">
        <v>3758</v>
      </c>
      <c r="F14">
        <f t="shared" si="2"/>
        <v>0</v>
      </c>
      <c r="G14">
        <f t="shared" si="2"/>
        <v>0</v>
      </c>
      <c r="H14">
        <f t="shared" si="2"/>
        <v>0</v>
      </c>
      <c r="I14">
        <f t="shared" si="2"/>
        <v>0</v>
      </c>
      <c r="J14">
        <f t="shared" si="2"/>
        <v>0</v>
      </c>
      <c r="K14">
        <f t="shared" si="2"/>
        <v>0</v>
      </c>
      <c r="L14">
        <f t="shared" si="2"/>
        <v>2.5666000000000001E-5</v>
      </c>
      <c r="M14">
        <f t="shared" si="2"/>
        <v>-3.1620271999999998E-2</v>
      </c>
      <c r="N14">
        <f t="shared" si="2"/>
        <v>66.758900197000003</v>
      </c>
      <c r="O14">
        <f t="shared" si="2"/>
        <v>1888.9601026519999</v>
      </c>
      <c r="P14">
        <f t="shared" si="2"/>
        <v>1001</v>
      </c>
      <c r="Q14">
        <f t="shared" si="2"/>
        <v>0</v>
      </c>
    </row>
    <row r="15" spans="1:17" x14ac:dyDescent="0.2">
      <c r="A15" s="87" t="s">
        <v>3754</v>
      </c>
      <c r="C15" s="10" t="str">
        <f>IF(OR(D15&gt;P15,D15&lt;=Q15),"contact vendor",F15*D15^G15+H15*LN(D15)+I15+J15*EXP(K15*D15)+L15*D15^3+M15*D15^2+N15*D15+O15)</f>
        <v>contact vendor</v>
      </c>
      <c r="D15">
        <f>basin_length</f>
        <v>0</v>
      </c>
      <c r="E15" t="s">
        <v>3759</v>
      </c>
      <c r="F15">
        <f t="shared" si="2"/>
        <v>0</v>
      </c>
      <c r="G15">
        <f t="shared" si="2"/>
        <v>0</v>
      </c>
      <c r="H15">
        <f t="shared" si="2"/>
        <v>0</v>
      </c>
      <c r="I15">
        <f t="shared" si="2"/>
        <v>0</v>
      </c>
      <c r="J15">
        <f t="shared" si="2"/>
        <v>33696.395725932998</v>
      </c>
      <c r="K15">
        <f t="shared" si="2"/>
        <v>5.9381778000000003E-2</v>
      </c>
      <c r="L15">
        <f t="shared" si="2"/>
        <v>0</v>
      </c>
      <c r="M15">
        <f t="shared" si="2"/>
        <v>0</v>
      </c>
      <c r="N15">
        <f t="shared" si="2"/>
        <v>0</v>
      </c>
      <c r="O15">
        <f t="shared" si="2"/>
        <v>0</v>
      </c>
      <c r="P15">
        <f t="shared" si="2"/>
        <v>31</v>
      </c>
      <c r="Q15">
        <f t="shared" si="2"/>
        <v>0</v>
      </c>
    </row>
    <row r="16" spans="1:17" x14ac:dyDescent="0.2">
      <c r="A16" s="87" t="s">
        <v>3755</v>
      </c>
      <c r="B16" t="s">
        <v>3756</v>
      </c>
      <c r="C16" s="622">
        <f>IF(total_num_basins=0,0,IF(OR(C13="contact vendor",C14="contact vendor",C15="contact vendor"),"contact vendor",C13+(total_num_basins-1)*C14+total_num_basins*C15))</f>
        <v>0</v>
      </c>
    </row>
    <row r="17" spans="1:17" x14ac:dyDescent="0.2">
      <c r="A17" s="5" t="s">
        <v>1871</v>
      </c>
      <c r="B17" s="5" t="s">
        <v>2629</v>
      </c>
      <c r="C17" s="10"/>
    </row>
    <row r="18" spans="1:17" x14ac:dyDescent="0.2">
      <c r="A18" s="5" t="s">
        <v>1872</v>
      </c>
      <c r="B18" s="5" t="s">
        <v>2629</v>
      </c>
      <c r="C18" s="10"/>
    </row>
    <row r="19" spans="1:17" x14ac:dyDescent="0.2">
      <c r="A19" s="5" t="s">
        <v>1873</v>
      </c>
      <c r="B19" s="5" t="s">
        <v>2629</v>
      </c>
      <c r="C19" s="10"/>
    </row>
    <row r="20" spans="1:17" x14ac:dyDescent="0.2">
      <c r="A20" s="5" t="s">
        <v>1874</v>
      </c>
      <c r="B20" s="5" t="s">
        <v>2629</v>
      </c>
      <c r="C20" s="10"/>
    </row>
    <row r="21" spans="1:17" x14ac:dyDescent="0.2">
      <c r="A21" s="13" t="s">
        <v>2113</v>
      </c>
      <c r="B21" s="5"/>
      <c r="C21" s="10"/>
    </row>
    <row r="22" spans="1:17" x14ac:dyDescent="0.2">
      <c r="A22" s="5" t="s">
        <v>271</v>
      </c>
      <c r="B22" s="5" t="s">
        <v>3760</v>
      </c>
      <c r="C22" s="82">
        <f>IF(OR(D22&gt;P22,D22&lt;=Q22),"contact vendor",F22*D22^G22+H22*LN(D22)+I22+J22*EXP(K22*D22)+L22*D22^3+M22*D22^2+N22*D22+O22)</f>
        <v>2.0526337482491419</v>
      </c>
      <c r="D22">
        <f>IF(total_resin&gt;P22,P22,total_resin)</f>
        <v>4184.6014145816043</v>
      </c>
      <c r="E22" t="s">
        <v>3760</v>
      </c>
      <c r="F22">
        <f t="shared" ref="F22:Q22" si="3">VLOOKUP($E22,eq_table_cl,F$4,FALSE)</f>
        <v>0</v>
      </c>
      <c r="G22">
        <f t="shared" si="3"/>
        <v>0</v>
      </c>
      <c r="H22">
        <f t="shared" si="3"/>
        <v>0</v>
      </c>
      <c r="I22">
        <f t="shared" si="3"/>
        <v>0</v>
      </c>
      <c r="J22">
        <f t="shared" si="3"/>
        <v>2.101628083</v>
      </c>
      <c r="K22">
        <f t="shared" si="3"/>
        <v>-5.6370000000000004E-6</v>
      </c>
      <c r="L22">
        <f t="shared" si="3"/>
        <v>0</v>
      </c>
      <c r="M22">
        <f t="shared" si="3"/>
        <v>0</v>
      </c>
      <c r="N22">
        <f t="shared" si="3"/>
        <v>0</v>
      </c>
      <c r="O22">
        <f t="shared" si="3"/>
        <v>0</v>
      </c>
      <c r="P22">
        <f t="shared" si="3"/>
        <v>40000</v>
      </c>
      <c r="Q22">
        <f t="shared" si="3"/>
        <v>0</v>
      </c>
    </row>
    <row r="23" spans="1:17" x14ac:dyDescent="0.2">
      <c r="A23" s="18" t="s">
        <v>2221</v>
      </c>
      <c r="B23" s="5"/>
      <c r="C23" s="691"/>
    </row>
    <row r="24" spans="1:17" x14ac:dyDescent="0.2">
      <c r="A24" s="13" t="s">
        <v>200</v>
      </c>
      <c r="B24" s="5"/>
      <c r="C24" s="691"/>
    </row>
    <row r="25" spans="1:17" x14ac:dyDescent="0.2">
      <c r="A25" s="5" t="s">
        <v>1706</v>
      </c>
      <c r="B25" s="5" t="s">
        <v>2629</v>
      </c>
      <c r="C25" s="691"/>
    </row>
    <row r="26" spans="1:17" x14ac:dyDescent="0.2">
      <c r="A26" s="87" t="s">
        <v>3752</v>
      </c>
      <c r="C26" s="82" t="str">
        <f>IF(OR(D26&gt;P26,D26&lt;=Q26),"contact vendor",F26*D26^G26+H26*LN(D26)+I26+J26*EXP(K26*D26)+L26*D26^3+M26*D26^2+N26*D26+O26)</f>
        <v>contact vendor</v>
      </c>
      <c r="D26" t="str">
        <f>filt_basin_area</f>
        <v>-</v>
      </c>
      <c r="E26" t="s">
        <v>3757</v>
      </c>
      <c r="F26">
        <f t="shared" ref="F26:Q28" si="4">VLOOKUP($E26,eq_table_cl,F$4,FALSE)</f>
        <v>0</v>
      </c>
      <c r="G26">
        <f t="shared" si="4"/>
        <v>0</v>
      </c>
      <c r="H26">
        <f t="shared" si="4"/>
        <v>0</v>
      </c>
      <c r="I26">
        <f t="shared" si="4"/>
        <v>0</v>
      </c>
      <c r="J26">
        <f t="shared" si="4"/>
        <v>0</v>
      </c>
      <c r="K26">
        <f t="shared" si="4"/>
        <v>0</v>
      </c>
      <c r="L26">
        <f t="shared" si="4"/>
        <v>-5.6289999999999998E-6</v>
      </c>
      <c r="M26">
        <f t="shared" si="4"/>
        <v>1.3916018E-2</v>
      </c>
      <c r="N26">
        <f t="shared" si="4"/>
        <v>52.090398698000001</v>
      </c>
      <c r="O26">
        <f t="shared" si="4"/>
        <v>47002.723866152999</v>
      </c>
      <c r="P26">
        <f t="shared" si="4"/>
        <v>1001</v>
      </c>
      <c r="Q26">
        <f t="shared" si="4"/>
        <v>0</v>
      </c>
    </row>
    <row r="27" spans="1:17" x14ac:dyDescent="0.2">
      <c r="A27" s="87" t="s">
        <v>3753</v>
      </c>
      <c r="C27" s="82" t="str">
        <f>IF(OR(D27&gt;P27,D27&lt;=Q27),"contact vendor",F27*D27^G27+H27*LN(D27)+I27+J27*EXP(K27*D27)+L27*D27^3+M27*D27^2+N27*D27+O27)</f>
        <v>contact vendor</v>
      </c>
      <c r="D27" t="str">
        <f>filt_basin_area</f>
        <v>-</v>
      </c>
      <c r="E27" t="s">
        <v>3758</v>
      </c>
      <c r="F27">
        <f t="shared" si="4"/>
        <v>0</v>
      </c>
      <c r="G27">
        <f t="shared" si="4"/>
        <v>0</v>
      </c>
      <c r="H27">
        <f t="shared" si="4"/>
        <v>0</v>
      </c>
      <c r="I27">
        <f t="shared" si="4"/>
        <v>0</v>
      </c>
      <c r="J27">
        <f t="shared" si="4"/>
        <v>0</v>
      </c>
      <c r="K27">
        <f t="shared" si="4"/>
        <v>0</v>
      </c>
      <c r="L27">
        <f t="shared" si="4"/>
        <v>2.5666000000000001E-5</v>
      </c>
      <c r="M27">
        <f t="shared" si="4"/>
        <v>-3.1620271999999998E-2</v>
      </c>
      <c r="N27">
        <f t="shared" si="4"/>
        <v>66.758900197000003</v>
      </c>
      <c r="O27">
        <f t="shared" si="4"/>
        <v>1888.9601026519999</v>
      </c>
      <c r="P27">
        <f t="shared" si="4"/>
        <v>1001</v>
      </c>
      <c r="Q27">
        <f t="shared" si="4"/>
        <v>0</v>
      </c>
    </row>
    <row r="28" spans="1:17" x14ac:dyDescent="0.2">
      <c r="A28" s="87" t="s">
        <v>3754</v>
      </c>
      <c r="C28" s="82" t="str">
        <f>IF(OR(D28&gt;P28,D28&lt;=Q28),"contact vendor",F28*D28^G28+H28*LN(D28)+I28+J28*EXP(K28*D28)+L28*D28^3+M28*D28^2+N28*D28+O28)</f>
        <v>contact vendor</v>
      </c>
      <c r="D28">
        <f>filt_basin_length</f>
        <v>0</v>
      </c>
      <c r="E28" t="s">
        <v>3759</v>
      </c>
      <c r="F28">
        <f t="shared" si="4"/>
        <v>0</v>
      </c>
      <c r="G28">
        <f t="shared" si="4"/>
        <v>0</v>
      </c>
      <c r="H28">
        <f t="shared" si="4"/>
        <v>0</v>
      </c>
      <c r="I28">
        <f t="shared" si="4"/>
        <v>0</v>
      </c>
      <c r="J28">
        <f t="shared" si="4"/>
        <v>33696.395725932998</v>
      </c>
      <c r="K28">
        <f t="shared" si="4"/>
        <v>5.9381778000000003E-2</v>
      </c>
      <c r="L28">
        <f t="shared" si="4"/>
        <v>0</v>
      </c>
      <c r="M28">
        <f t="shared" si="4"/>
        <v>0</v>
      </c>
      <c r="N28">
        <f t="shared" si="4"/>
        <v>0</v>
      </c>
      <c r="O28">
        <f t="shared" si="4"/>
        <v>0</v>
      </c>
      <c r="P28">
        <f t="shared" si="4"/>
        <v>31</v>
      </c>
      <c r="Q28">
        <f t="shared" si="4"/>
        <v>0</v>
      </c>
    </row>
    <row r="29" spans="1:17" x14ac:dyDescent="0.2">
      <c r="A29" s="87" t="s">
        <v>3755</v>
      </c>
      <c r="B29" s="5" t="s">
        <v>3765</v>
      </c>
      <c r="C29" s="622">
        <f>IF(total_num_filt_basins=0,0,IF(OR(C26="contact vendor",C27="contact vendor",C28="contact vendor"),"contact vendor",C26+(total_num_filt_basins-1)*C27+total_num_filt_basins*C28))</f>
        <v>0</v>
      </c>
    </row>
    <row r="30" spans="1:17" x14ac:dyDescent="0.2">
      <c r="A30" s="5" t="s">
        <v>1871</v>
      </c>
      <c r="B30" s="5" t="s">
        <v>2629</v>
      </c>
      <c r="C30" s="691"/>
    </row>
    <row r="31" spans="1:17" x14ac:dyDescent="0.2">
      <c r="A31" s="5" t="s">
        <v>1872</v>
      </c>
      <c r="B31" s="5" t="s">
        <v>2629</v>
      </c>
      <c r="C31" s="691"/>
    </row>
    <row r="32" spans="1:17" x14ac:dyDescent="0.2">
      <c r="A32" s="5" t="s">
        <v>1873</v>
      </c>
      <c r="B32" s="5" t="s">
        <v>2629</v>
      </c>
      <c r="C32" s="691"/>
    </row>
    <row r="33" spans="1:17" x14ac:dyDescent="0.2">
      <c r="A33" s="5" t="s">
        <v>1874</v>
      </c>
      <c r="B33" s="5" t="s">
        <v>2629</v>
      </c>
      <c r="C33" s="691"/>
    </row>
    <row r="34" spans="1:17" x14ac:dyDescent="0.2">
      <c r="A34" s="13" t="s">
        <v>1420</v>
      </c>
      <c r="B34" s="5"/>
      <c r="C34" s="691"/>
    </row>
    <row r="35" spans="1:17" x14ac:dyDescent="0.2">
      <c r="A35" s="5" t="s">
        <v>1421</v>
      </c>
      <c r="B35" s="5" t="s">
        <v>3766</v>
      </c>
      <c r="C35" s="82">
        <f>IF(OR(D35&gt;P35,D35&lt;=Q35),"contact vendor",F35*D35^G35+H35*LN(D35)+I35+J35*EXP(K35*D35)+L35*D35^3+M35*D35^2+N35*D35+O35)</f>
        <v>47673.702280616591</v>
      </c>
      <c r="D35">
        <f>comm_vol_gal_filt</f>
        <v>751.97161756325295</v>
      </c>
      <c r="E35" t="s">
        <v>2628</v>
      </c>
      <c r="F35">
        <f t="shared" ref="F35:Q38" si="5">VLOOKUP($E35,eq_table_cl,F$4,FALSE)</f>
        <v>0</v>
      </c>
      <c r="G35">
        <f t="shared" si="5"/>
        <v>0</v>
      </c>
      <c r="H35">
        <f t="shared" si="5"/>
        <v>0</v>
      </c>
      <c r="I35">
        <f t="shared" si="5"/>
        <v>0</v>
      </c>
      <c r="J35">
        <f t="shared" si="5"/>
        <v>0</v>
      </c>
      <c r="K35">
        <f t="shared" si="5"/>
        <v>0</v>
      </c>
      <c r="L35">
        <f t="shared" si="5"/>
        <v>4.0000000000000001E-8</v>
      </c>
      <c r="M35">
        <f t="shared" si="5"/>
        <v>-1.6522430000000001E-3</v>
      </c>
      <c r="N35">
        <f t="shared" si="5"/>
        <v>26.487093706</v>
      </c>
      <c r="O35">
        <f t="shared" si="5"/>
        <v>28673.43064482</v>
      </c>
      <c r="P35">
        <f t="shared" si="5"/>
        <v>27101</v>
      </c>
      <c r="Q35">
        <f t="shared" si="5"/>
        <v>0</v>
      </c>
    </row>
    <row r="36" spans="1:17" x14ac:dyDescent="0.2">
      <c r="A36" s="5" t="s">
        <v>1462</v>
      </c>
      <c r="B36" s="5" t="s">
        <v>3767</v>
      </c>
      <c r="C36" s="82">
        <f>IF(OR(D36&gt;P36,D36&lt;=Q36),"contact vendor",F36*D36^G36+H36*LN(D36)+I36+J36*EXP(K36*D36)+L36*D36^3+M36*D36^2+N36*D36+O36)</f>
        <v>33479.127331452597</v>
      </c>
      <c r="D36">
        <f>comm_vol_gal_filt</f>
        <v>751.97161756325295</v>
      </c>
      <c r="E36" t="s">
        <v>1465</v>
      </c>
      <c r="F36">
        <f t="shared" si="5"/>
        <v>1596.499332614</v>
      </c>
      <c r="G36">
        <f t="shared" si="5"/>
        <v>0.45949680900000001</v>
      </c>
      <c r="H36">
        <f t="shared" si="5"/>
        <v>0</v>
      </c>
      <c r="I36">
        <f t="shared" si="5"/>
        <v>0</v>
      </c>
      <c r="J36">
        <f t="shared" si="5"/>
        <v>0</v>
      </c>
      <c r="K36">
        <f t="shared" si="5"/>
        <v>0</v>
      </c>
      <c r="L36">
        <f t="shared" si="5"/>
        <v>0</v>
      </c>
      <c r="M36">
        <f t="shared" si="5"/>
        <v>0</v>
      </c>
      <c r="N36">
        <f t="shared" si="5"/>
        <v>0</v>
      </c>
      <c r="O36">
        <f t="shared" si="5"/>
        <v>0</v>
      </c>
      <c r="P36">
        <f t="shared" si="5"/>
        <v>27101</v>
      </c>
      <c r="Q36">
        <f t="shared" si="5"/>
        <v>0</v>
      </c>
    </row>
    <row r="37" spans="1:17" x14ac:dyDescent="0.2">
      <c r="A37" s="5" t="s">
        <v>1463</v>
      </c>
      <c r="B37" s="5" t="s">
        <v>3768</v>
      </c>
      <c r="C37" s="82">
        <f>IF(OR(D37&gt;P37,D37&lt;=Q37),"contact vendor",F37*D37^G37+H37*LN(D37)+I37+J37*EXP(K37*D37)+L37*D37^3+M37*D37^2+N37*D37+O37)</f>
        <v>29637.98159484889</v>
      </c>
      <c r="D37">
        <f>comm_vol_gal_filt</f>
        <v>751.97161756325295</v>
      </c>
      <c r="E37" t="s">
        <v>1466</v>
      </c>
      <c r="F37">
        <f t="shared" si="5"/>
        <v>1798.6988144679999</v>
      </c>
      <c r="G37">
        <f t="shared" si="5"/>
        <v>0.42308934100000001</v>
      </c>
      <c r="H37">
        <f t="shared" si="5"/>
        <v>0</v>
      </c>
      <c r="I37">
        <f t="shared" si="5"/>
        <v>0</v>
      </c>
      <c r="J37">
        <f t="shared" si="5"/>
        <v>0</v>
      </c>
      <c r="K37">
        <f t="shared" si="5"/>
        <v>0</v>
      </c>
      <c r="L37">
        <f t="shared" si="5"/>
        <v>0</v>
      </c>
      <c r="M37">
        <f t="shared" si="5"/>
        <v>0</v>
      </c>
      <c r="N37">
        <f t="shared" si="5"/>
        <v>0</v>
      </c>
      <c r="O37">
        <f t="shared" si="5"/>
        <v>0</v>
      </c>
      <c r="P37">
        <f t="shared" si="5"/>
        <v>27101</v>
      </c>
      <c r="Q37">
        <f t="shared" si="5"/>
        <v>0</v>
      </c>
    </row>
    <row r="38" spans="1:17" x14ac:dyDescent="0.2">
      <c r="A38" s="5" t="s">
        <v>1425</v>
      </c>
      <c r="B38" s="5" t="s">
        <v>3769</v>
      </c>
      <c r="C38" s="82">
        <f>IF(OR(D38&gt;P38,D38&lt;=Q38),"contact vendor",F38*D38^G38+H38*LN(D38)+I38+J38*EXP(K38*D38)+L38*D38^3+M38*D38^2+N38*D38+O38)</f>
        <v>15670.917940102641</v>
      </c>
      <c r="D38">
        <f>comm_vol_gal_filt</f>
        <v>751.97161756325295</v>
      </c>
      <c r="E38" t="s">
        <v>1471</v>
      </c>
      <c r="F38">
        <f t="shared" si="5"/>
        <v>0</v>
      </c>
      <c r="G38">
        <f t="shared" si="5"/>
        <v>0</v>
      </c>
      <c r="H38">
        <f t="shared" si="5"/>
        <v>0</v>
      </c>
      <c r="I38">
        <f t="shared" si="5"/>
        <v>0</v>
      </c>
      <c r="J38">
        <f t="shared" si="5"/>
        <v>0</v>
      </c>
      <c r="K38">
        <f t="shared" si="5"/>
        <v>0</v>
      </c>
      <c r="L38">
        <f t="shared" si="5"/>
        <v>0</v>
      </c>
      <c r="M38">
        <f t="shared" si="5"/>
        <v>2.2354919999999999E-3</v>
      </c>
      <c r="N38">
        <f t="shared" si="5"/>
        <v>18.79231828</v>
      </c>
      <c r="O38">
        <f t="shared" si="5"/>
        <v>275.54372241900001</v>
      </c>
      <c r="P38">
        <f t="shared" si="5"/>
        <v>901</v>
      </c>
      <c r="Q38">
        <f t="shared" si="5"/>
        <v>0</v>
      </c>
    </row>
    <row r="39" spans="1:17" x14ac:dyDescent="0.2">
      <c r="A39" s="13" t="s">
        <v>2113</v>
      </c>
      <c r="B39" s="5"/>
      <c r="C39" s="10"/>
    </row>
    <row r="40" spans="1:17" x14ac:dyDescent="0.2">
      <c r="A40" s="5" t="s">
        <v>271</v>
      </c>
      <c r="B40" s="5" t="s">
        <v>3770</v>
      </c>
      <c r="C40" s="82" t="str">
        <f>IF(OR(D40&gt;P40,D40&lt;=Q40),"contact vendor",F40*D40^G40+H40*LN(D40)+I40+J40*EXP(K40*D40)+L40*D40^3+M40*D40^2+N40*D40+O40)</f>
        <v>contact vendor</v>
      </c>
      <c r="D40">
        <f>IF(filt_GAC&gt;P40,P40,filt_GAC)</f>
        <v>0</v>
      </c>
      <c r="E40" t="s">
        <v>3760</v>
      </c>
      <c r="F40">
        <f t="shared" ref="F40:Q40" si="6">VLOOKUP($E40,eq_table_cl,F$4,FALSE)</f>
        <v>0</v>
      </c>
      <c r="G40">
        <f t="shared" si="6"/>
        <v>0</v>
      </c>
      <c r="H40">
        <f t="shared" si="6"/>
        <v>0</v>
      </c>
      <c r="I40">
        <f t="shared" si="6"/>
        <v>0</v>
      </c>
      <c r="J40">
        <f t="shared" si="6"/>
        <v>2.101628083</v>
      </c>
      <c r="K40">
        <f t="shared" si="6"/>
        <v>-5.6370000000000004E-6</v>
      </c>
      <c r="L40">
        <f t="shared" si="6"/>
        <v>0</v>
      </c>
      <c r="M40">
        <f t="shared" si="6"/>
        <v>0</v>
      </c>
      <c r="N40">
        <f t="shared" si="6"/>
        <v>0</v>
      </c>
      <c r="O40">
        <f t="shared" si="6"/>
        <v>0</v>
      </c>
      <c r="P40">
        <f t="shared" si="6"/>
        <v>40000</v>
      </c>
      <c r="Q40">
        <f t="shared" si="6"/>
        <v>0</v>
      </c>
    </row>
    <row r="41" spans="1:17" x14ac:dyDescent="0.2">
      <c r="A41" s="18" t="s">
        <v>1423</v>
      </c>
      <c r="C41" s="10"/>
    </row>
    <row r="42" spans="1:17" x14ac:dyDescent="0.2">
      <c r="A42" s="13" t="s">
        <v>1424</v>
      </c>
      <c r="C42" s="10"/>
    </row>
    <row r="43" spans="1:17" x14ac:dyDescent="0.2">
      <c r="A43" s="5" t="s">
        <v>581</v>
      </c>
      <c r="B43" t="s">
        <v>2630</v>
      </c>
      <c r="C43" s="82" t="str">
        <f t="shared" ref="C43:C45" si="7">IF(OR(D43&gt;P43,D43&lt;=Q43),"contact vendor",F43*D43^G43+H43*LN(D43)+I43+J43*EXP(K43*D43)+L43*D43^3+M43*D43^2+N43*D43+O43)</f>
        <v>contact vendor</v>
      </c>
      <c r="D43">
        <f>back_tank_vol</f>
        <v>0</v>
      </c>
      <c r="E43" t="s">
        <v>2630</v>
      </c>
      <c r="F43">
        <f t="shared" ref="F43:Q45" si="8">VLOOKUP($E43,eq_table_cl,F$4,FALSE)</f>
        <v>308.93713092600001</v>
      </c>
      <c r="G43">
        <f t="shared" si="8"/>
        <v>0.50146757099999995</v>
      </c>
      <c r="H43">
        <f t="shared" si="8"/>
        <v>0</v>
      </c>
      <c r="I43">
        <f t="shared" si="8"/>
        <v>0</v>
      </c>
      <c r="J43">
        <f t="shared" si="8"/>
        <v>0</v>
      </c>
      <c r="K43">
        <f t="shared" si="8"/>
        <v>0</v>
      </c>
      <c r="L43">
        <f t="shared" si="8"/>
        <v>0</v>
      </c>
      <c r="M43">
        <f t="shared" si="8"/>
        <v>0</v>
      </c>
      <c r="N43">
        <f t="shared" si="8"/>
        <v>0</v>
      </c>
      <c r="O43">
        <f t="shared" si="8"/>
        <v>0</v>
      </c>
      <c r="P43">
        <f t="shared" si="8"/>
        <v>289001</v>
      </c>
      <c r="Q43">
        <f t="shared" si="8"/>
        <v>0</v>
      </c>
    </row>
    <row r="44" spans="1:17" x14ac:dyDescent="0.2">
      <c r="A44" s="5" t="s">
        <v>1425</v>
      </c>
      <c r="B44" t="s">
        <v>1467</v>
      </c>
      <c r="C44" s="82" t="str">
        <f t="shared" si="7"/>
        <v>contact vendor</v>
      </c>
      <c r="D44">
        <f>back_tank_vol</f>
        <v>0</v>
      </c>
      <c r="E44" t="s">
        <v>1467</v>
      </c>
      <c r="F44">
        <f t="shared" si="8"/>
        <v>135.281859973</v>
      </c>
      <c r="G44">
        <f t="shared" si="8"/>
        <v>0.66222618499999997</v>
      </c>
      <c r="H44">
        <f t="shared" si="8"/>
        <v>0</v>
      </c>
      <c r="I44">
        <f t="shared" si="8"/>
        <v>0</v>
      </c>
      <c r="J44">
        <f t="shared" si="8"/>
        <v>0</v>
      </c>
      <c r="K44">
        <f t="shared" si="8"/>
        <v>0</v>
      </c>
      <c r="L44">
        <f t="shared" si="8"/>
        <v>0</v>
      </c>
      <c r="M44">
        <f t="shared" si="8"/>
        <v>0</v>
      </c>
      <c r="N44">
        <f t="shared" si="8"/>
        <v>0</v>
      </c>
      <c r="O44">
        <f t="shared" si="8"/>
        <v>0</v>
      </c>
      <c r="P44">
        <f t="shared" si="8"/>
        <v>20001</v>
      </c>
      <c r="Q44">
        <f t="shared" si="8"/>
        <v>0</v>
      </c>
    </row>
    <row r="45" spans="1:17" x14ac:dyDescent="0.2">
      <c r="A45" s="5" t="s">
        <v>3928</v>
      </c>
      <c r="B45" t="s">
        <v>1468</v>
      </c>
      <c r="C45" s="82" t="str">
        <f t="shared" si="7"/>
        <v>contact vendor</v>
      </c>
      <c r="D45">
        <f>back_tank_vol</f>
        <v>0</v>
      </c>
      <c r="E45" t="s">
        <v>1468</v>
      </c>
      <c r="F45">
        <f t="shared" si="8"/>
        <v>0</v>
      </c>
      <c r="G45">
        <f t="shared" si="8"/>
        <v>0</v>
      </c>
      <c r="H45">
        <f t="shared" si="8"/>
        <v>0</v>
      </c>
      <c r="I45">
        <f t="shared" si="8"/>
        <v>0</v>
      </c>
      <c r="J45">
        <f t="shared" si="8"/>
        <v>0</v>
      </c>
      <c r="K45">
        <f t="shared" si="8"/>
        <v>0</v>
      </c>
      <c r="L45">
        <f t="shared" si="8"/>
        <v>3E-9</v>
      </c>
      <c r="M45">
        <f t="shared" si="8"/>
        <v>-4.4866E-5</v>
      </c>
      <c r="N45">
        <f t="shared" si="8"/>
        <v>2.0973282219999998</v>
      </c>
      <c r="O45">
        <f t="shared" si="8"/>
        <v>434.23312942000001</v>
      </c>
      <c r="P45">
        <f t="shared" si="8"/>
        <v>16502</v>
      </c>
      <c r="Q45">
        <f t="shared" si="8"/>
        <v>0</v>
      </c>
    </row>
    <row r="46" spans="1:17" x14ac:dyDescent="0.2">
      <c r="A46" s="13" t="s">
        <v>2871</v>
      </c>
      <c r="C46" s="10"/>
    </row>
    <row r="47" spans="1:17" x14ac:dyDescent="0.2">
      <c r="A47" s="5" t="s">
        <v>581</v>
      </c>
      <c r="B47" s="5" t="s">
        <v>2872</v>
      </c>
      <c r="C47" s="82">
        <f t="shared" ref="C47:C49" si="9">IF(OR(D47&gt;P47,D47&lt;=Q47),"contact vendor",F47*D47^G47+H47*LN(D47)+I47+J47*EXP(K47*D47)+L47*D47^3+M47*D47^2+N47*D47+O47)</f>
        <v>2984.5342892602334</v>
      </c>
      <c r="D47">
        <f>aeration_tank_vol</f>
        <v>92.097445038621501</v>
      </c>
      <c r="E47" t="s">
        <v>2630</v>
      </c>
      <c r="F47">
        <f t="shared" ref="F47:Q49" si="10">VLOOKUP($E47,eq_table_cl,F$4,FALSE)</f>
        <v>308.93713092600001</v>
      </c>
      <c r="G47">
        <f t="shared" si="10"/>
        <v>0.50146757099999995</v>
      </c>
      <c r="H47">
        <f t="shared" si="10"/>
        <v>0</v>
      </c>
      <c r="I47">
        <f t="shared" si="10"/>
        <v>0</v>
      </c>
      <c r="J47">
        <f t="shared" si="10"/>
        <v>0</v>
      </c>
      <c r="K47">
        <f t="shared" si="10"/>
        <v>0</v>
      </c>
      <c r="L47">
        <f t="shared" si="10"/>
        <v>0</v>
      </c>
      <c r="M47">
        <f t="shared" si="10"/>
        <v>0</v>
      </c>
      <c r="N47">
        <f t="shared" si="10"/>
        <v>0</v>
      </c>
      <c r="O47">
        <f t="shared" si="10"/>
        <v>0</v>
      </c>
      <c r="P47">
        <f t="shared" si="10"/>
        <v>289001</v>
      </c>
      <c r="Q47">
        <f t="shared" si="10"/>
        <v>0</v>
      </c>
    </row>
    <row r="48" spans="1:17" x14ac:dyDescent="0.2">
      <c r="A48" s="5" t="s">
        <v>1425</v>
      </c>
      <c r="B48" s="5" t="s">
        <v>2873</v>
      </c>
      <c r="C48" s="82">
        <f t="shared" si="9"/>
        <v>2704.056417171405</v>
      </c>
      <c r="D48">
        <f>aeration_tank_vol</f>
        <v>92.097445038621501</v>
      </c>
      <c r="E48" t="s">
        <v>1467</v>
      </c>
      <c r="F48">
        <f t="shared" si="10"/>
        <v>135.281859973</v>
      </c>
      <c r="G48">
        <f t="shared" si="10"/>
        <v>0.66222618499999997</v>
      </c>
      <c r="H48">
        <f t="shared" si="10"/>
        <v>0</v>
      </c>
      <c r="I48">
        <f t="shared" si="10"/>
        <v>0</v>
      </c>
      <c r="J48">
        <f t="shared" si="10"/>
        <v>0</v>
      </c>
      <c r="K48">
        <f t="shared" si="10"/>
        <v>0</v>
      </c>
      <c r="L48">
        <f t="shared" si="10"/>
        <v>0</v>
      </c>
      <c r="M48">
        <f t="shared" si="10"/>
        <v>0</v>
      </c>
      <c r="N48">
        <f t="shared" si="10"/>
        <v>0</v>
      </c>
      <c r="O48">
        <f t="shared" si="10"/>
        <v>0</v>
      </c>
      <c r="P48">
        <f t="shared" si="10"/>
        <v>20001</v>
      </c>
      <c r="Q48">
        <f t="shared" si="10"/>
        <v>0</v>
      </c>
    </row>
    <row r="49" spans="1:17" x14ac:dyDescent="0.2">
      <c r="A49" s="5" t="s">
        <v>3928</v>
      </c>
      <c r="B49" s="5" t="s">
        <v>2874</v>
      </c>
      <c r="C49" s="82">
        <f t="shared" si="9"/>
        <v>627.0134928760915</v>
      </c>
      <c r="D49">
        <f>aeration_tank_vol</f>
        <v>92.097445038621501</v>
      </c>
      <c r="E49" t="s">
        <v>1468</v>
      </c>
      <c r="F49">
        <f t="shared" si="10"/>
        <v>0</v>
      </c>
      <c r="G49">
        <f t="shared" si="10"/>
        <v>0</v>
      </c>
      <c r="H49">
        <f t="shared" si="10"/>
        <v>0</v>
      </c>
      <c r="I49">
        <f t="shared" si="10"/>
        <v>0</v>
      </c>
      <c r="J49">
        <f t="shared" si="10"/>
        <v>0</v>
      </c>
      <c r="K49">
        <f t="shared" si="10"/>
        <v>0</v>
      </c>
      <c r="L49">
        <f t="shared" si="10"/>
        <v>3E-9</v>
      </c>
      <c r="M49">
        <f t="shared" si="10"/>
        <v>-4.4866E-5</v>
      </c>
      <c r="N49">
        <f t="shared" si="10"/>
        <v>2.0973282219999998</v>
      </c>
      <c r="O49">
        <f t="shared" si="10"/>
        <v>434.23312942000001</v>
      </c>
      <c r="P49">
        <f t="shared" si="10"/>
        <v>16502</v>
      </c>
      <c r="Q49">
        <f t="shared" si="10"/>
        <v>0</v>
      </c>
    </row>
    <row r="50" spans="1:17" x14ac:dyDescent="0.2">
      <c r="A50" s="13" t="s">
        <v>2877</v>
      </c>
    </row>
    <row r="51" spans="1:17" x14ac:dyDescent="0.2">
      <c r="A51" s="5" t="s">
        <v>2876</v>
      </c>
      <c r="B51" t="s">
        <v>2878</v>
      </c>
      <c r="C51" s="82">
        <f>IF(OR(D51&gt;P51,D51&lt;=Q51),"contact vendor",F51*D51^G51+H51*LN(D51)+I51+J51*EXP(K51*D51)+L51*D51^3+M51*D51^2+N51*D51+O51)</f>
        <v>48.146978400651619</v>
      </c>
      <c r="D51">
        <f>diffuser_size</f>
        <v>5.5972222222222232</v>
      </c>
      <c r="E51" t="s">
        <v>2878</v>
      </c>
      <c r="F51">
        <f t="shared" ref="F51:Q51" si="11">VLOOKUP($E51,eq_table_cl,F$4,FALSE)</f>
        <v>0</v>
      </c>
      <c r="G51">
        <f t="shared" si="11"/>
        <v>0</v>
      </c>
      <c r="H51">
        <f t="shared" si="11"/>
        <v>0</v>
      </c>
      <c r="I51">
        <f t="shared" si="11"/>
        <v>0</v>
      </c>
      <c r="J51">
        <f t="shared" si="11"/>
        <v>0</v>
      </c>
      <c r="K51">
        <f t="shared" si="11"/>
        <v>0</v>
      </c>
      <c r="L51">
        <f t="shared" si="11"/>
        <v>0</v>
      </c>
      <c r="M51">
        <f t="shared" si="11"/>
        <v>-2.3124966E-2</v>
      </c>
      <c r="N51">
        <f t="shared" si="11"/>
        <v>2.2970755230000002</v>
      </c>
      <c r="O51">
        <f t="shared" si="11"/>
        <v>36.014215905999997</v>
      </c>
      <c r="P51">
        <f t="shared" si="11"/>
        <v>44.1</v>
      </c>
      <c r="Q51">
        <f t="shared" si="11"/>
        <v>0</v>
      </c>
    </row>
    <row r="52" spans="1:17" x14ac:dyDescent="0.2">
      <c r="A52" s="13" t="s">
        <v>2038</v>
      </c>
      <c r="C52" s="10"/>
    </row>
    <row r="53" spans="1:17" x14ac:dyDescent="0.2">
      <c r="A53" s="5" t="s">
        <v>3928</v>
      </c>
      <c r="B53" t="s">
        <v>2042</v>
      </c>
      <c r="C53" s="82">
        <f t="shared" ref="C53:C55" si="12">IF(OR(D53&gt;P53,D53&lt;=Q53),"contact vendor",F53*D53^G53+H53*LN(D53)+I53+J53*EXP(K53*D53)+L53*D53^3+M53*D53^2+N53*D53+O53)</f>
        <v>771.00190020899993</v>
      </c>
      <c r="D53">
        <f>e_donor_tank_vol</f>
        <v>53</v>
      </c>
      <c r="E53" t="s">
        <v>3142</v>
      </c>
      <c r="F53">
        <f t="shared" ref="F53:Q55" si="13">VLOOKUP($E53,eq_table_cl,F$4,FALSE)</f>
        <v>0</v>
      </c>
      <c r="G53">
        <f t="shared" si="13"/>
        <v>0</v>
      </c>
      <c r="H53">
        <f t="shared" si="13"/>
        <v>0</v>
      </c>
      <c r="I53">
        <f t="shared" si="13"/>
        <v>0</v>
      </c>
      <c r="J53">
        <f t="shared" si="13"/>
        <v>0</v>
      </c>
      <c r="K53">
        <f t="shared" si="13"/>
        <v>0</v>
      </c>
      <c r="L53">
        <f t="shared" si="13"/>
        <v>0</v>
      </c>
      <c r="M53">
        <f t="shared" si="13"/>
        <v>1.89841E-4</v>
      </c>
      <c r="N53">
        <f t="shared" si="13"/>
        <v>1.125069329</v>
      </c>
      <c r="O53">
        <f t="shared" si="13"/>
        <v>710.83996240299996</v>
      </c>
      <c r="P53">
        <f t="shared" si="13"/>
        <v>6601</v>
      </c>
      <c r="Q53">
        <f t="shared" si="13"/>
        <v>0</v>
      </c>
    </row>
    <row r="54" spans="1:17" x14ac:dyDescent="0.2">
      <c r="A54" s="5" t="s">
        <v>1425</v>
      </c>
      <c r="B54" t="s">
        <v>2043</v>
      </c>
      <c r="C54" s="82">
        <f t="shared" si="12"/>
        <v>2315.3704028907514</v>
      </c>
      <c r="D54">
        <f>e_donor_tank_vol</f>
        <v>53</v>
      </c>
      <c r="E54" t="s">
        <v>3143</v>
      </c>
      <c r="F54">
        <f t="shared" si="13"/>
        <v>259.35532937099998</v>
      </c>
      <c r="G54">
        <f t="shared" si="13"/>
        <v>0.55137656199999996</v>
      </c>
      <c r="H54">
        <f t="shared" si="13"/>
        <v>0</v>
      </c>
      <c r="I54">
        <f t="shared" si="13"/>
        <v>0</v>
      </c>
      <c r="J54">
        <f t="shared" si="13"/>
        <v>0</v>
      </c>
      <c r="K54">
        <f t="shared" si="13"/>
        <v>0</v>
      </c>
      <c r="L54">
        <f t="shared" si="13"/>
        <v>0</v>
      </c>
      <c r="M54">
        <f t="shared" si="13"/>
        <v>0</v>
      </c>
      <c r="N54">
        <f t="shared" si="13"/>
        <v>0</v>
      </c>
      <c r="O54">
        <f t="shared" si="13"/>
        <v>0</v>
      </c>
      <c r="P54">
        <f t="shared" si="13"/>
        <v>30001</v>
      </c>
      <c r="Q54">
        <f t="shared" si="13"/>
        <v>0</v>
      </c>
    </row>
    <row r="55" spans="1:17" x14ac:dyDescent="0.2">
      <c r="A55" s="5" t="s">
        <v>1421</v>
      </c>
      <c r="B55" t="s">
        <v>3780</v>
      </c>
      <c r="C55" s="82">
        <f t="shared" si="12"/>
        <v>1031.8046719878387</v>
      </c>
      <c r="D55">
        <f>e_donor_tank_vol</f>
        <v>53</v>
      </c>
      <c r="E55" t="s">
        <v>3781</v>
      </c>
      <c r="F55">
        <f t="shared" si="13"/>
        <v>57.021589231</v>
      </c>
      <c r="G55">
        <f t="shared" si="13"/>
        <v>0.72932539100000005</v>
      </c>
      <c r="H55">
        <f t="shared" si="13"/>
        <v>0</v>
      </c>
      <c r="I55">
        <f t="shared" si="13"/>
        <v>0</v>
      </c>
      <c r="J55">
        <f t="shared" si="13"/>
        <v>0</v>
      </c>
      <c r="K55">
        <f t="shared" si="13"/>
        <v>0</v>
      </c>
      <c r="L55">
        <f t="shared" si="13"/>
        <v>0</v>
      </c>
      <c r="M55">
        <f t="shared" si="13"/>
        <v>0</v>
      </c>
      <c r="N55">
        <f t="shared" si="13"/>
        <v>0</v>
      </c>
      <c r="O55">
        <f t="shared" si="13"/>
        <v>0</v>
      </c>
      <c r="P55">
        <f t="shared" si="13"/>
        <v>30001</v>
      </c>
      <c r="Q55">
        <f t="shared" si="13"/>
        <v>0</v>
      </c>
    </row>
    <row r="56" spans="1:17" x14ac:dyDescent="0.2">
      <c r="A56" s="13" t="s">
        <v>2041</v>
      </c>
      <c r="C56" s="10"/>
    </row>
    <row r="57" spans="1:17" x14ac:dyDescent="0.2">
      <c r="A57" s="5" t="s">
        <v>3928</v>
      </c>
      <c r="B57" t="s">
        <v>2044</v>
      </c>
      <c r="C57" s="82" t="str">
        <f t="shared" ref="C57:C59" si="14">IF(OR(D57&gt;P57,D57&lt;=Q57),"contact vendor",F57*D57^G57+H57*LN(D57)+I57+J57*EXP(K57*D57)+L57*D57^3+M57*D57^2+N57*D57+O57)</f>
        <v>contact vendor</v>
      </c>
      <c r="D57">
        <f>NH4Cl_tank_vol</f>
        <v>0</v>
      </c>
      <c r="E57" t="s">
        <v>3142</v>
      </c>
      <c r="F57">
        <f t="shared" ref="F57:Q59" si="15">VLOOKUP($E57,eq_table_cl,F$4,FALSE)</f>
        <v>0</v>
      </c>
      <c r="G57">
        <f t="shared" si="15"/>
        <v>0</v>
      </c>
      <c r="H57">
        <f t="shared" si="15"/>
        <v>0</v>
      </c>
      <c r="I57">
        <f t="shared" si="15"/>
        <v>0</v>
      </c>
      <c r="J57">
        <f t="shared" si="15"/>
        <v>0</v>
      </c>
      <c r="K57">
        <f t="shared" si="15"/>
        <v>0</v>
      </c>
      <c r="L57">
        <f t="shared" si="15"/>
        <v>0</v>
      </c>
      <c r="M57">
        <f t="shared" si="15"/>
        <v>1.89841E-4</v>
      </c>
      <c r="N57">
        <f t="shared" si="15"/>
        <v>1.125069329</v>
      </c>
      <c r="O57">
        <f t="shared" si="15"/>
        <v>710.83996240299996</v>
      </c>
      <c r="P57">
        <f t="shared" si="15"/>
        <v>6601</v>
      </c>
      <c r="Q57">
        <f t="shared" si="15"/>
        <v>0</v>
      </c>
    </row>
    <row r="58" spans="1:17" ht="14.25" customHeight="1" x14ac:dyDescent="0.2">
      <c r="A58" s="5" t="s">
        <v>1425</v>
      </c>
      <c r="B58" t="s">
        <v>2045</v>
      </c>
      <c r="C58" s="82" t="str">
        <f t="shared" si="14"/>
        <v>contact vendor</v>
      </c>
      <c r="D58">
        <f>NH4Cl_tank_vol</f>
        <v>0</v>
      </c>
      <c r="E58" t="s">
        <v>3143</v>
      </c>
      <c r="F58">
        <f t="shared" si="15"/>
        <v>259.35532937099998</v>
      </c>
      <c r="G58">
        <f t="shared" si="15"/>
        <v>0.55137656199999996</v>
      </c>
      <c r="H58">
        <f t="shared" si="15"/>
        <v>0</v>
      </c>
      <c r="I58">
        <f t="shared" si="15"/>
        <v>0</v>
      </c>
      <c r="J58">
        <f t="shared" si="15"/>
        <v>0</v>
      </c>
      <c r="K58">
        <f t="shared" si="15"/>
        <v>0</v>
      </c>
      <c r="L58">
        <f t="shared" si="15"/>
        <v>0</v>
      </c>
      <c r="M58">
        <f t="shared" si="15"/>
        <v>0</v>
      </c>
      <c r="N58">
        <f t="shared" si="15"/>
        <v>0</v>
      </c>
      <c r="O58">
        <f t="shared" si="15"/>
        <v>0</v>
      </c>
      <c r="P58">
        <f t="shared" si="15"/>
        <v>30001</v>
      </c>
      <c r="Q58">
        <f t="shared" si="15"/>
        <v>0</v>
      </c>
    </row>
    <row r="59" spans="1:17" ht="14.25" customHeight="1" x14ac:dyDescent="0.2">
      <c r="A59" s="5" t="s">
        <v>1421</v>
      </c>
      <c r="B59" t="s">
        <v>3782</v>
      </c>
      <c r="C59" s="82" t="str">
        <f t="shared" si="14"/>
        <v>contact vendor</v>
      </c>
      <c r="D59">
        <f>NH4Cl_tank_vol</f>
        <v>0</v>
      </c>
      <c r="E59" t="s">
        <v>3781</v>
      </c>
      <c r="F59">
        <f t="shared" si="15"/>
        <v>57.021589231</v>
      </c>
      <c r="G59">
        <f t="shared" si="15"/>
        <v>0.72932539100000005</v>
      </c>
      <c r="H59">
        <f t="shared" si="15"/>
        <v>0</v>
      </c>
      <c r="I59">
        <f t="shared" si="15"/>
        <v>0</v>
      </c>
      <c r="J59">
        <f t="shared" si="15"/>
        <v>0</v>
      </c>
      <c r="K59">
        <f t="shared" si="15"/>
        <v>0</v>
      </c>
      <c r="L59">
        <f t="shared" si="15"/>
        <v>0</v>
      </c>
      <c r="M59">
        <f t="shared" si="15"/>
        <v>0</v>
      </c>
      <c r="N59">
        <f t="shared" si="15"/>
        <v>0</v>
      </c>
      <c r="O59">
        <f t="shared" si="15"/>
        <v>0</v>
      </c>
      <c r="P59">
        <f t="shared" si="15"/>
        <v>30001</v>
      </c>
      <c r="Q59">
        <f t="shared" si="15"/>
        <v>0</v>
      </c>
    </row>
    <row r="60" spans="1:17" x14ac:dyDescent="0.2">
      <c r="A60" s="13" t="s">
        <v>2040</v>
      </c>
      <c r="C60" s="10"/>
    </row>
    <row r="61" spans="1:17" x14ac:dyDescent="0.2">
      <c r="A61" s="5" t="s">
        <v>3928</v>
      </c>
      <c r="B61" t="s">
        <v>2046</v>
      </c>
      <c r="C61" s="82">
        <f t="shared" ref="C61:C62" si="16">IF(OR(D61&gt;P61,D61&lt;=Q61),"contact vendor",F61*D61^G61+H61*LN(D61)+I61+J61*EXP(K61*D61)+L61*D61^3+M61*D61^2+N61*D61+O61)</f>
        <v>714.21687895899993</v>
      </c>
      <c r="D61">
        <f>H3PO4_tank_vol</f>
        <v>3</v>
      </c>
      <c r="E61" t="s">
        <v>3142</v>
      </c>
      <c r="F61">
        <f t="shared" ref="F61:Q62" si="17">VLOOKUP($E61,eq_table_cl,F$4,FALSE)</f>
        <v>0</v>
      </c>
      <c r="G61">
        <f t="shared" si="17"/>
        <v>0</v>
      </c>
      <c r="H61">
        <f t="shared" si="17"/>
        <v>0</v>
      </c>
      <c r="I61">
        <f t="shared" si="17"/>
        <v>0</v>
      </c>
      <c r="J61">
        <f t="shared" si="17"/>
        <v>0</v>
      </c>
      <c r="K61">
        <f t="shared" si="17"/>
        <v>0</v>
      </c>
      <c r="L61">
        <f t="shared" si="17"/>
        <v>0</v>
      </c>
      <c r="M61">
        <f t="shared" si="17"/>
        <v>1.89841E-4</v>
      </c>
      <c r="N61">
        <f t="shared" si="17"/>
        <v>1.125069329</v>
      </c>
      <c r="O61">
        <f t="shared" si="17"/>
        <v>710.83996240299996</v>
      </c>
      <c r="P61">
        <f t="shared" si="17"/>
        <v>6601</v>
      </c>
      <c r="Q61">
        <f t="shared" si="17"/>
        <v>0</v>
      </c>
    </row>
    <row r="62" spans="1:17" x14ac:dyDescent="0.2">
      <c r="A62" s="5" t="s">
        <v>1425</v>
      </c>
      <c r="B62" t="s">
        <v>2047</v>
      </c>
      <c r="C62" s="82">
        <f t="shared" si="16"/>
        <v>475.30091857338863</v>
      </c>
      <c r="D62">
        <f>H3PO4_tank_vol</f>
        <v>3</v>
      </c>
      <c r="E62" t="s">
        <v>3143</v>
      </c>
      <c r="F62">
        <f t="shared" si="17"/>
        <v>259.35532937099998</v>
      </c>
      <c r="G62">
        <f t="shared" si="17"/>
        <v>0.55137656199999996</v>
      </c>
      <c r="H62">
        <f t="shared" si="17"/>
        <v>0</v>
      </c>
      <c r="I62">
        <f t="shared" si="17"/>
        <v>0</v>
      </c>
      <c r="J62">
        <f t="shared" si="17"/>
        <v>0</v>
      </c>
      <c r="K62">
        <f t="shared" si="17"/>
        <v>0</v>
      </c>
      <c r="L62">
        <f t="shared" si="17"/>
        <v>0</v>
      </c>
      <c r="M62">
        <f t="shared" si="17"/>
        <v>0</v>
      </c>
      <c r="N62">
        <f t="shared" si="17"/>
        <v>0</v>
      </c>
      <c r="O62">
        <f t="shared" si="17"/>
        <v>0</v>
      </c>
      <c r="P62">
        <f t="shared" si="17"/>
        <v>30001</v>
      </c>
      <c r="Q62">
        <f t="shared" si="17"/>
        <v>0</v>
      </c>
    </row>
    <row r="63" spans="1:17" x14ac:dyDescent="0.2">
      <c r="A63" s="13" t="s">
        <v>165</v>
      </c>
      <c r="C63" s="10"/>
    </row>
    <row r="64" spans="1:17" x14ac:dyDescent="0.2">
      <c r="A64" s="5" t="s">
        <v>3928</v>
      </c>
      <c r="B64" s="5" t="s">
        <v>166</v>
      </c>
      <c r="C64" s="82" t="str">
        <f t="shared" ref="C64:C65" si="18">IF(OR(D64&gt;P64,D64&lt;=Q64),"contact vendor",F64*D64^G64+H64*LN(D64)+I64+J64*EXP(K64*D64)+L64*D64^3+M64*D64^2+N64*D64+O64)</f>
        <v>contact vendor</v>
      </c>
      <c r="D64">
        <f>H2O2_tank_vol</f>
        <v>0</v>
      </c>
      <c r="E64" t="s">
        <v>3142</v>
      </c>
      <c r="F64">
        <f t="shared" ref="F64:Q65" si="19">VLOOKUP($E64,eq_table_cl,F$4,FALSE)</f>
        <v>0</v>
      </c>
      <c r="G64">
        <f t="shared" si="19"/>
        <v>0</v>
      </c>
      <c r="H64">
        <f t="shared" si="19"/>
        <v>0</v>
      </c>
      <c r="I64">
        <f t="shared" si="19"/>
        <v>0</v>
      </c>
      <c r="J64">
        <f t="shared" si="19"/>
        <v>0</v>
      </c>
      <c r="K64">
        <f t="shared" si="19"/>
        <v>0</v>
      </c>
      <c r="L64">
        <f t="shared" si="19"/>
        <v>0</v>
      </c>
      <c r="M64">
        <f t="shared" si="19"/>
        <v>1.89841E-4</v>
      </c>
      <c r="N64">
        <f t="shared" si="19"/>
        <v>1.125069329</v>
      </c>
      <c r="O64">
        <f t="shared" si="19"/>
        <v>710.83996240299996</v>
      </c>
      <c r="P64">
        <f t="shared" si="19"/>
        <v>6601</v>
      </c>
      <c r="Q64">
        <f t="shared" si="19"/>
        <v>0</v>
      </c>
    </row>
    <row r="65" spans="1:17" x14ac:dyDescent="0.2">
      <c r="A65" s="5" t="s">
        <v>1421</v>
      </c>
      <c r="B65" s="5" t="s">
        <v>3783</v>
      </c>
      <c r="C65" s="82" t="str">
        <f t="shared" si="18"/>
        <v>contact vendor</v>
      </c>
      <c r="D65">
        <f>H2O2_tank_vol</f>
        <v>0</v>
      </c>
      <c r="E65" t="s">
        <v>3781</v>
      </c>
      <c r="F65">
        <f t="shared" si="19"/>
        <v>57.021589231</v>
      </c>
      <c r="G65">
        <f t="shared" si="19"/>
        <v>0.72932539100000005</v>
      </c>
      <c r="H65">
        <f t="shared" si="19"/>
        <v>0</v>
      </c>
      <c r="I65">
        <f t="shared" si="19"/>
        <v>0</v>
      </c>
      <c r="J65">
        <f t="shared" si="19"/>
        <v>0</v>
      </c>
      <c r="K65">
        <f t="shared" si="19"/>
        <v>0</v>
      </c>
      <c r="L65">
        <f t="shared" si="19"/>
        <v>0</v>
      </c>
      <c r="M65">
        <f t="shared" si="19"/>
        <v>0</v>
      </c>
      <c r="N65">
        <f t="shared" si="19"/>
        <v>0</v>
      </c>
      <c r="O65">
        <f t="shared" si="19"/>
        <v>0</v>
      </c>
      <c r="P65">
        <f t="shared" si="19"/>
        <v>30001</v>
      </c>
      <c r="Q65">
        <f t="shared" si="19"/>
        <v>0</v>
      </c>
    </row>
    <row r="66" spans="1:17" x14ac:dyDescent="0.2">
      <c r="A66" s="13" t="s">
        <v>943</v>
      </c>
      <c r="C66" s="10"/>
    </row>
    <row r="67" spans="1:17" x14ac:dyDescent="0.2">
      <c r="A67" s="5" t="s">
        <v>3928</v>
      </c>
      <c r="B67" t="s">
        <v>948</v>
      </c>
      <c r="C67" s="82">
        <f t="shared" ref="C67:C69" si="20">IF(OR(D67&gt;P67,D67&lt;=Q67),"contact vendor",F67*D67^G67+H67*LN(D67)+I67+J67*EXP(K67*D67)+L67*D67^3+M67*D67^2+N67*D67+O67)</f>
        <v>735.683370685</v>
      </c>
      <c r="D67">
        <f>e_donor_day_tank_vol</f>
        <v>22</v>
      </c>
      <c r="E67" t="s">
        <v>3142</v>
      </c>
      <c r="F67">
        <f t="shared" ref="F67:Q69" si="21">VLOOKUP($E67,eq_table_cl,F$4,FALSE)</f>
        <v>0</v>
      </c>
      <c r="G67">
        <f t="shared" si="21"/>
        <v>0</v>
      </c>
      <c r="H67">
        <f t="shared" si="21"/>
        <v>0</v>
      </c>
      <c r="I67">
        <f t="shared" si="21"/>
        <v>0</v>
      </c>
      <c r="J67">
        <f t="shared" si="21"/>
        <v>0</v>
      </c>
      <c r="K67">
        <f t="shared" si="21"/>
        <v>0</v>
      </c>
      <c r="L67">
        <f t="shared" si="21"/>
        <v>0</v>
      </c>
      <c r="M67">
        <f t="shared" si="21"/>
        <v>1.89841E-4</v>
      </c>
      <c r="N67">
        <f t="shared" si="21"/>
        <v>1.125069329</v>
      </c>
      <c r="O67">
        <f t="shared" si="21"/>
        <v>710.83996240299996</v>
      </c>
      <c r="P67">
        <f t="shared" si="21"/>
        <v>6601</v>
      </c>
      <c r="Q67">
        <f t="shared" si="21"/>
        <v>0</v>
      </c>
    </row>
    <row r="68" spans="1:17" x14ac:dyDescent="0.2">
      <c r="A68" s="5" t="s">
        <v>1425</v>
      </c>
      <c r="B68" t="s">
        <v>949</v>
      </c>
      <c r="C68" s="82">
        <f t="shared" si="20"/>
        <v>1425.8557096388986</v>
      </c>
      <c r="D68">
        <f>e_donor_day_tank_vol</f>
        <v>22</v>
      </c>
      <c r="E68" t="s">
        <v>3143</v>
      </c>
      <c r="F68">
        <f t="shared" si="21"/>
        <v>259.35532937099998</v>
      </c>
      <c r="G68">
        <f t="shared" si="21"/>
        <v>0.55137656199999996</v>
      </c>
      <c r="H68">
        <f t="shared" si="21"/>
        <v>0</v>
      </c>
      <c r="I68">
        <f t="shared" si="21"/>
        <v>0</v>
      </c>
      <c r="J68">
        <f t="shared" si="21"/>
        <v>0</v>
      </c>
      <c r="K68">
        <f t="shared" si="21"/>
        <v>0</v>
      </c>
      <c r="L68">
        <f t="shared" si="21"/>
        <v>0</v>
      </c>
      <c r="M68">
        <f t="shared" si="21"/>
        <v>0</v>
      </c>
      <c r="N68">
        <f t="shared" si="21"/>
        <v>0</v>
      </c>
      <c r="O68">
        <f t="shared" si="21"/>
        <v>0</v>
      </c>
      <c r="P68">
        <f t="shared" si="21"/>
        <v>30001</v>
      </c>
      <c r="Q68">
        <f t="shared" si="21"/>
        <v>0</v>
      </c>
    </row>
    <row r="69" spans="1:17" x14ac:dyDescent="0.2">
      <c r="A69" s="5" t="s">
        <v>1421</v>
      </c>
      <c r="B69" t="s">
        <v>3784</v>
      </c>
      <c r="C69" s="82">
        <f t="shared" si="20"/>
        <v>543.37826631653206</v>
      </c>
      <c r="D69">
        <f>e_donor_day_tank_vol</f>
        <v>22</v>
      </c>
      <c r="E69" t="s">
        <v>3781</v>
      </c>
      <c r="F69">
        <f t="shared" si="21"/>
        <v>57.021589231</v>
      </c>
      <c r="G69">
        <f t="shared" si="21"/>
        <v>0.72932539100000005</v>
      </c>
      <c r="H69">
        <f t="shared" si="21"/>
        <v>0</v>
      </c>
      <c r="I69">
        <f t="shared" si="21"/>
        <v>0</v>
      </c>
      <c r="J69">
        <f t="shared" si="21"/>
        <v>0</v>
      </c>
      <c r="K69">
        <f t="shared" si="21"/>
        <v>0</v>
      </c>
      <c r="L69">
        <f t="shared" si="21"/>
        <v>0</v>
      </c>
      <c r="M69">
        <f t="shared" si="21"/>
        <v>0</v>
      </c>
      <c r="N69">
        <f t="shared" si="21"/>
        <v>0</v>
      </c>
      <c r="O69">
        <f t="shared" si="21"/>
        <v>0</v>
      </c>
      <c r="P69">
        <f t="shared" si="21"/>
        <v>30001</v>
      </c>
      <c r="Q69">
        <f t="shared" si="21"/>
        <v>0</v>
      </c>
    </row>
    <row r="70" spans="1:17" x14ac:dyDescent="0.2">
      <c r="A70" s="13" t="s">
        <v>944</v>
      </c>
      <c r="C70" s="10"/>
    </row>
    <row r="71" spans="1:17" x14ac:dyDescent="0.2">
      <c r="A71" s="5" t="s">
        <v>3928</v>
      </c>
      <c r="B71" t="s">
        <v>950</v>
      </c>
      <c r="C71" s="82" t="str">
        <f t="shared" ref="C71:C73" si="22">IF(OR(D71&gt;P71,D71&lt;=Q71),"contact vendor",F71*D71^G71+H71*LN(D71)+I71+J71*EXP(K71*D71)+L71*D71^3+M71*D71^2+N71*D71+O71)</f>
        <v>contact vendor</v>
      </c>
      <c r="D71">
        <f>NH4Cl_day_tank_vol</f>
        <v>0</v>
      </c>
      <c r="E71" t="s">
        <v>3142</v>
      </c>
      <c r="F71">
        <f t="shared" ref="F71:Q73" si="23">VLOOKUP($E71,eq_table_cl,F$4,FALSE)</f>
        <v>0</v>
      </c>
      <c r="G71">
        <f t="shared" si="23"/>
        <v>0</v>
      </c>
      <c r="H71">
        <f t="shared" si="23"/>
        <v>0</v>
      </c>
      <c r="I71">
        <f t="shared" si="23"/>
        <v>0</v>
      </c>
      <c r="J71">
        <f t="shared" si="23"/>
        <v>0</v>
      </c>
      <c r="K71">
        <f t="shared" si="23"/>
        <v>0</v>
      </c>
      <c r="L71">
        <f t="shared" si="23"/>
        <v>0</v>
      </c>
      <c r="M71">
        <f t="shared" si="23"/>
        <v>1.89841E-4</v>
      </c>
      <c r="N71">
        <f t="shared" si="23"/>
        <v>1.125069329</v>
      </c>
      <c r="O71">
        <f t="shared" si="23"/>
        <v>710.83996240299996</v>
      </c>
      <c r="P71">
        <f t="shared" si="23"/>
        <v>6601</v>
      </c>
      <c r="Q71">
        <f t="shared" si="23"/>
        <v>0</v>
      </c>
    </row>
    <row r="72" spans="1:17" ht="14.25" customHeight="1" x14ac:dyDescent="0.2">
      <c r="A72" s="5" t="s">
        <v>1425</v>
      </c>
      <c r="B72" t="s">
        <v>951</v>
      </c>
      <c r="C72" s="82" t="str">
        <f t="shared" si="22"/>
        <v>contact vendor</v>
      </c>
      <c r="D72">
        <f>NH4Cl_day_tank_vol</f>
        <v>0</v>
      </c>
      <c r="E72" t="s">
        <v>3143</v>
      </c>
      <c r="F72">
        <f t="shared" si="23"/>
        <v>259.35532937099998</v>
      </c>
      <c r="G72">
        <f t="shared" si="23"/>
        <v>0.55137656199999996</v>
      </c>
      <c r="H72">
        <f t="shared" si="23"/>
        <v>0</v>
      </c>
      <c r="I72">
        <f t="shared" si="23"/>
        <v>0</v>
      </c>
      <c r="J72">
        <f t="shared" si="23"/>
        <v>0</v>
      </c>
      <c r="K72">
        <f t="shared" si="23"/>
        <v>0</v>
      </c>
      <c r="L72">
        <f t="shared" si="23"/>
        <v>0</v>
      </c>
      <c r="M72">
        <f t="shared" si="23"/>
        <v>0</v>
      </c>
      <c r="N72">
        <f t="shared" si="23"/>
        <v>0</v>
      </c>
      <c r="O72">
        <f t="shared" si="23"/>
        <v>0</v>
      </c>
      <c r="P72">
        <f t="shared" si="23"/>
        <v>30001</v>
      </c>
      <c r="Q72">
        <f t="shared" si="23"/>
        <v>0</v>
      </c>
    </row>
    <row r="73" spans="1:17" ht="14.25" customHeight="1" x14ac:dyDescent="0.2">
      <c r="A73" s="5" t="s">
        <v>1421</v>
      </c>
      <c r="B73" t="s">
        <v>3785</v>
      </c>
      <c r="C73" s="82" t="str">
        <f t="shared" si="22"/>
        <v>contact vendor</v>
      </c>
      <c r="D73">
        <f>NH4Cl_day_tank_vol</f>
        <v>0</v>
      </c>
      <c r="E73" t="s">
        <v>3781</v>
      </c>
      <c r="F73">
        <f t="shared" si="23"/>
        <v>57.021589231</v>
      </c>
      <c r="G73">
        <f t="shared" si="23"/>
        <v>0.72932539100000005</v>
      </c>
      <c r="H73">
        <f t="shared" si="23"/>
        <v>0</v>
      </c>
      <c r="I73">
        <f t="shared" si="23"/>
        <v>0</v>
      </c>
      <c r="J73">
        <f t="shared" si="23"/>
        <v>0</v>
      </c>
      <c r="K73">
        <f t="shared" si="23"/>
        <v>0</v>
      </c>
      <c r="L73">
        <f t="shared" si="23"/>
        <v>0</v>
      </c>
      <c r="M73">
        <f t="shared" si="23"/>
        <v>0</v>
      </c>
      <c r="N73">
        <f t="shared" si="23"/>
        <v>0</v>
      </c>
      <c r="O73">
        <f t="shared" si="23"/>
        <v>0</v>
      </c>
      <c r="P73">
        <f t="shared" si="23"/>
        <v>30001</v>
      </c>
      <c r="Q73">
        <f t="shared" si="23"/>
        <v>0</v>
      </c>
    </row>
    <row r="74" spans="1:17" x14ac:dyDescent="0.2">
      <c r="A74" s="13" t="s">
        <v>945</v>
      </c>
      <c r="C74" s="10"/>
    </row>
    <row r="75" spans="1:17" x14ac:dyDescent="0.2">
      <c r="A75" s="5" t="s">
        <v>3928</v>
      </c>
      <c r="B75" t="s">
        <v>952</v>
      </c>
      <c r="C75" s="82" t="str">
        <f t="shared" ref="C75:C76" si="24">IF(OR(D75&gt;P75,D75&lt;=Q75),"contact vendor",F75*D75^G75+H75*LN(D75)+I75+J75*EXP(K75*D75)+L75*D75^3+M75*D75^2+N75*D75+O75)</f>
        <v>contact vendor</v>
      </c>
      <c r="D75">
        <f>H3PO4_day_tank_vol</f>
        <v>0</v>
      </c>
      <c r="E75" t="s">
        <v>3142</v>
      </c>
      <c r="F75">
        <f t="shared" ref="F75:Q76" si="25">VLOOKUP($E75,eq_table_cl,F$4,FALSE)</f>
        <v>0</v>
      </c>
      <c r="G75">
        <f t="shared" si="25"/>
        <v>0</v>
      </c>
      <c r="H75">
        <f t="shared" si="25"/>
        <v>0</v>
      </c>
      <c r="I75">
        <f t="shared" si="25"/>
        <v>0</v>
      </c>
      <c r="J75">
        <f t="shared" si="25"/>
        <v>0</v>
      </c>
      <c r="K75">
        <f t="shared" si="25"/>
        <v>0</v>
      </c>
      <c r="L75">
        <f t="shared" si="25"/>
        <v>0</v>
      </c>
      <c r="M75">
        <f t="shared" si="25"/>
        <v>1.89841E-4</v>
      </c>
      <c r="N75">
        <f t="shared" si="25"/>
        <v>1.125069329</v>
      </c>
      <c r="O75">
        <f t="shared" si="25"/>
        <v>710.83996240299996</v>
      </c>
      <c r="P75">
        <f t="shared" si="25"/>
        <v>6601</v>
      </c>
      <c r="Q75">
        <f t="shared" si="25"/>
        <v>0</v>
      </c>
    </row>
    <row r="76" spans="1:17" x14ac:dyDescent="0.2">
      <c r="A76" s="5" t="s">
        <v>1425</v>
      </c>
      <c r="B76" t="s">
        <v>947</v>
      </c>
      <c r="C76" s="82" t="str">
        <f t="shared" si="24"/>
        <v>contact vendor</v>
      </c>
      <c r="D76">
        <f>H3PO4_day_tank_vol</f>
        <v>0</v>
      </c>
      <c r="E76" t="s">
        <v>3143</v>
      </c>
      <c r="F76">
        <f t="shared" si="25"/>
        <v>259.35532937099998</v>
      </c>
      <c r="G76">
        <f t="shared" si="25"/>
        <v>0.55137656199999996</v>
      </c>
      <c r="H76">
        <f t="shared" si="25"/>
        <v>0</v>
      </c>
      <c r="I76">
        <f t="shared" si="25"/>
        <v>0</v>
      </c>
      <c r="J76">
        <f t="shared" si="25"/>
        <v>0</v>
      </c>
      <c r="K76">
        <f t="shared" si="25"/>
        <v>0</v>
      </c>
      <c r="L76">
        <f t="shared" si="25"/>
        <v>0</v>
      </c>
      <c r="M76">
        <f t="shared" si="25"/>
        <v>0</v>
      </c>
      <c r="N76">
        <f t="shared" si="25"/>
        <v>0</v>
      </c>
      <c r="O76">
        <f t="shared" si="25"/>
        <v>0</v>
      </c>
      <c r="P76">
        <f t="shared" si="25"/>
        <v>30001</v>
      </c>
      <c r="Q76">
        <f t="shared" si="25"/>
        <v>0</v>
      </c>
    </row>
    <row r="77" spans="1:17" x14ac:dyDescent="0.2">
      <c r="A77" s="13" t="s">
        <v>946</v>
      </c>
      <c r="C77" s="10"/>
    </row>
    <row r="78" spans="1:17" x14ac:dyDescent="0.2">
      <c r="A78" s="5" t="s">
        <v>3928</v>
      </c>
      <c r="B78" s="5" t="s">
        <v>953</v>
      </c>
      <c r="C78" s="82" t="str">
        <f t="shared" ref="C78:C79" si="26">IF(OR(D78&gt;P78,D78&lt;=Q78),"contact vendor",F78*D78^G78+H78*LN(D78)+I78+J78*EXP(K78*D78)+L78*D78^3+M78*D78^2+N78*D78+O78)</f>
        <v>contact vendor</v>
      </c>
      <c r="D78">
        <f>H2O2_day_tank_vol</f>
        <v>0</v>
      </c>
      <c r="E78" t="s">
        <v>3142</v>
      </c>
      <c r="F78">
        <f t="shared" ref="F78:Q79" si="27">VLOOKUP($E78,eq_table_cl,F$4,FALSE)</f>
        <v>0</v>
      </c>
      <c r="G78">
        <f t="shared" si="27"/>
        <v>0</v>
      </c>
      <c r="H78">
        <f t="shared" si="27"/>
        <v>0</v>
      </c>
      <c r="I78">
        <f t="shared" si="27"/>
        <v>0</v>
      </c>
      <c r="J78">
        <f t="shared" si="27"/>
        <v>0</v>
      </c>
      <c r="K78">
        <f t="shared" si="27"/>
        <v>0</v>
      </c>
      <c r="L78">
        <f t="shared" si="27"/>
        <v>0</v>
      </c>
      <c r="M78">
        <f t="shared" si="27"/>
        <v>1.89841E-4</v>
      </c>
      <c r="N78">
        <f t="shared" si="27"/>
        <v>1.125069329</v>
      </c>
      <c r="O78">
        <f t="shared" si="27"/>
        <v>710.83996240299996</v>
      </c>
      <c r="P78">
        <f t="shared" si="27"/>
        <v>6601</v>
      </c>
      <c r="Q78">
        <f t="shared" si="27"/>
        <v>0</v>
      </c>
    </row>
    <row r="79" spans="1:17" x14ac:dyDescent="0.2">
      <c r="A79" s="5" t="s">
        <v>1421</v>
      </c>
      <c r="B79" s="5" t="s">
        <v>3786</v>
      </c>
      <c r="C79" s="82" t="str">
        <f t="shared" si="26"/>
        <v>contact vendor</v>
      </c>
      <c r="D79">
        <f>H2O2_day_tank_vol</f>
        <v>0</v>
      </c>
      <c r="E79" t="s">
        <v>3781</v>
      </c>
      <c r="F79">
        <f t="shared" si="27"/>
        <v>57.021589231</v>
      </c>
      <c r="G79">
        <f t="shared" si="27"/>
        <v>0.72932539100000005</v>
      </c>
      <c r="H79">
        <f t="shared" si="27"/>
        <v>0</v>
      </c>
      <c r="I79">
        <f t="shared" si="27"/>
        <v>0</v>
      </c>
      <c r="J79">
        <f t="shared" si="27"/>
        <v>0</v>
      </c>
      <c r="K79">
        <f t="shared" si="27"/>
        <v>0</v>
      </c>
      <c r="L79">
        <f t="shared" si="27"/>
        <v>0</v>
      </c>
      <c r="M79">
        <f t="shared" si="27"/>
        <v>0</v>
      </c>
      <c r="N79">
        <f t="shared" si="27"/>
        <v>0</v>
      </c>
      <c r="O79">
        <f t="shared" si="27"/>
        <v>0</v>
      </c>
      <c r="P79">
        <f t="shared" si="27"/>
        <v>30001</v>
      </c>
      <c r="Q79">
        <f t="shared" si="27"/>
        <v>0</v>
      </c>
    </row>
    <row r="80" spans="1:17" x14ac:dyDescent="0.2">
      <c r="A80" s="86" t="s">
        <v>1291</v>
      </c>
      <c r="C80" s="10"/>
    </row>
    <row r="81" spans="1:17" x14ac:dyDescent="0.2">
      <c r="A81" s="5" t="s">
        <v>1292</v>
      </c>
      <c r="B81" t="s">
        <v>1293</v>
      </c>
      <c r="C81" s="82">
        <f t="shared" ref="C81:C83" si="28">IF(OR(D81&gt;P81,D81&lt;=Q81),"contact vendor",F81*D81^G81+H81*LN(D81)+I81+J81*EXP(K81*D81)+L81*D81^3+M81*D81^2+N81*D81+O81)</f>
        <v>16809.268234681393</v>
      </c>
      <c r="D81">
        <f>htank_vol</f>
        <v>2892</v>
      </c>
      <c r="E81" t="s">
        <v>2630</v>
      </c>
      <c r="F81">
        <f t="shared" ref="F81:Q83" si="29">VLOOKUP($E81,eq_table_cl,F$4,FALSE)</f>
        <v>308.93713092600001</v>
      </c>
      <c r="G81">
        <f t="shared" si="29"/>
        <v>0.50146757099999995</v>
      </c>
      <c r="H81">
        <f t="shared" si="29"/>
        <v>0</v>
      </c>
      <c r="I81">
        <f t="shared" si="29"/>
        <v>0</v>
      </c>
      <c r="J81">
        <f t="shared" si="29"/>
        <v>0</v>
      </c>
      <c r="K81">
        <f t="shared" si="29"/>
        <v>0</v>
      </c>
      <c r="L81">
        <f t="shared" si="29"/>
        <v>0</v>
      </c>
      <c r="M81">
        <f t="shared" si="29"/>
        <v>0</v>
      </c>
      <c r="N81">
        <f t="shared" si="29"/>
        <v>0</v>
      </c>
      <c r="O81">
        <f t="shared" si="29"/>
        <v>0</v>
      </c>
      <c r="P81">
        <f t="shared" si="29"/>
        <v>289001</v>
      </c>
      <c r="Q81">
        <f t="shared" si="29"/>
        <v>0</v>
      </c>
    </row>
    <row r="82" spans="1:17" x14ac:dyDescent="0.2">
      <c r="A82" s="5" t="s">
        <v>1294</v>
      </c>
      <c r="B82" t="s">
        <v>1311</v>
      </c>
      <c r="C82" s="82">
        <f t="shared" si="28"/>
        <v>26505.481856548191</v>
      </c>
      <c r="D82">
        <f>htank_vol</f>
        <v>2892</v>
      </c>
      <c r="E82" t="s">
        <v>1467</v>
      </c>
      <c r="F82">
        <f t="shared" si="29"/>
        <v>135.281859973</v>
      </c>
      <c r="G82">
        <f t="shared" si="29"/>
        <v>0.66222618499999997</v>
      </c>
      <c r="H82">
        <f t="shared" si="29"/>
        <v>0</v>
      </c>
      <c r="I82">
        <f t="shared" si="29"/>
        <v>0</v>
      </c>
      <c r="J82">
        <f t="shared" si="29"/>
        <v>0</v>
      </c>
      <c r="K82">
        <f t="shared" si="29"/>
        <v>0</v>
      </c>
      <c r="L82">
        <f t="shared" si="29"/>
        <v>0</v>
      </c>
      <c r="M82">
        <f t="shared" si="29"/>
        <v>0</v>
      </c>
      <c r="N82">
        <f t="shared" si="29"/>
        <v>0</v>
      </c>
      <c r="O82">
        <f t="shared" si="29"/>
        <v>0</v>
      </c>
      <c r="P82">
        <f t="shared" si="29"/>
        <v>20001</v>
      </c>
      <c r="Q82">
        <f t="shared" si="29"/>
        <v>0</v>
      </c>
    </row>
    <row r="83" spans="1:17" x14ac:dyDescent="0.2">
      <c r="A83" s="694" t="s">
        <v>3956</v>
      </c>
      <c r="B83" t="s">
        <v>1312</v>
      </c>
      <c r="C83" s="82">
        <f t="shared" si="28"/>
        <v>6197.0253472840004</v>
      </c>
      <c r="D83">
        <f>htank_vol</f>
        <v>2892</v>
      </c>
      <c r="E83" t="s">
        <v>1468</v>
      </c>
      <c r="F83">
        <f t="shared" si="29"/>
        <v>0</v>
      </c>
      <c r="G83">
        <f t="shared" si="29"/>
        <v>0</v>
      </c>
      <c r="H83">
        <f t="shared" si="29"/>
        <v>0</v>
      </c>
      <c r="I83">
        <f t="shared" si="29"/>
        <v>0</v>
      </c>
      <c r="J83">
        <f t="shared" si="29"/>
        <v>0</v>
      </c>
      <c r="K83">
        <f t="shared" si="29"/>
        <v>0</v>
      </c>
      <c r="L83">
        <f t="shared" si="29"/>
        <v>3E-9</v>
      </c>
      <c r="M83">
        <f t="shared" si="29"/>
        <v>-4.4866E-5</v>
      </c>
      <c r="N83">
        <f t="shared" si="29"/>
        <v>2.0973282219999998</v>
      </c>
      <c r="O83">
        <f t="shared" si="29"/>
        <v>434.23312942000001</v>
      </c>
      <c r="P83">
        <f t="shared" si="29"/>
        <v>16502</v>
      </c>
      <c r="Q83">
        <f t="shared" si="29"/>
        <v>0</v>
      </c>
    </row>
    <row r="84" spans="1:17" x14ac:dyDescent="0.2">
      <c r="A84" s="874" t="s">
        <v>4311</v>
      </c>
      <c r="C84" s="622"/>
    </row>
    <row r="85" spans="1:17" x14ac:dyDescent="0.2">
      <c r="A85" s="694" t="s">
        <v>3928</v>
      </c>
      <c r="B85" s="694" t="s">
        <v>4312</v>
      </c>
      <c r="C85" s="82">
        <f t="shared" ref="C85:C86" si="30">IF(OR(D85&gt;P85,D85&lt;=Q85),"contact vendor",F85*D85^G85+H85*LN(D85)+I85+J85*EXP(K85*D85)+L85*D85^3+M85*D85^2+N85*D85+O85)</f>
        <v>732.28481225499991</v>
      </c>
      <c r="D85">
        <f>coag_tank_vol</f>
        <v>19</v>
      </c>
      <c r="E85" t="s">
        <v>3142</v>
      </c>
      <c r="F85">
        <f t="shared" ref="F85:Q86" si="31">VLOOKUP($E85,eq_table_cl,F$4,FALSE)</f>
        <v>0</v>
      </c>
      <c r="G85">
        <f t="shared" si="31"/>
        <v>0</v>
      </c>
      <c r="H85">
        <f t="shared" si="31"/>
        <v>0</v>
      </c>
      <c r="I85">
        <f t="shared" si="31"/>
        <v>0</v>
      </c>
      <c r="J85">
        <f t="shared" si="31"/>
        <v>0</v>
      </c>
      <c r="K85">
        <f t="shared" si="31"/>
        <v>0</v>
      </c>
      <c r="L85">
        <f t="shared" si="31"/>
        <v>0</v>
      </c>
      <c r="M85">
        <f t="shared" si="31"/>
        <v>1.89841E-4</v>
      </c>
      <c r="N85">
        <f t="shared" si="31"/>
        <v>1.125069329</v>
      </c>
      <c r="O85">
        <f t="shared" si="31"/>
        <v>710.83996240299996</v>
      </c>
      <c r="P85">
        <f t="shared" si="31"/>
        <v>6601</v>
      </c>
      <c r="Q85">
        <f t="shared" si="31"/>
        <v>0</v>
      </c>
    </row>
    <row r="86" spans="1:17" x14ac:dyDescent="0.2">
      <c r="A86" s="694" t="s">
        <v>1425</v>
      </c>
      <c r="B86" s="694" t="s">
        <v>4313</v>
      </c>
      <c r="C86" s="82">
        <f t="shared" si="30"/>
        <v>1315.133803163955</v>
      </c>
      <c r="D86">
        <f>coag_tank_vol</f>
        <v>19</v>
      </c>
      <c r="E86" t="s">
        <v>3143</v>
      </c>
      <c r="F86">
        <f t="shared" si="31"/>
        <v>259.35532937099998</v>
      </c>
      <c r="G86">
        <f t="shared" si="31"/>
        <v>0.55137656199999996</v>
      </c>
      <c r="H86">
        <f t="shared" si="31"/>
        <v>0</v>
      </c>
      <c r="I86">
        <f t="shared" si="31"/>
        <v>0</v>
      </c>
      <c r="J86">
        <f t="shared" si="31"/>
        <v>0</v>
      </c>
      <c r="K86">
        <f t="shared" si="31"/>
        <v>0</v>
      </c>
      <c r="L86">
        <f t="shared" si="31"/>
        <v>0</v>
      </c>
      <c r="M86">
        <f t="shared" si="31"/>
        <v>0</v>
      </c>
      <c r="N86">
        <f t="shared" si="31"/>
        <v>0</v>
      </c>
      <c r="O86">
        <f t="shared" si="31"/>
        <v>0</v>
      </c>
      <c r="P86">
        <f t="shared" si="31"/>
        <v>30001</v>
      </c>
      <c r="Q86">
        <f t="shared" si="31"/>
        <v>0</v>
      </c>
    </row>
    <row r="87" spans="1:17" x14ac:dyDescent="0.2">
      <c r="A87" s="874" t="s">
        <v>4314</v>
      </c>
      <c r="C87" s="622"/>
    </row>
    <row r="88" spans="1:17" x14ac:dyDescent="0.2">
      <c r="A88" s="694" t="s">
        <v>3928</v>
      </c>
      <c r="B88" s="694" t="s">
        <v>4315</v>
      </c>
      <c r="C88" s="82" t="str">
        <f t="shared" ref="C88:C89" si="32">IF(OR(D88&gt;P88,D88&lt;=Q88),"contact vendor",F88*D88^G88+H88*LN(D88)+I88+J88*EXP(K88*D88)+L88*D88^3+M88*D88^2+N88*D88+O88)</f>
        <v>contact vendor</v>
      </c>
      <c r="D88">
        <f>coag_day_tank_vol</f>
        <v>0</v>
      </c>
      <c r="E88" t="s">
        <v>3142</v>
      </c>
      <c r="F88">
        <f t="shared" ref="F88:Q89" si="33">VLOOKUP($E88,eq_table_cl,F$4,FALSE)</f>
        <v>0</v>
      </c>
      <c r="G88">
        <f t="shared" si="33"/>
        <v>0</v>
      </c>
      <c r="H88">
        <f t="shared" si="33"/>
        <v>0</v>
      </c>
      <c r="I88">
        <f t="shared" si="33"/>
        <v>0</v>
      </c>
      <c r="J88">
        <f t="shared" si="33"/>
        <v>0</v>
      </c>
      <c r="K88">
        <f t="shared" si="33"/>
        <v>0</v>
      </c>
      <c r="L88">
        <f t="shared" si="33"/>
        <v>0</v>
      </c>
      <c r="M88">
        <f t="shared" si="33"/>
        <v>1.89841E-4</v>
      </c>
      <c r="N88">
        <f t="shared" si="33"/>
        <v>1.125069329</v>
      </c>
      <c r="O88">
        <f t="shared" si="33"/>
        <v>710.83996240299996</v>
      </c>
      <c r="P88">
        <f t="shared" si="33"/>
        <v>6601</v>
      </c>
      <c r="Q88">
        <f t="shared" si="33"/>
        <v>0</v>
      </c>
    </row>
    <row r="89" spans="1:17" x14ac:dyDescent="0.2">
      <c r="A89" s="694" t="s">
        <v>1425</v>
      </c>
      <c r="B89" s="694" t="s">
        <v>4316</v>
      </c>
      <c r="C89" s="82" t="str">
        <f t="shared" si="32"/>
        <v>contact vendor</v>
      </c>
      <c r="D89">
        <f>coag_day_tank_vol</f>
        <v>0</v>
      </c>
      <c r="E89" t="s">
        <v>3143</v>
      </c>
      <c r="F89">
        <f t="shared" si="33"/>
        <v>259.35532937099998</v>
      </c>
      <c r="G89">
        <f t="shared" si="33"/>
        <v>0.55137656199999996</v>
      </c>
      <c r="H89">
        <f t="shared" si="33"/>
        <v>0</v>
      </c>
      <c r="I89">
        <f t="shared" si="33"/>
        <v>0</v>
      </c>
      <c r="J89">
        <f t="shared" si="33"/>
        <v>0</v>
      </c>
      <c r="K89">
        <f t="shared" si="33"/>
        <v>0</v>
      </c>
      <c r="L89">
        <f t="shared" si="33"/>
        <v>0</v>
      </c>
      <c r="M89">
        <f t="shared" si="33"/>
        <v>0</v>
      </c>
      <c r="N89">
        <f t="shared" si="33"/>
        <v>0</v>
      </c>
      <c r="O89">
        <f t="shared" si="33"/>
        <v>0</v>
      </c>
      <c r="P89">
        <f t="shared" si="33"/>
        <v>30001</v>
      </c>
      <c r="Q89">
        <f t="shared" si="33"/>
        <v>0</v>
      </c>
    </row>
    <row r="90" spans="1:17" x14ac:dyDescent="0.2">
      <c r="A90" s="13" t="s">
        <v>2918</v>
      </c>
      <c r="C90" s="10"/>
    </row>
    <row r="91" spans="1:17" x14ac:dyDescent="0.2">
      <c r="A91" s="5" t="s">
        <v>3928</v>
      </c>
      <c r="B91" s="5" t="s">
        <v>2919</v>
      </c>
      <c r="C91" s="82">
        <f t="shared" ref="C91:C93" si="34">IF(OR(D91&gt;P91,D91&lt;=Q91),"contact vendor",F91*D91^G91+H91*LN(D91)+I91+J91*EXP(K91*D91)+L91*D91^3+M91*D91^2+N91*D91+O91)</f>
        <v>717.59721265299993</v>
      </c>
      <c r="D91">
        <f>polymer_tank_vol</f>
        <v>6</v>
      </c>
      <c r="E91" t="s">
        <v>3142</v>
      </c>
      <c r="F91">
        <f t="shared" ref="F91:Q93" si="35">VLOOKUP($E91,eq_table_cl,F$4,FALSE)</f>
        <v>0</v>
      </c>
      <c r="G91">
        <f t="shared" si="35"/>
        <v>0</v>
      </c>
      <c r="H91">
        <f t="shared" si="35"/>
        <v>0</v>
      </c>
      <c r="I91">
        <f t="shared" si="35"/>
        <v>0</v>
      </c>
      <c r="J91">
        <f t="shared" si="35"/>
        <v>0</v>
      </c>
      <c r="K91">
        <f t="shared" si="35"/>
        <v>0</v>
      </c>
      <c r="L91">
        <f t="shared" si="35"/>
        <v>0</v>
      </c>
      <c r="M91">
        <f t="shared" si="35"/>
        <v>1.89841E-4</v>
      </c>
      <c r="N91">
        <f t="shared" si="35"/>
        <v>1.125069329</v>
      </c>
      <c r="O91">
        <f t="shared" si="35"/>
        <v>710.83996240299996</v>
      </c>
      <c r="P91">
        <f t="shared" si="35"/>
        <v>6601</v>
      </c>
      <c r="Q91">
        <f t="shared" si="35"/>
        <v>0</v>
      </c>
    </row>
    <row r="92" spans="1:17" x14ac:dyDescent="0.2">
      <c r="A92" s="5" t="s">
        <v>1425</v>
      </c>
      <c r="B92" s="5" t="s">
        <v>2920</v>
      </c>
      <c r="C92" s="82">
        <f t="shared" si="34"/>
        <v>696.54557515309079</v>
      </c>
      <c r="D92">
        <f>polymer_tank_vol</f>
        <v>6</v>
      </c>
      <c r="E92" t="s">
        <v>3143</v>
      </c>
      <c r="F92">
        <f t="shared" si="35"/>
        <v>259.35532937099998</v>
      </c>
      <c r="G92">
        <f t="shared" si="35"/>
        <v>0.55137656199999996</v>
      </c>
      <c r="H92">
        <f t="shared" si="35"/>
        <v>0</v>
      </c>
      <c r="I92">
        <f t="shared" si="35"/>
        <v>0</v>
      </c>
      <c r="J92">
        <f t="shared" si="35"/>
        <v>0</v>
      </c>
      <c r="K92">
        <f t="shared" si="35"/>
        <v>0</v>
      </c>
      <c r="L92">
        <f t="shared" si="35"/>
        <v>0</v>
      </c>
      <c r="M92">
        <f t="shared" si="35"/>
        <v>0</v>
      </c>
      <c r="N92">
        <f t="shared" si="35"/>
        <v>0</v>
      </c>
      <c r="O92">
        <f t="shared" si="35"/>
        <v>0</v>
      </c>
      <c r="P92">
        <f t="shared" si="35"/>
        <v>30001</v>
      </c>
      <c r="Q92">
        <f t="shared" si="35"/>
        <v>0</v>
      </c>
    </row>
    <row r="93" spans="1:17" x14ac:dyDescent="0.2">
      <c r="A93" s="5" t="s">
        <v>1421</v>
      </c>
      <c r="B93" s="5" t="s">
        <v>3787</v>
      </c>
      <c r="C93" s="82">
        <f t="shared" si="34"/>
        <v>210.65160971128725</v>
      </c>
      <c r="D93">
        <f>polymer_tank_vol</f>
        <v>6</v>
      </c>
      <c r="E93" t="s">
        <v>3781</v>
      </c>
      <c r="F93">
        <f t="shared" si="35"/>
        <v>57.021589231</v>
      </c>
      <c r="G93">
        <f t="shared" si="35"/>
        <v>0.72932539100000005</v>
      </c>
      <c r="H93">
        <f t="shared" si="35"/>
        <v>0</v>
      </c>
      <c r="I93">
        <f t="shared" si="35"/>
        <v>0</v>
      </c>
      <c r="J93">
        <f t="shared" si="35"/>
        <v>0</v>
      </c>
      <c r="K93">
        <f t="shared" si="35"/>
        <v>0</v>
      </c>
      <c r="L93">
        <f t="shared" si="35"/>
        <v>0</v>
      </c>
      <c r="M93">
        <f t="shared" si="35"/>
        <v>0</v>
      </c>
      <c r="N93">
        <f t="shared" si="35"/>
        <v>0</v>
      </c>
      <c r="O93">
        <f t="shared" si="35"/>
        <v>0</v>
      </c>
      <c r="P93">
        <f t="shared" si="35"/>
        <v>30001</v>
      </c>
      <c r="Q93">
        <f t="shared" si="35"/>
        <v>0</v>
      </c>
    </row>
    <row r="94" spans="1:17" x14ac:dyDescent="0.2">
      <c r="A94" s="13" t="s">
        <v>375</v>
      </c>
      <c r="C94" s="10"/>
    </row>
    <row r="95" spans="1:17" x14ac:dyDescent="0.2">
      <c r="A95" s="5" t="s">
        <v>1292</v>
      </c>
      <c r="B95" s="5" t="s">
        <v>380</v>
      </c>
      <c r="C95" s="82">
        <f t="shared" ref="C95:C97" si="36">IF(OR(D95&gt;P95,D95&lt;=Q95),"contact vendor",F95*D95^G95+H95*LN(D95)+I95+J95*EXP(K95*D95)+L95*D95^3+M95*D95^2+N95*D95+O95)</f>
        <v>2885.6226768897541</v>
      </c>
      <c r="D95">
        <f>coag_mix_tank_size</f>
        <v>86.111111111111114</v>
      </c>
      <c r="E95" t="s">
        <v>2630</v>
      </c>
      <c r="F95">
        <f t="shared" ref="F95:Q97" si="37">VLOOKUP($E95,eq_table_cl,F$4,FALSE)</f>
        <v>308.93713092600001</v>
      </c>
      <c r="G95">
        <f t="shared" si="37"/>
        <v>0.50146757099999995</v>
      </c>
      <c r="H95">
        <f t="shared" si="37"/>
        <v>0</v>
      </c>
      <c r="I95">
        <f t="shared" si="37"/>
        <v>0</v>
      </c>
      <c r="J95">
        <f t="shared" si="37"/>
        <v>0</v>
      </c>
      <c r="K95">
        <f t="shared" si="37"/>
        <v>0</v>
      </c>
      <c r="L95">
        <f t="shared" si="37"/>
        <v>0</v>
      </c>
      <c r="M95">
        <f t="shared" si="37"/>
        <v>0</v>
      </c>
      <c r="N95">
        <f t="shared" si="37"/>
        <v>0</v>
      </c>
      <c r="O95">
        <f t="shared" si="37"/>
        <v>0</v>
      </c>
      <c r="P95">
        <f t="shared" si="37"/>
        <v>289001</v>
      </c>
      <c r="Q95">
        <f t="shared" si="37"/>
        <v>0</v>
      </c>
    </row>
    <row r="96" spans="1:17" x14ac:dyDescent="0.2">
      <c r="A96" s="5" t="s">
        <v>1294</v>
      </c>
      <c r="B96" s="5" t="s">
        <v>381</v>
      </c>
      <c r="C96" s="82">
        <f t="shared" si="36"/>
        <v>2586.3448610340756</v>
      </c>
      <c r="D96">
        <f>coag_mix_tank_size</f>
        <v>86.111111111111114</v>
      </c>
      <c r="E96" t="s">
        <v>1467</v>
      </c>
      <c r="F96">
        <f t="shared" si="37"/>
        <v>135.281859973</v>
      </c>
      <c r="G96">
        <f t="shared" si="37"/>
        <v>0.66222618499999997</v>
      </c>
      <c r="H96">
        <f t="shared" si="37"/>
        <v>0</v>
      </c>
      <c r="I96">
        <f t="shared" si="37"/>
        <v>0</v>
      </c>
      <c r="J96">
        <f t="shared" si="37"/>
        <v>0</v>
      </c>
      <c r="K96">
        <f t="shared" si="37"/>
        <v>0</v>
      </c>
      <c r="L96">
        <f t="shared" si="37"/>
        <v>0</v>
      </c>
      <c r="M96">
        <f t="shared" si="37"/>
        <v>0</v>
      </c>
      <c r="N96">
        <f t="shared" si="37"/>
        <v>0</v>
      </c>
      <c r="O96">
        <f t="shared" si="37"/>
        <v>0</v>
      </c>
      <c r="P96">
        <f t="shared" si="37"/>
        <v>20001</v>
      </c>
      <c r="Q96">
        <f t="shared" si="37"/>
        <v>0</v>
      </c>
    </row>
    <row r="97" spans="1:17" x14ac:dyDescent="0.2">
      <c r="A97" s="5" t="s">
        <v>3929</v>
      </c>
      <c r="B97" s="5" t="s">
        <v>382</v>
      </c>
      <c r="C97" s="82">
        <f t="shared" si="36"/>
        <v>614.50562162565848</v>
      </c>
      <c r="D97">
        <f>coag_mix_tank_size</f>
        <v>86.111111111111114</v>
      </c>
      <c r="E97" t="s">
        <v>1468</v>
      </c>
      <c r="F97">
        <f t="shared" si="37"/>
        <v>0</v>
      </c>
      <c r="G97">
        <f t="shared" si="37"/>
        <v>0</v>
      </c>
      <c r="H97">
        <f t="shared" si="37"/>
        <v>0</v>
      </c>
      <c r="I97">
        <f t="shared" si="37"/>
        <v>0</v>
      </c>
      <c r="J97">
        <f t="shared" si="37"/>
        <v>0</v>
      </c>
      <c r="K97">
        <f t="shared" si="37"/>
        <v>0</v>
      </c>
      <c r="L97">
        <f t="shared" si="37"/>
        <v>3E-9</v>
      </c>
      <c r="M97">
        <f t="shared" si="37"/>
        <v>-4.4866E-5</v>
      </c>
      <c r="N97">
        <f t="shared" si="37"/>
        <v>2.0973282219999998</v>
      </c>
      <c r="O97">
        <f t="shared" si="37"/>
        <v>434.23312942000001</v>
      </c>
      <c r="P97">
        <f t="shared" si="37"/>
        <v>16502</v>
      </c>
      <c r="Q97">
        <f t="shared" si="37"/>
        <v>0</v>
      </c>
    </row>
    <row r="98" spans="1:17" x14ac:dyDescent="0.2">
      <c r="A98" s="18" t="s">
        <v>1427</v>
      </c>
      <c r="C98" s="10"/>
    </row>
    <row r="99" spans="1:17" x14ac:dyDescent="0.2">
      <c r="A99" s="13" t="s">
        <v>582</v>
      </c>
      <c r="C99" s="10"/>
    </row>
    <row r="100" spans="1:17" x14ac:dyDescent="0.2">
      <c r="A100" s="5" t="s">
        <v>1431</v>
      </c>
      <c r="B100" t="s">
        <v>1474</v>
      </c>
      <c r="C100" s="82">
        <f t="shared" ref="C100:C103" si="38">IF(OR(D100&gt;P100,D100&lt;=Q100),"contact vendor",F100*D100^G100+H100*LN(D100)+I100+J100*EXP(K100*D100)+L100*D100^3+M100*D100^2+N100*D100+O100)</f>
        <v>24.915632816000002</v>
      </c>
      <c r="D100">
        <f>back_pipe_diam</f>
        <v>4</v>
      </c>
      <c r="E100" t="s">
        <v>2631</v>
      </c>
      <c r="F100">
        <f t="shared" ref="F100:Q103" si="39">VLOOKUP($E100,eq_table_cl,F$4,FALSE)</f>
        <v>0</v>
      </c>
      <c r="G100">
        <f t="shared" si="39"/>
        <v>0</v>
      </c>
      <c r="H100">
        <f t="shared" si="39"/>
        <v>0</v>
      </c>
      <c r="I100">
        <f t="shared" si="39"/>
        <v>0</v>
      </c>
      <c r="J100">
        <f t="shared" si="39"/>
        <v>0</v>
      </c>
      <c r="K100">
        <f t="shared" si="39"/>
        <v>0</v>
      </c>
      <c r="L100">
        <f t="shared" si="39"/>
        <v>6.5072480000000002E-3</v>
      </c>
      <c r="M100">
        <f t="shared" si="39"/>
        <v>0.74408816600000005</v>
      </c>
      <c r="N100">
        <f t="shared" si="39"/>
        <v>2.9106427579999998</v>
      </c>
      <c r="O100">
        <f t="shared" si="39"/>
        <v>0.95118725599999998</v>
      </c>
      <c r="P100">
        <f t="shared" si="39"/>
        <v>18.100000000000001</v>
      </c>
      <c r="Q100">
        <f t="shared" si="39"/>
        <v>0</v>
      </c>
    </row>
    <row r="101" spans="1:17" x14ac:dyDescent="0.2">
      <c r="A101" s="5" t="s">
        <v>580</v>
      </c>
      <c r="B101" t="s">
        <v>3132</v>
      </c>
      <c r="C101" s="82">
        <f t="shared" si="38"/>
        <v>6.1853408730000004</v>
      </c>
      <c r="D101">
        <f>back_pipe_diam</f>
        <v>4</v>
      </c>
      <c r="E101" t="s">
        <v>2632</v>
      </c>
      <c r="F101">
        <f t="shared" si="39"/>
        <v>0</v>
      </c>
      <c r="G101">
        <f t="shared" si="39"/>
        <v>0</v>
      </c>
      <c r="H101">
        <f t="shared" si="39"/>
        <v>0</v>
      </c>
      <c r="I101">
        <f t="shared" si="39"/>
        <v>0</v>
      </c>
      <c r="J101">
        <f t="shared" si="39"/>
        <v>0</v>
      </c>
      <c r="K101">
        <f t="shared" si="39"/>
        <v>0</v>
      </c>
      <c r="L101">
        <f t="shared" si="39"/>
        <v>0</v>
      </c>
      <c r="M101">
        <f t="shared" si="39"/>
        <v>9.7106987000000006E-2</v>
      </c>
      <c r="N101">
        <f t="shared" si="39"/>
        <v>0.800977414</v>
      </c>
      <c r="O101">
        <f t="shared" si="39"/>
        <v>1.427719425</v>
      </c>
      <c r="P101">
        <f t="shared" si="39"/>
        <v>48.1</v>
      </c>
      <c r="Q101">
        <f t="shared" si="39"/>
        <v>0</v>
      </c>
    </row>
    <row r="102" spans="1:17" x14ac:dyDescent="0.2">
      <c r="A102" s="5" t="s">
        <v>1421</v>
      </c>
      <c r="B102" t="s">
        <v>3133</v>
      </c>
      <c r="C102" s="82">
        <f t="shared" si="38"/>
        <v>185.004314749</v>
      </c>
      <c r="D102">
        <f>back_pipe_diam</f>
        <v>4</v>
      </c>
      <c r="E102" t="s">
        <v>2633</v>
      </c>
      <c r="F102">
        <f t="shared" si="39"/>
        <v>0</v>
      </c>
      <c r="G102">
        <f t="shared" si="39"/>
        <v>0</v>
      </c>
      <c r="H102">
        <f t="shared" si="39"/>
        <v>0</v>
      </c>
      <c r="I102">
        <f t="shared" si="39"/>
        <v>0</v>
      </c>
      <c r="J102">
        <f t="shared" si="39"/>
        <v>0</v>
      </c>
      <c r="K102">
        <f t="shared" si="39"/>
        <v>0</v>
      </c>
      <c r="L102">
        <f t="shared" si="39"/>
        <v>4.8585111E-2</v>
      </c>
      <c r="M102">
        <f t="shared" si="39"/>
        <v>-2.5845256220000001</v>
      </c>
      <c r="N102">
        <f t="shared" si="39"/>
        <v>58.928328317999998</v>
      </c>
      <c r="O102">
        <f t="shared" si="39"/>
        <v>-12.466035675000001</v>
      </c>
      <c r="P102">
        <f t="shared" si="39"/>
        <v>48.1</v>
      </c>
      <c r="Q102">
        <f t="shared" si="39"/>
        <v>0</v>
      </c>
    </row>
    <row r="103" spans="1:17" x14ac:dyDescent="0.2">
      <c r="A103" s="5" t="s">
        <v>581</v>
      </c>
      <c r="B103" t="s">
        <v>3134</v>
      </c>
      <c r="C103" s="82">
        <f t="shared" si="38"/>
        <v>74.751613829537348</v>
      </c>
      <c r="D103">
        <f>back_pipe_diam</f>
        <v>4</v>
      </c>
      <c r="E103" t="s">
        <v>2634</v>
      </c>
      <c r="F103">
        <f t="shared" si="39"/>
        <v>20.769417377</v>
      </c>
      <c r="G103">
        <f t="shared" si="39"/>
        <v>0.92382198999999998</v>
      </c>
      <c r="H103">
        <f t="shared" si="39"/>
        <v>0</v>
      </c>
      <c r="I103">
        <f t="shared" si="39"/>
        <v>0</v>
      </c>
      <c r="J103">
        <f t="shared" si="39"/>
        <v>0</v>
      </c>
      <c r="K103">
        <f t="shared" si="39"/>
        <v>0</v>
      </c>
      <c r="L103">
        <f t="shared" si="39"/>
        <v>0</v>
      </c>
      <c r="M103">
        <f t="shared" si="39"/>
        <v>0</v>
      </c>
      <c r="N103">
        <f t="shared" si="39"/>
        <v>0</v>
      </c>
      <c r="O103">
        <f t="shared" si="39"/>
        <v>0</v>
      </c>
      <c r="P103">
        <f t="shared" si="39"/>
        <v>48.1</v>
      </c>
      <c r="Q103">
        <f t="shared" si="39"/>
        <v>0</v>
      </c>
    </row>
    <row r="104" spans="1:17" x14ac:dyDescent="0.2">
      <c r="A104" s="13" t="s">
        <v>2024</v>
      </c>
      <c r="B104" s="5"/>
      <c r="C104" s="10"/>
    </row>
    <row r="105" spans="1:17" x14ac:dyDescent="0.2">
      <c r="A105" s="5" t="s">
        <v>1431</v>
      </c>
      <c r="B105" t="s">
        <v>2026</v>
      </c>
      <c r="C105" s="82">
        <f t="shared" ref="C105:C108" si="40">IF(OR(D105&gt;P105,D105&lt;=Q105),"contact vendor",F105*D105^G105+H105*LN(D105)+I105+J105*EXP(K105*D105)+L105*D105^3+M105*D105^2+N105*D105+O105)</f>
        <v>2.5933440824999998</v>
      </c>
      <c r="D105">
        <f>e_donor_pipe_diam</f>
        <v>0.5</v>
      </c>
      <c r="E105" t="s">
        <v>2631</v>
      </c>
      <c r="F105">
        <f t="shared" ref="F105:Q108" si="41">VLOOKUP($E105,eq_table_cl,F$4,FALSE)</f>
        <v>0</v>
      </c>
      <c r="G105">
        <f t="shared" si="41"/>
        <v>0</v>
      </c>
      <c r="H105">
        <f t="shared" si="41"/>
        <v>0</v>
      </c>
      <c r="I105">
        <f t="shared" si="41"/>
        <v>0</v>
      </c>
      <c r="J105">
        <f t="shared" si="41"/>
        <v>0</v>
      </c>
      <c r="K105">
        <f t="shared" si="41"/>
        <v>0</v>
      </c>
      <c r="L105">
        <f t="shared" si="41"/>
        <v>6.5072480000000002E-3</v>
      </c>
      <c r="M105">
        <f t="shared" si="41"/>
        <v>0.74408816600000005</v>
      </c>
      <c r="N105">
        <f t="shared" si="41"/>
        <v>2.9106427579999998</v>
      </c>
      <c r="O105">
        <f t="shared" si="41"/>
        <v>0.95118725599999998</v>
      </c>
      <c r="P105">
        <f t="shared" si="41"/>
        <v>18.100000000000001</v>
      </c>
      <c r="Q105">
        <f t="shared" si="41"/>
        <v>0</v>
      </c>
    </row>
    <row r="106" spans="1:17" x14ac:dyDescent="0.2">
      <c r="A106" s="5" t="s">
        <v>580</v>
      </c>
      <c r="B106" t="s">
        <v>2027</v>
      </c>
      <c r="C106" s="82">
        <f t="shared" si="40"/>
        <v>1.8524848787500001</v>
      </c>
      <c r="D106">
        <f>e_donor_pipe_diam</f>
        <v>0.5</v>
      </c>
      <c r="E106" t="s">
        <v>2632</v>
      </c>
      <c r="F106">
        <f t="shared" si="41"/>
        <v>0</v>
      </c>
      <c r="G106">
        <f t="shared" si="41"/>
        <v>0</v>
      </c>
      <c r="H106">
        <f t="shared" si="41"/>
        <v>0</v>
      </c>
      <c r="I106">
        <f t="shared" si="41"/>
        <v>0</v>
      </c>
      <c r="J106">
        <f t="shared" si="41"/>
        <v>0</v>
      </c>
      <c r="K106">
        <f t="shared" si="41"/>
        <v>0</v>
      </c>
      <c r="L106">
        <f t="shared" si="41"/>
        <v>0</v>
      </c>
      <c r="M106">
        <f t="shared" si="41"/>
        <v>9.7106987000000006E-2</v>
      </c>
      <c r="N106">
        <f t="shared" si="41"/>
        <v>0.800977414</v>
      </c>
      <c r="O106">
        <f t="shared" si="41"/>
        <v>1.427719425</v>
      </c>
      <c r="P106">
        <f t="shared" si="41"/>
        <v>48.1</v>
      </c>
      <c r="Q106">
        <f t="shared" si="41"/>
        <v>0</v>
      </c>
    </row>
    <row r="107" spans="1:17" x14ac:dyDescent="0.2">
      <c r="A107" s="5" t="s">
        <v>1421</v>
      </c>
      <c r="B107" t="s">
        <v>2028</v>
      </c>
      <c r="C107" s="82">
        <f t="shared" si="40"/>
        <v>16.358070217374998</v>
      </c>
      <c r="D107">
        <f>e_donor_pipe_diam</f>
        <v>0.5</v>
      </c>
      <c r="E107" t="s">
        <v>2633</v>
      </c>
      <c r="F107">
        <f t="shared" si="41"/>
        <v>0</v>
      </c>
      <c r="G107">
        <f t="shared" si="41"/>
        <v>0</v>
      </c>
      <c r="H107">
        <f t="shared" si="41"/>
        <v>0</v>
      </c>
      <c r="I107">
        <f t="shared" si="41"/>
        <v>0</v>
      </c>
      <c r="J107">
        <f t="shared" si="41"/>
        <v>0</v>
      </c>
      <c r="K107">
        <f t="shared" si="41"/>
        <v>0</v>
      </c>
      <c r="L107">
        <f t="shared" si="41"/>
        <v>4.8585111E-2</v>
      </c>
      <c r="M107">
        <f t="shared" si="41"/>
        <v>-2.5845256220000001</v>
      </c>
      <c r="N107">
        <f t="shared" si="41"/>
        <v>58.928328317999998</v>
      </c>
      <c r="O107">
        <f t="shared" si="41"/>
        <v>-12.466035675000001</v>
      </c>
      <c r="P107">
        <f t="shared" si="41"/>
        <v>48.1</v>
      </c>
      <c r="Q107">
        <f t="shared" si="41"/>
        <v>0</v>
      </c>
    </row>
    <row r="108" spans="1:17" x14ac:dyDescent="0.2">
      <c r="A108" s="5" t="s">
        <v>581</v>
      </c>
      <c r="B108" t="s">
        <v>2029</v>
      </c>
      <c r="C108" s="82">
        <f t="shared" si="40"/>
        <v>10.947783094119053</v>
      </c>
      <c r="D108">
        <f>e_donor_pipe_diam</f>
        <v>0.5</v>
      </c>
      <c r="E108" t="s">
        <v>2634</v>
      </c>
      <c r="F108">
        <f t="shared" si="41"/>
        <v>20.769417377</v>
      </c>
      <c r="G108">
        <f t="shared" si="41"/>
        <v>0.92382198999999998</v>
      </c>
      <c r="H108">
        <f t="shared" si="41"/>
        <v>0</v>
      </c>
      <c r="I108">
        <f t="shared" si="41"/>
        <v>0</v>
      </c>
      <c r="J108">
        <f t="shared" si="41"/>
        <v>0</v>
      </c>
      <c r="K108">
        <f t="shared" si="41"/>
        <v>0</v>
      </c>
      <c r="L108">
        <f t="shared" si="41"/>
        <v>0</v>
      </c>
      <c r="M108">
        <f t="shared" si="41"/>
        <v>0</v>
      </c>
      <c r="N108">
        <f t="shared" si="41"/>
        <v>0</v>
      </c>
      <c r="O108">
        <f t="shared" si="41"/>
        <v>0</v>
      </c>
      <c r="P108">
        <f t="shared" si="41"/>
        <v>48.1</v>
      </c>
      <c r="Q108">
        <f t="shared" si="41"/>
        <v>0</v>
      </c>
    </row>
    <row r="109" spans="1:17" x14ac:dyDescent="0.2">
      <c r="A109" s="13" t="s">
        <v>2025</v>
      </c>
      <c r="B109" s="5"/>
      <c r="C109" s="10"/>
    </row>
    <row r="110" spans="1:17" x14ac:dyDescent="0.2">
      <c r="A110" s="5" t="s">
        <v>1431</v>
      </c>
      <c r="B110" t="s">
        <v>2030</v>
      </c>
      <c r="C110" s="82" t="str">
        <f t="shared" ref="C110:C113" si="42">IF(OR(D110&gt;P110,D110&lt;=Q110),"contact vendor",F110*D110^G110+H110*LN(D110)+I110+J110*EXP(K110*D110)+L110*D110^3+M110*D110^2+N110*D110+O110)</f>
        <v>contact vendor</v>
      </c>
      <c r="D110">
        <f>NH4Cl_pipe_diam</f>
        <v>0</v>
      </c>
      <c r="E110" t="s">
        <v>2631</v>
      </c>
      <c r="F110">
        <f t="shared" ref="F110:Q113" si="43">VLOOKUP($E110,eq_table_cl,F$4,FALSE)</f>
        <v>0</v>
      </c>
      <c r="G110">
        <f t="shared" si="43"/>
        <v>0</v>
      </c>
      <c r="H110">
        <f t="shared" si="43"/>
        <v>0</v>
      </c>
      <c r="I110">
        <f t="shared" si="43"/>
        <v>0</v>
      </c>
      <c r="J110">
        <f t="shared" si="43"/>
        <v>0</v>
      </c>
      <c r="K110">
        <f t="shared" si="43"/>
        <v>0</v>
      </c>
      <c r="L110">
        <f t="shared" si="43"/>
        <v>6.5072480000000002E-3</v>
      </c>
      <c r="M110">
        <f t="shared" si="43"/>
        <v>0.74408816600000005</v>
      </c>
      <c r="N110">
        <f t="shared" si="43"/>
        <v>2.9106427579999998</v>
      </c>
      <c r="O110">
        <f t="shared" si="43"/>
        <v>0.95118725599999998</v>
      </c>
      <c r="P110">
        <f t="shared" si="43"/>
        <v>18.100000000000001</v>
      </c>
      <c r="Q110">
        <f t="shared" si="43"/>
        <v>0</v>
      </c>
    </row>
    <row r="111" spans="1:17" x14ac:dyDescent="0.2">
      <c r="A111" s="5" t="s">
        <v>580</v>
      </c>
      <c r="B111" t="s">
        <v>2031</v>
      </c>
      <c r="C111" s="82" t="str">
        <f t="shared" si="42"/>
        <v>contact vendor</v>
      </c>
      <c r="D111">
        <f>NH4Cl_pipe_diam</f>
        <v>0</v>
      </c>
      <c r="E111" t="s">
        <v>2632</v>
      </c>
      <c r="F111">
        <f t="shared" si="43"/>
        <v>0</v>
      </c>
      <c r="G111">
        <f t="shared" si="43"/>
        <v>0</v>
      </c>
      <c r="H111">
        <f t="shared" si="43"/>
        <v>0</v>
      </c>
      <c r="I111">
        <f t="shared" si="43"/>
        <v>0</v>
      </c>
      <c r="J111">
        <f t="shared" si="43"/>
        <v>0</v>
      </c>
      <c r="K111">
        <f t="shared" si="43"/>
        <v>0</v>
      </c>
      <c r="L111">
        <f t="shared" si="43"/>
        <v>0</v>
      </c>
      <c r="M111">
        <f t="shared" si="43"/>
        <v>9.7106987000000006E-2</v>
      </c>
      <c r="N111">
        <f t="shared" si="43"/>
        <v>0.800977414</v>
      </c>
      <c r="O111">
        <f t="shared" si="43"/>
        <v>1.427719425</v>
      </c>
      <c r="P111">
        <f t="shared" si="43"/>
        <v>48.1</v>
      </c>
      <c r="Q111">
        <f t="shared" si="43"/>
        <v>0</v>
      </c>
    </row>
    <row r="112" spans="1:17" x14ac:dyDescent="0.2">
      <c r="A112" s="5" t="s">
        <v>1421</v>
      </c>
      <c r="B112" t="s">
        <v>2032</v>
      </c>
      <c r="C112" s="82" t="str">
        <f t="shared" si="42"/>
        <v>contact vendor</v>
      </c>
      <c r="D112">
        <f>NH4Cl_pipe_diam</f>
        <v>0</v>
      </c>
      <c r="E112" t="s">
        <v>2633</v>
      </c>
      <c r="F112">
        <f t="shared" si="43"/>
        <v>0</v>
      </c>
      <c r="G112">
        <f t="shared" si="43"/>
        <v>0</v>
      </c>
      <c r="H112">
        <f t="shared" si="43"/>
        <v>0</v>
      </c>
      <c r="I112">
        <f t="shared" si="43"/>
        <v>0</v>
      </c>
      <c r="J112">
        <f t="shared" si="43"/>
        <v>0</v>
      </c>
      <c r="K112">
        <f t="shared" si="43"/>
        <v>0</v>
      </c>
      <c r="L112">
        <f t="shared" si="43"/>
        <v>4.8585111E-2</v>
      </c>
      <c r="M112">
        <f t="shared" si="43"/>
        <v>-2.5845256220000001</v>
      </c>
      <c r="N112">
        <f t="shared" si="43"/>
        <v>58.928328317999998</v>
      </c>
      <c r="O112">
        <f t="shared" si="43"/>
        <v>-12.466035675000001</v>
      </c>
      <c r="P112">
        <f t="shared" si="43"/>
        <v>48.1</v>
      </c>
      <c r="Q112">
        <f t="shared" si="43"/>
        <v>0</v>
      </c>
    </row>
    <row r="113" spans="1:17" x14ac:dyDescent="0.2">
      <c r="A113" s="5" t="s">
        <v>581</v>
      </c>
      <c r="B113" t="s">
        <v>2033</v>
      </c>
      <c r="C113" s="82" t="str">
        <f t="shared" si="42"/>
        <v>contact vendor</v>
      </c>
      <c r="D113">
        <f>NH4Cl_pipe_diam</f>
        <v>0</v>
      </c>
      <c r="E113" t="s">
        <v>2634</v>
      </c>
      <c r="F113">
        <f t="shared" si="43"/>
        <v>20.769417377</v>
      </c>
      <c r="G113">
        <f t="shared" si="43"/>
        <v>0.92382198999999998</v>
      </c>
      <c r="H113">
        <f t="shared" si="43"/>
        <v>0</v>
      </c>
      <c r="I113">
        <f t="shared" si="43"/>
        <v>0</v>
      </c>
      <c r="J113">
        <f t="shared" si="43"/>
        <v>0</v>
      </c>
      <c r="K113">
        <f t="shared" si="43"/>
        <v>0</v>
      </c>
      <c r="L113">
        <f t="shared" si="43"/>
        <v>0</v>
      </c>
      <c r="M113">
        <f t="shared" si="43"/>
        <v>0</v>
      </c>
      <c r="N113">
        <f t="shared" si="43"/>
        <v>0</v>
      </c>
      <c r="O113">
        <f t="shared" si="43"/>
        <v>0</v>
      </c>
      <c r="P113">
        <f t="shared" si="43"/>
        <v>48.1</v>
      </c>
      <c r="Q113">
        <f t="shared" si="43"/>
        <v>0</v>
      </c>
    </row>
    <row r="114" spans="1:17" x14ac:dyDescent="0.2">
      <c r="A114" s="13" t="s">
        <v>2039</v>
      </c>
      <c r="B114" s="5"/>
      <c r="C114" s="10"/>
    </row>
    <row r="115" spans="1:17" x14ac:dyDescent="0.2">
      <c r="A115" s="5" t="s">
        <v>1431</v>
      </c>
      <c r="B115" t="s">
        <v>2034</v>
      </c>
      <c r="C115" s="82">
        <f t="shared" ref="C115:C118" si="44">IF(OR(D115&gt;P115,D115&lt;=Q115),"contact vendor",F115*D115^G115+H115*LN(D115)+I115+J115*EXP(K115*D115)+L115*D115^3+M115*D115^2+N115*D115+O115)</f>
        <v>2.5933440824999998</v>
      </c>
      <c r="D115">
        <f>H3PO4_pipe_diam</f>
        <v>0.5</v>
      </c>
      <c r="E115" t="s">
        <v>2631</v>
      </c>
      <c r="F115">
        <f t="shared" ref="F115:Q118" si="45">VLOOKUP($E115,eq_table_cl,F$4,FALSE)</f>
        <v>0</v>
      </c>
      <c r="G115">
        <f t="shared" si="45"/>
        <v>0</v>
      </c>
      <c r="H115">
        <f t="shared" si="45"/>
        <v>0</v>
      </c>
      <c r="I115">
        <f t="shared" si="45"/>
        <v>0</v>
      </c>
      <c r="J115">
        <f t="shared" si="45"/>
        <v>0</v>
      </c>
      <c r="K115">
        <f t="shared" si="45"/>
        <v>0</v>
      </c>
      <c r="L115">
        <f t="shared" si="45"/>
        <v>6.5072480000000002E-3</v>
      </c>
      <c r="M115">
        <f t="shared" si="45"/>
        <v>0.74408816600000005</v>
      </c>
      <c r="N115">
        <f t="shared" si="45"/>
        <v>2.9106427579999998</v>
      </c>
      <c r="O115">
        <f t="shared" si="45"/>
        <v>0.95118725599999998</v>
      </c>
      <c r="P115">
        <f t="shared" si="45"/>
        <v>18.100000000000001</v>
      </c>
      <c r="Q115">
        <f t="shared" si="45"/>
        <v>0</v>
      </c>
    </row>
    <row r="116" spans="1:17" x14ac:dyDescent="0.2">
      <c r="A116" s="5" t="s">
        <v>580</v>
      </c>
      <c r="B116" t="s">
        <v>2035</v>
      </c>
      <c r="C116" s="82">
        <f t="shared" si="44"/>
        <v>1.8524848787500001</v>
      </c>
      <c r="D116">
        <f>H3PO4_pipe_diam</f>
        <v>0.5</v>
      </c>
      <c r="E116" t="s">
        <v>2632</v>
      </c>
      <c r="F116">
        <f t="shared" si="45"/>
        <v>0</v>
      </c>
      <c r="G116">
        <f t="shared" si="45"/>
        <v>0</v>
      </c>
      <c r="H116">
        <f t="shared" si="45"/>
        <v>0</v>
      </c>
      <c r="I116">
        <f t="shared" si="45"/>
        <v>0</v>
      </c>
      <c r="J116">
        <f t="shared" si="45"/>
        <v>0</v>
      </c>
      <c r="K116">
        <f t="shared" si="45"/>
        <v>0</v>
      </c>
      <c r="L116">
        <f t="shared" si="45"/>
        <v>0</v>
      </c>
      <c r="M116">
        <f t="shared" si="45"/>
        <v>9.7106987000000006E-2</v>
      </c>
      <c r="N116">
        <f t="shared" si="45"/>
        <v>0.800977414</v>
      </c>
      <c r="O116">
        <f t="shared" si="45"/>
        <v>1.427719425</v>
      </c>
      <c r="P116">
        <f t="shared" si="45"/>
        <v>48.1</v>
      </c>
      <c r="Q116">
        <f t="shared" si="45"/>
        <v>0</v>
      </c>
    </row>
    <row r="117" spans="1:17" x14ac:dyDescent="0.2">
      <c r="A117" s="5" t="s">
        <v>1421</v>
      </c>
      <c r="B117" t="s">
        <v>2036</v>
      </c>
      <c r="C117" s="82">
        <f t="shared" si="44"/>
        <v>16.358070217374998</v>
      </c>
      <c r="D117">
        <f>H3PO4_pipe_diam</f>
        <v>0.5</v>
      </c>
      <c r="E117" t="s">
        <v>2633</v>
      </c>
      <c r="F117">
        <f t="shared" si="45"/>
        <v>0</v>
      </c>
      <c r="G117">
        <f t="shared" si="45"/>
        <v>0</v>
      </c>
      <c r="H117">
        <f t="shared" si="45"/>
        <v>0</v>
      </c>
      <c r="I117">
        <f t="shared" si="45"/>
        <v>0</v>
      </c>
      <c r="J117">
        <f t="shared" si="45"/>
        <v>0</v>
      </c>
      <c r="K117">
        <f t="shared" si="45"/>
        <v>0</v>
      </c>
      <c r="L117">
        <f t="shared" si="45"/>
        <v>4.8585111E-2</v>
      </c>
      <c r="M117">
        <f t="shared" si="45"/>
        <v>-2.5845256220000001</v>
      </c>
      <c r="N117">
        <f t="shared" si="45"/>
        <v>58.928328317999998</v>
      </c>
      <c r="O117">
        <f t="shared" si="45"/>
        <v>-12.466035675000001</v>
      </c>
      <c r="P117">
        <f t="shared" si="45"/>
        <v>48.1</v>
      </c>
      <c r="Q117">
        <f t="shared" si="45"/>
        <v>0</v>
      </c>
    </row>
    <row r="118" spans="1:17" x14ac:dyDescent="0.2">
      <c r="A118" s="5" t="s">
        <v>581</v>
      </c>
      <c r="B118" t="s">
        <v>2037</v>
      </c>
      <c r="C118" s="82">
        <f t="shared" si="44"/>
        <v>10.947783094119053</v>
      </c>
      <c r="D118">
        <f>H3PO4_pipe_diam</f>
        <v>0.5</v>
      </c>
      <c r="E118" t="s">
        <v>2634</v>
      </c>
      <c r="F118">
        <f t="shared" si="45"/>
        <v>20.769417377</v>
      </c>
      <c r="G118">
        <f t="shared" si="45"/>
        <v>0.92382198999999998</v>
      </c>
      <c r="H118">
        <f t="shared" si="45"/>
        <v>0</v>
      </c>
      <c r="I118">
        <f t="shared" si="45"/>
        <v>0</v>
      </c>
      <c r="J118">
        <f t="shared" si="45"/>
        <v>0</v>
      </c>
      <c r="K118">
        <f t="shared" si="45"/>
        <v>0</v>
      </c>
      <c r="L118">
        <f t="shared" si="45"/>
        <v>0</v>
      </c>
      <c r="M118">
        <f t="shared" si="45"/>
        <v>0</v>
      </c>
      <c r="N118">
        <f t="shared" si="45"/>
        <v>0</v>
      </c>
      <c r="O118">
        <f t="shared" si="45"/>
        <v>0</v>
      </c>
      <c r="P118">
        <f t="shared" si="45"/>
        <v>48.1</v>
      </c>
      <c r="Q118">
        <f t="shared" si="45"/>
        <v>0</v>
      </c>
    </row>
    <row r="119" spans="1:17" x14ac:dyDescent="0.2">
      <c r="A119" s="13" t="s">
        <v>1428</v>
      </c>
      <c r="C119" s="10"/>
    </row>
    <row r="120" spans="1:17" x14ac:dyDescent="0.2">
      <c r="A120" s="5" t="s">
        <v>2172</v>
      </c>
      <c r="B120" t="s">
        <v>1882</v>
      </c>
      <c r="C120" s="82" t="str">
        <f>IF(OR(D120&gt;P120,D120&lt;Q120),"contact vendor",F120*D120^G120+H120*LN(D120)+I120+J120*EXP(K120*D120)+L120*D120^3+M120*D120^2+N120*D120+O120)</f>
        <v>contact vendor</v>
      </c>
      <c r="D120">
        <f>proc_pipe_diam</f>
        <v>2</v>
      </c>
      <c r="E120" t="s">
        <v>2635</v>
      </c>
      <c r="F120">
        <f t="shared" ref="F120:Q124" si="46">VLOOKUP($E120,eq_table_cl,F$4,FALSE)</f>
        <v>0</v>
      </c>
      <c r="G120">
        <f t="shared" si="46"/>
        <v>0</v>
      </c>
      <c r="H120">
        <f t="shared" si="46"/>
        <v>0</v>
      </c>
      <c r="I120">
        <f t="shared" si="46"/>
        <v>0</v>
      </c>
      <c r="J120">
        <f t="shared" si="46"/>
        <v>0</v>
      </c>
      <c r="K120">
        <f t="shared" si="46"/>
        <v>0</v>
      </c>
      <c r="L120">
        <f t="shared" si="46"/>
        <v>1.3009082E-2</v>
      </c>
      <c r="M120">
        <f t="shared" si="46"/>
        <v>-0.63853567099999997</v>
      </c>
      <c r="N120">
        <f t="shared" si="46"/>
        <v>18.152542467</v>
      </c>
      <c r="O120">
        <f t="shared" si="46"/>
        <v>11.056607186999999</v>
      </c>
      <c r="P120">
        <f t="shared" si="46"/>
        <v>48.1</v>
      </c>
      <c r="Q120">
        <f t="shared" si="46"/>
        <v>4</v>
      </c>
    </row>
    <row r="121" spans="1:17" x14ac:dyDescent="0.2">
      <c r="A121" s="5" t="s">
        <v>1431</v>
      </c>
      <c r="B121" t="s">
        <v>1469</v>
      </c>
      <c r="C121" s="82">
        <f t="shared" ref="C121:C124" si="47">IF(OR(D121&gt;P121,D121&lt;=Q121),"contact vendor",F121*D121^G121+H121*LN(D121)+I121+J121*EXP(K121*D121)+L121*D121^3+M121*D121^2+N121*D121+O121)</f>
        <v>9.8008834200000017</v>
      </c>
      <c r="D121">
        <f>proc_pipe_diam</f>
        <v>2</v>
      </c>
      <c r="E121" t="s">
        <v>2631</v>
      </c>
      <c r="F121">
        <f t="shared" si="46"/>
        <v>0</v>
      </c>
      <c r="G121">
        <f t="shared" si="46"/>
        <v>0</v>
      </c>
      <c r="H121">
        <f t="shared" si="46"/>
        <v>0</v>
      </c>
      <c r="I121">
        <f t="shared" si="46"/>
        <v>0</v>
      </c>
      <c r="J121">
        <f t="shared" si="46"/>
        <v>0</v>
      </c>
      <c r="K121">
        <f t="shared" si="46"/>
        <v>0</v>
      </c>
      <c r="L121">
        <f t="shared" si="46"/>
        <v>6.5072480000000002E-3</v>
      </c>
      <c r="M121">
        <f t="shared" si="46"/>
        <v>0.74408816600000005</v>
      </c>
      <c r="N121">
        <f t="shared" si="46"/>
        <v>2.9106427579999998</v>
      </c>
      <c r="O121">
        <f t="shared" si="46"/>
        <v>0.95118725599999998</v>
      </c>
      <c r="P121">
        <f t="shared" si="46"/>
        <v>18.100000000000001</v>
      </c>
      <c r="Q121">
        <f t="shared" si="46"/>
        <v>0</v>
      </c>
    </row>
    <row r="122" spans="1:17" x14ac:dyDescent="0.2">
      <c r="A122" s="5" t="s">
        <v>580</v>
      </c>
      <c r="B122" t="s">
        <v>1470</v>
      </c>
      <c r="C122" s="82">
        <f t="shared" si="47"/>
        <v>3.418102201</v>
      </c>
      <c r="D122">
        <f>proc_pipe_diam</f>
        <v>2</v>
      </c>
      <c r="E122" t="s">
        <v>2632</v>
      </c>
      <c r="F122">
        <f t="shared" si="46"/>
        <v>0</v>
      </c>
      <c r="G122">
        <f t="shared" si="46"/>
        <v>0</v>
      </c>
      <c r="H122">
        <f t="shared" si="46"/>
        <v>0</v>
      </c>
      <c r="I122">
        <f t="shared" si="46"/>
        <v>0</v>
      </c>
      <c r="J122">
        <f t="shared" si="46"/>
        <v>0</v>
      </c>
      <c r="K122">
        <f t="shared" si="46"/>
        <v>0</v>
      </c>
      <c r="L122">
        <f t="shared" si="46"/>
        <v>0</v>
      </c>
      <c r="M122">
        <f t="shared" si="46"/>
        <v>9.7106987000000006E-2</v>
      </c>
      <c r="N122">
        <f t="shared" si="46"/>
        <v>0.800977414</v>
      </c>
      <c r="O122">
        <f t="shared" si="46"/>
        <v>1.427719425</v>
      </c>
      <c r="P122">
        <f t="shared" si="46"/>
        <v>48.1</v>
      </c>
      <c r="Q122">
        <f t="shared" si="46"/>
        <v>0</v>
      </c>
    </row>
    <row r="123" spans="1:17" x14ac:dyDescent="0.2">
      <c r="A123" s="5" t="s">
        <v>1421</v>
      </c>
      <c r="B123" t="s">
        <v>1472</v>
      </c>
      <c r="C123" s="82">
        <f t="shared" si="47"/>
        <v>95.441199361000002</v>
      </c>
      <c r="D123">
        <f>proc_pipe_diam</f>
        <v>2</v>
      </c>
      <c r="E123" t="s">
        <v>2633</v>
      </c>
      <c r="F123">
        <f t="shared" si="46"/>
        <v>0</v>
      </c>
      <c r="G123">
        <f t="shared" si="46"/>
        <v>0</v>
      </c>
      <c r="H123">
        <f t="shared" si="46"/>
        <v>0</v>
      </c>
      <c r="I123">
        <f t="shared" si="46"/>
        <v>0</v>
      </c>
      <c r="J123">
        <f t="shared" si="46"/>
        <v>0</v>
      </c>
      <c r="K123">
        <f t="shared" si="46"/>
        <v>0</v>
      </c>
      <c r="L123">
        <f t="shared" si="46"/>
        <v>4.8585111E-2</v>
      </c>
      <c r="M123">
        <f t="shared" si="46"/>
        <v>-2.5845256220000001</v>
      </c>
      <c r="N123">
        <f t="shared" si="46"/>
        <v>58.928328317999998</v>
      </c>
      <c r="O123">
        <f t="shared" si="46"/>
        <v>-12.466035675000001</v>
      </c>
      <c r="P123">
        <f t="shared" si="46"/>
        <v>48.1</v>
      </c>
      <c r="Q123">
        <f t="shared" si="46"/>
        <v>0</v>
      </c>
    </row>
    <row r="124" spans="1:17" x14ac:dyDescent="0.2">
      <c r="A124" s="5" t="s">
        <v>581</v>
      </c>
      <c r="B124" t="s">
        <v>1473</v>
      </c>
      <c r="C124" s="82">
        <f t="shared" si="47"/>
        <v>39.402378953941181</v>
      </c>
      <c r="D124">
        <f>proc_pipe_diam</f>
        <v>2</v>
      </c>
      <c r="E124" t="s">
        <v>2634</v>
      </c>
      <c r="F124">
        <f t="shared" si="46"/>
        <v>20.769417377</v>
      </c>
      <c r="G124">
        <f t="shared" si="46"/>
        <v>0.92382198999999998</v>
      </c>
      <c r="H124">
        <f t="shared" si="46"/>
        <v>0</v>
      </c>
      <c r="I124">
        <f t="shared" si="46"/>
        <v>0</v>
      </c>
      <c r="J124">
        <f t="shared" si="46"/>
        <v>0</v>
      </c>
      <c r="K124">
        <f t="shared" si="46"/>
        <v>0</v>
      </c>
      <c r="L124">
        <f t="shared" si="46"/>
        <v>0</v>
      </c>
      <c r="M124">
        <f t="shared" si="46"/>
        <v>0</v>
      </c>
      <c r="N124">
        <f t="shared" si="46"/>
        <v>0</v>
      </c>
      <c r="O124">
        <f t="shared" si="46"/>
        <v>0</v>
      </c>
      <c r="P124">
        <f t="shared" si="46"/>
        <v>48.1</v>
      </c>
      <c r="Q124">
        <f t="shared" si="46"/>
        <v>0</v>
      </c>
    </row>
    <row r="125" spans="1:17" x14ac:dyDescent="0.2">
      <c r="A125" s="13" t="s">
        <v>452</v>
      </c>
      <c r="C125" s="10"/>
    </row>
    <row r="126" spans="1:17" x14ac:dyDescent="0.2">
      <c r="A126" s="5" t="s">
        <v>1431</v>
      </c>
      <c r="B126" t="s">
        <v>453</v>
      </c>
      <c r="C126" s="82" t="str">
        <f t="shared" ref="C126:C129" si="48">IF(OR(D126&gt;P126,D126&lt;=Q126),"contact vendor",F126*D126^G126+H126*LN(D126)+I126+J126*EXP(K126*D126)+L126*D126^3+M126*D126^2+N126*D126+O126)</f>
        <v>contact vendor</v>
      </c>
      <c r="D126">
        <f>recycle_pipe_diam</f>
        <v>0</v>
      </c>
      <c r="E126" t="s">
        <v>2631</v>
      </c>
      <c r="F126">
        <f t="shared" ref="F126:Q129" si="49">VLOOKUP($E126,eq_table_cl,F$4,FALSE)</f>
        <v>0</v>
      </c>
      <c r="G126">
        <f t="shared" si="49"/>
        <v>0</v>
      </c>
      <c r="H126">
        <f t="shared" si="49"/>
        <v>0</v>
      </c>
      <c r="I126">
        <f t="shared" si="49"/>
        <v>0</v>
      </c>
      <c r="J126">
        <f t="shared" si="49"/>
        <v>0</v>
      </c>
      <c r="K126">
        <f t="shared" si="49"/>
        <v>0</v>
      </c>
      <c r="L126">
        <f t="shared" si="49"/>
        <v>6.5072480000000002E-3</v>
      </c>
      <c r="M126">
        <f t="shared" si="49"/>
        <v>0.74408816600000005</v>
      </c>
      <c r="N126">
        <f t="shared" si="49"/>
        <v>2.9106427579999998</v>
      </c>
      <c r="O126">
        <f t="shared" si="49"/>
        <v>0.95118725599999998</v>
      </c>
      <c r="P126">
        <f t="shared" si="49"/>
        <v>18.100000000000001</v>
      </c>
      <c r="Q126">
        <f t="shared" si="49"/>
        <v>0</v>
      </c>
    </row>
    <row r="127" spans="1:17" x14ac:dyDescent="0.2">
      <c r="A127" s="5" t="s">
        <v>580</v>
      </c>
      <c r="B127" t="s">
        <v>454</v>
      </c>
      <c r="C127" s="82" t="str">
        <f t="shared" si="48"/>
        <v>contact vendor</v>
      </c>
      <c r="D127">
        <f>recycle_pipe_diam</f>
        <v>0</v>
      </c>
      <c r="E127" t="s">
        <v>2632</v>
      </c>
      <c r="F127">
        <f t="shared" si="49"/>
        <v>0</v>
      </c>
      <c r="G127">
        <f t="shared" si="49"/>
        <v>0</v>
      </c>
      <c r="H127">
        <f t="shared" si="49"/>
        <v>0</v>
      </c>
      <c r="I127">
        <f t="shared" si="49"/>
        <v>0</v>
      </c>
      <c r="J127">
        <f t="shared" si="49"/>
        <v>0</v>
      </c>
      <c r="K127">
        <f t="shared" si="49"/>
        <v>0</v>
      </c>
      <c r="L127">
        <f t="shared" si="49"/>
        <v>0</v>
      </c>
      <c r="M127">
        <f t="shared" si="49"/>
        <v>9.7106987000000006E-2</v>
      </c>
      <c r="N127">
        <f t="shared" si="49"/>
        <v>0.800977414</v>
      </c>
      <c r="O127">
        <f t="shared" si="49"/>
        <v>1.427719425</v>
      </c>
      <c r="P127">
        <f t="shared" si="49"/>
        <v>48.1</v>
      </c>
      <c r="Q127">
        <f t="shared" si="49"/>
        <v>0</v>
      </c>
    </row>
    <row r="128" spans="1:17" x14ac:dyDescent="0.2">
      <c r="A128" s="5" t="s">
        <v>1421</v>
      </c>
      <c r="B128" t="s">
        <v>455</v>
      </c>
      <c r="C128" s="82" t="str">
        <f t="shared" si="48"/>
        <v>contact vendor</v>
      </c>
      <c r="D128">
        <f>recycle_pipe_diam</f>
        <v>0</v>
      </c>
      <c r="E128" t="s">
        <v>2633</v>
      </c>
      <c r="F128">
        <f t="shared" si="49"/>
        <v>0</v>
      </c>
      <c r="G128">
        <f t="shared" si="49"/>
        <v>0</v>
      </c>
      <c r="H128">
        <f t="shared" si="49"/>
        <v>0</v>
      </c>
      <c r="I128">
        <f t="shared" si="49"/>
        <v>0</v>
      </c>
      <c r="J128">
        <f t="shared" si="49"/>
        <v>0</v>
      </c>
      <c r="K128">
        <f t="shared" si="49"/>
        <v>0</v>
      </c>
      <c r="L128">
        <f t="shared" si="49"/>
        <v>4.8585111E-2</v>
      </c>
      <c r="M128">
        <f t="shared" si="49"/>
        <v>-2.5845256220000001</v>
      </c>
      <c r="N128">
        <f t="shared" si="49"/>
        <v>58.928328317999998</v>
      </c>
      <c r="O128">
        <f t="shared" si="49"/>
        <v>-12.466035675000001</v>
      </c>
      <c r="P128">
        <f t="shared" si="49"/>
        <v>48.1</v>
      </c>
      <c r="Q128">
        <f t="shared" si="49"/>
        <v>0</v>
      </c>
    </row>
    <row r="129" spans="1:17" x14ac:dyDescent="0.2">
      <c r="A129" s="5" t="s">
        <v>581</v>
      </c>
      <c r="B129" t="s">
        <v>456</v>
      </c>
      <c r="C129" s="82" t="str">
        <f t="shared" si="48"/>
        <v>contact vendor</v>
      </c>
      <c r="D129">
        <f>recycle_pipe_diam</f>
        <v>0</v>
      </c>
      <c r="E129" t="s">
        <v>2634</v>
      </c>
      <c r="F129">
        <f t="shared" si="49"/>
        <v>20.769417377</v>
      </c>
      <c r="G129">
        <f t="shared" si="49"/>
        <v>0.92382198999999998</v>
      </c>
      <c r="H129">
        <f t="shared" si="49"/>
        <v>0</v>
      </c>
      <c r="I129">
        <f t="shared" si="49"/>
        <v>0</v>
      </c>
      <c r="J129">
        <f t="shared" si="49"/>
        <v>0</v>
      </c>
      <c r="K129">
        <f t="shared" si="49"/>
        <v>0</v>
      </c>
      <c r="L129">
        <f t="shared" si="49"/>
        <v>0</v>
      </c>
      <c r="M129">
        <f t="shared" si="49"/>
        <v>0</v>
      </c>
      <c r="N129">
        <f t="shared" si="49"/>
        <v>0</v>
      </c>
      <c r="O129">
        <f t="shared" si="49"/>
        <v>0</v>
      </c>
      <c r="P129">
        <f t="shared" si="49"/>
        <v>48.1</v>
      </c>
      <c r="Q129">
        <f t="shared" si="49"/>
        <v>0</v>
      </c>
    </row>
    <row r="130" spans="1:17" x14ac:dyDescent="0.2">
      <c r="A130" s="13" t="s">
        <v>1521</v>
      </c>
      <c r="C130" s="10"/>
    </row>
    <row r="131" spans="1:17" x14ac:dyDescent="0.2">
      <c r="A131" s="5" t="s">
        <v>1431</v>
      </c>
      <c r="B131" t="s">
        <v>1839</v>
      </c>
      <c r="C131" s="82" t="str">
        <f t="shared" ref="C131:C134" si="50">IF(OR(D131&gt;P131,D131&lt;=Q131),"contact vendor",F131*D131^G131+H131*LN(D131)+I131+J131*EXP(K131*D131)+L131*D131^3+M131*D131^2+N131*D131+O131)</f>
        <v>contact vendor</v>
      </c>
      <c r="D131">
        <f>bp_pipe_diam</f>
        <v>0</v>
      </c>
      <c r="E131" t="s">
        <v>2631</v>
      </c>
      <c r="F131">
        <f t="shared" ref="F131:Q134" si="51">VLOOKUP($E131,eq_table_cl,F$4,FALSE)</f>
        <v>0</v>
      </c>
      <c r="G131">
        <f t="shared" si="51"/>
        <v>0</v>
      </c>
      <c r="H131">
        <f t="shared" si="51"/>
        <v>0</v>
      </c>
      <c r="I131">
        <f t="shared" si="51"/>
        <v>0</v>
      </c>
      <c r="J131">
        <f t="shared" si="51"/>
        <v>0</v>
      </c>
      <c r="K131">
        <f t="shared" si="51"/>
        <v>0</v>
      </c>
      <c r="L131">
        <f t="shared" si="51"/>
        <v>6.5072480000000002E-3</v>
      </c>
      <c r="M131">
        <f t="shared" si="51"/>
        <v>0.74408816600000005</v>
      </c>
      <c r="N131">
        <f t="shared" si="51"/>
        <v>2.9106427579999998</v>
      </c>
      <c r="O131">
        <f t="shared" si="51"/>
        <v>0.95118725599999998</v>
      </c>
      <c r="P131">
        <f t="shared" si="51"/>
        <v>18.100000000000001</v>
      </c>
      <c r="Q131">
        <f t="shared" si="51"/>
        <v>0</v>
      </c>
    </row>
    <row r="132" spans="1:17" x14ac:dyDescent="0.2">
      <c r="A132" s="5" t="s">
        <v>580</v>
      </c>
      <c r="B132" t="s">
        <v>3144</v>
      </c>
      <c r="C132" s="82" t="str">
        <f t="shared" si="50"/>
        <v>contact vendor</v>
      </c>
      <c r="D132">
        <f>bp_pipe_diam</f>
        <v>0</v>
      </c>
      <c r="E132" t="s">
        <v>2632</v>
      </c>
      <c r="F132">
        <f t="shared" si="51"/>
        <v>0</v>
      </c>
      <c r="G132">
        <f t="shared" si="51"/>
        <v>0</v>
      </c>
      <c r="H132">
        <f t="shared" si="51"/>
        <v>0</v>
      </c>
      <c r="I132">
        <f t="shared" si="51"/>
        <v>0</v>
      </c>
      <c r="J132">
        <f t="shared" si="51"/>
        <v>0</v>
      </c>
      <c r="K132">
        <f t="shared" si="51"/>
        <v>0</v>
      </c>
      <c r="L132">
        <f t="shared" si="51"/>
        <v>0</v>
      </c>
      <c r="M132">
        <f t="shared" si="51"/>
        <v>9.7106987000000006E-2</v>
      </c>
      <c r="N132">
        <f t="shared" si="51"/>
        <v>0.800977414</v>
      </c>
      <c r="O132">
        <f t="shared" si="51"/>
        <v>1.427719425</v>
      </c>
      <c r="P132">
        <f t="shared" si="51"/>
        <v>48.1</v>
      </c>
      <c r="Q132">
        <f t="shared" si="51"/>
        <v>0</v>
      </c>
    </row>
    <row r="133" spans="1:17" x14ac:dyDescent="0.2">
      <c r="A133" s="5" t="s">
        <v>1421</v>
      </c>
      <c r="B133" t="s">
        <v>1837</v>
      </c>
      <c r="C133" s="82" t="str">
        <f t="shared" si="50"/>
        <v>contact vendor</v>
      </c>
      <c r="D133">
        <f>bp_pipe_diam</f>
        <v>0</v>
      </c>
      <c r="E133" t="s">
        <v>2633</v>
      </c>
      <c r="F133">
        <f t="shared" si="51"/>
        <v>0</v>
      </c>
      <c r="G133">
        <f t="shared" si="51"/>
        <v>0</v>
      </c>
      <c r="H133">
        <f t="shared" si="51"/>
        <v>0</v>
      </c>
      <c r="I133">
        <f t="shared" si="51"/>
        <v>0</v>
      </c>
      <c r="J133">
        <f t="shared" si="51"/>
        <v>0</v>
      </c>
      <c r="K133">
        <f t="shared" si="51"/>
        <v>0</v>
      </c>
      <c r="L133">
        <f t="shared" si="51"/>
        <v>4.8585111E-2</v>
      </c>
      <c r="M133">
        <f t="shared" si="51"/>
        <v>-2.5845256220000001</v>
      </c>
      <c r="N133">
        <f t="shared" si="51"/>
        <v>58.928328317999998</v>
      </c>
      <c r="O133">
        <f t="shared" si="51"/>
        <v>-12.466035675000001</v>
      </c>
      <c r="P133">
        <f t="shared" si="51"/>
        <v>48.1</v>
      </c>
      <c r="Q133">
        <f t="shared" si="51"/>
        <v>0</v>
      </c>
    </row>
    <row r="134" spans="1:17" x14ac:dyDescent="0.2">
      <c r="A134" s="5" t="s">
        <v>581</v>
      </c>
      <c r="B134" t="s">
        <v>1838</v>
      </c>
      <c r="C134" s="82" t="str">
        <f t="shared" si="50"/>
        <v>contact vendor</v>
      </c>
      <c r="D134">
        <f>bp_pipe_diam</f>
        <v>0</v>
      </c>
      <c r="E134" t="s">
        <v>2634</v>
      </c>
      <c r="F134">
        <f t="shared" si="51"/>
        <v>20.769417377</v>
      </c>
      <c r="G134">
        <f t="shared" si="51"/>
        <v>0.92382198999999998</v>
      </c>
      <c r="H134">
        <f t="shared" si="51"/>
        <v>0</v>
      </c>
      <c r="I134">
        <f t="shared" si="51"/>
        <v>0</v>
      </c>
      <c r="J134">
        <f t="shared" si="51"/>
        <v>0</v>
      </c>
      <c r="K134">
        <f t="shared" si="51"/>
        <v>0</v>
      </c>
      <c r="L134">
        <f t="shared" si="51"/>
        <v>0</v>
      </c>
      <c r="M134">
        <f t="shared" si="51"/>
        <v>0</v>
      </c>
      <c r="N134">
        <f t="shared" si="51"/>
        <v>0</v>
      </c>
      <c r="O134">
        <f t="shared" si="51"/>
        <v>0</v>
      </c>
      <c r="P134">
        <f t="shared" si="51"/>
        <v>48.1</v>
      </c>
      <c r="Q134">
        <f t="shared" si="51"/>
        <v>0</v>
      </c>
    </row>
    <row r="135" spans="1:17" x14ac:dyDescent="0.2">
      <c r="A135" s="23" t="s">
        <v>4423</v>
      </c>
      <c r="C135" s="10"/>
    </row>
    <row r="136" spans="1:17" x14ac:dyDescent="0.2">
      <c r="A136" s="24" t="s">
        <v>2172</v>
      </c>
      <c r="B136" t="s">
        <v>2171</v>
      </c>
      <c r="C136" s="82" t="str">
        <f>IF(OR(D136&gt;P136,D136&lt;Q136),"contact vendor",F136*D136^G136+H136*LN(D136)+I136+J136*EXP(K136*D136)+L136*D136^3+M136*D136^2+N136*D136+O136)</f>
        <v>contact vendor</v>
      </c>
      <c r="D136">
        <f>in_out_pipe_diam</f>
        <v>3</v>
      </c>
      <c r="E136" t="s">
        <v>2635</v>
      </c>
      <c r="F136">
        <f t="shared" ref="F136:Q140" si="52">VLOOKUP($E136,eq_table_cl,F$4,FALSE)</f>
        <v>0</v>
      </c>
      <c r="G136">
        <f t="shared" si="52"/>
        <v>0</v>
      </c>
      <c r="H136">
        <f t="shared" si="52"/>
        <v>0</v>
      </c>
      <c r="I136">
        <f t="shared" si="52"/>
        <v>0</v>
      </c>
      <c r="J136">
        <f t="shared" si="52"/>
        <v>0</v>
      </c>
      <c r="K136">
        <f t="shared" si="52"/>
        <v>0</v>
      </c>
      <c r="L136">
        <f t="shared" si="52"/>
        <v>1.3009082E-2</v>
      </c>
      <c r="M136">
        <f t="shared" si="52"/>
        <v>-0.63853567099999997</v>
      </c>
      <c r="N136">
        <f t="shared" si="52"/>
        <v>18.152542467</v>
      </c>
      <c r="O136">
        <f t="shared" si="52"/>
        <v>11.056607186999999</v>
      </c>
      <c r="P136">
        <f t="shared" si="52"/>
        <v>48.1</v>
      </c>
      <c r="Q136">
        <f t="shared" si="52"/>
        <v>4</v>
      </c>
    </row>
    <row r="137" spans="1:17" x14ac:dyDescent="0.2">
      <c r="A137" s="24" t="s">
        <v>1431</v>
      </c>
      <c r="B137" t="s">
        <v>578</v>
      </c>
      <c r="C137" s="82">
        <f t="shared" ref="C137:C140" si="53">IF(OR(D137&gt;P137,D137&lt;=Q137),"contact vendor",F137*D137^G137+H137*LN(D137)+I137+J137*EXP(K137*D137)+L137*D137^3+M137*D137^2+N137*D137+O137)</f>
        <v>16.555604720000002</v>
      </c>
      <c r="D137">
        <f>in_out_pipe_diam</f>
        <v>3</v>
      </c>
      <c r="E137" t="s">
        <v>2631</v>
      </c>
      <c r="F137">
        <f t="shared" si="52"/>
        <v>0</v>
      </c>
      <c r="G137">
        <f t="shared" si="52"/>
        <v>0</v>
      </c>
      <c r="H137">
        <f t="shared" si="52"/>
        <v>0</v>
      </c>
      <c r="I137">
        <f t="shared" si="52"/>
        <v>0</v>
      </c>
      <c r="J137">
        <f t="shared" si="52"/>
        <v>0</v>
      </c>
      <c r="K137">
        <f t="shared" si="52"/>
        <v>0</v>
      </c>
      <c r="L137">
        <f t="shared" si="52"/>
        <v>6.5072480000000002E-3</v>
      </c>
      <c r="M137">
        <f t="shared" si="52"/>
        <v>0.74408816600000005</v>
      </c>
      <c r="N137">
        <f t="shared" si="52"/>
        <v>2.9106427579999998</v>
      </c>
      <c r="O137">
        <f t="shared" si="52"/>
        <v>0.95118725599999998</v>
      </c>
      <c r="P137">
        <f t="shared" si="52"/>
        <v>18.100000000000001</v>
      </c>
      <c r="Q137">
        <f t="shared" si="52"/>
        <v>0</v>
      </c>
    </row>
    <row r="138" spans="1:17" x14ac:dyDescent="0.2">
      <c r="A138" s="24" t="s">
        <v>580</v>
      </c>
      <c r="B138" t="s">
        <v>575</v>
      </c>
      <c r="C138" s="82">
        <f t="shared" si="53"/>
        <v>4.7046145499999996</v>
      </c>
      <c r="D138">
        <f>in_out_pipe_diam</f>
        <v>3</v>
      </c>
      <c r="E138" t="s">
        <v>2632</v>
      </c>
      <c r="F138">
        <f t="shared" si="52"/>
        <v>0</v>
      </c>
      <c r="G138">
        <f t="shared" si="52"/>
        <v>0</v>
      </c>
      <c r="H138">
        <f t="shared" si="52"/>
        <v>0</v>
      </c>
      <c r="I138">
        <f t="shared" si="52"/>
        <v>0</v>
      </c>
      <c r="J138">
        <f t="shared" si="52"/>
        <v>0</v>
      </c>
      <c r="K138">
        <f t="shared" si="52"/>
        <v>0</v>
      </c>
      <c r="L138">
        <f t="shared" si="52"/>
        <v>0</v>
      </c>
      <c r="M138">
        <f t="shared" si="52"/>
        <v>9.7106987000000006E-2</v>
      </c>
      <c r="N138">
        <f t="shared" si="52"/>
        <v>0.800977414</v>
      </c>
      <c r="O138">
        <f t="shared" si="52"/>
        <v>1.427719425</v>
      </c>
      <c r="P138">
        <f t="shared" si="52"/>
        <v>48.1</v>
      </c>
      <c r="Q138">
        <f t="shared" si="52"/>
        <v>0</v>
      </c>
    </row>
    <row r="139" spans="1:17" x14ac:dyDescent="0.2">
      <c r="A139" s="24" t="s">
        <v>1421</v>
      </c>
      <c r="B139" t="s">
        <v>576</v>
      </c>
      <c r="C139" s="82">
        <f t="shared" si="53"/>
        <v>142.37001667799998</v>
      </c>
      <c r="D139">
        <f>in_out_pipe_diam</f>
        <v>3</v>
      </c>
      <c r="E139" t="s">
        <v>2633</v>
      </c>
      <c r="F139">
        <f t="shared" si="52"/>
        <v>0</v>
      </c>
      <c r="G139">
        <f t="shared" si="52"/>
        <v>0</v>
      </c>
      <c r="H139">
        <f t="shared" si="52"/>
        <v>0</v>
      </c>
      <c r="I139">
        <f t="shared" si="52"/>
        <v>0</v>
      </c>
      <c r="J139">
        <f t="shared" si="52"/>
        <v>0</v>
      </c>
      <c r="K139">
        <f t="shared" si="52"/>
        <v>0</v>
      </c>
      <c r="L139">
        <f t="shared" si="52"/>
        <v>4.8585111E-2</v>
      </c>
      <c r="M139">
        <f t="shared" si="52"/>
        <v>-2.5845256220000001</v>
      </c>
      <c r="N139">
        <f t="shared" si="52"/>
        <v>58.928328317999998</v>
      </c>
      <c r="O139">
        <f t="shared" si="52"/>
        <v>-12.466035675000001</v>
      </c>
      <c r="P139">
        <f t="shared" si="52"/>
        <v>48.1</v>
      </c>
      <c r="Q139">
        <f t="shared" si="52"/>
        <v>0</v>
      </c>
    </row>
    <row r="140" spans="1:17" x14ac:dyDescent="0.2">
      <c r="A140" s="24" t="s">
        <v>581</v>
      </c>
      <c r="B140" t="s">
        <v>577</v>
      </c>
      <c r="C140" s="82">
        <f t="shared" si="53"/>
        <v>57.305910991826345</v>
      </c>
      <c r="D140">
        <f>in_out_pipe_diam</f>
        <v>3</v>
      </c>
      <c r="E140" t="s">
        <v>2634</v>
      </c>
      <c r="F140">
        <f t="shared" si="52"/>
        <v>20.769417377</v>
      </c>
      <c r="G140">
        <f t="shared" si="52"/>
        <v>0.92382198999999998</v>
      </c>
      <c r="H140">
        <f t="shared" si="52"/>
        <v>0</v>
      </c>
      <c r="I140">
        <f t="shared" si="52"/>
        <v>0</v>
      </c>
      <c r="J140">
        <f t="shared" si="52"/>
        <v>0</v>
      </c>
      <c r="K140">
        <f t="shared" si="52"/>
        <v>0</v>
      </c>
      <c r="L140">
        <f t="shared" si="52"/>
        <v>0</v>
      </c>
      <c r="M140">
        <f t="shared" si="52"/>
        <v>0</v>
      </c>
      <c r="N140">
        <f t="shared" si="52"/>
        <v>0</v>
      </c>
      <c r="O140">
        <f t="shared" si="52"/>
        <v>0</v>
      </c>
      <c r="P140">
        <f t="shared" si="52"/>
        <v>48.1</v>
      </c>
      <c r="Q140">
        <f t="shared" si="52"/>
        <v>0</v>
      </c>
    </row>
    <row r="141" spans="1:17" x14ac:dyDescent="0.2">
      <c r="A141" s="86" t="s">
        <v>1313</v>
      </c>
      <c r="C141" s="10"/>
    </row>
    <row r="142" spans="1:17" x14ac:dyDescent="0.2">
      <c r="A142" s="87" t="s">
        <v>1431</v>
      </c>
      <c r="B142" t="s">
        <v>1314</v>
      </c>
      <c r="C142" s="82">
        <f t="shared" ref="C142:C145" si="54">IF(OR(D142&gt;P142,D142&lt;=Q142),"contact vendor",F142*D142^G142+H142*LN(D142)+I142+J142*EXP(K142*D142)+L142*D142^3+M142*D142^2+N142*D142+O142)</f>
        <v>4.6124254279999999</v>
      </c>
      <c r="D142">
        <f>res_pipe_diam</f>
        <v>1</v>
      </c>
      <c r="E142" t="s">
        <v>2631</v>
      </c>
      <c r="F142">
        <f t="shared" ref="F142:Q145" si="55">VLOOKUP($E142,eq_table_cl,F$4,FALSE)</f>
        <v>0</v>
      </c>
      <c r="G142">
        <f t="shared" si="55"/>
        <v>0</v>
      </c>
      <c r="H142">
        <f t="shared" si="55"/>
        <v>0</v>
      </c>
      <c r="I142">
        <f t="shared" si="55"/>
        <v>0</v>
      </c>
      <c r="J142">
        <f t="shared" si="55"/>
        <v>0</v>
      </c>
      <c r="K142">
        <f t="shared" si="55"/>
        <v>0</v>
      </c>
      <c r="L142">
        <f t="shared" si="55"/>
        <v>6.5072480000000002E-3</v>
      </c>
      <c r="M142">
        <f t="shared" si="55"/>
        <v>0.74408816600000005</v>
      </c>
      <c r="N142">
        <f t="shared" si="55"/>
        <v>2.9106427579999998</v>
      </c>
      <c r="O142">
        <f t="shared" si="55"/>
        <v>0.95118725599999998</v>
      </c>
      <c r="P142">
        <f t="shared" si="55"/>
        <v>18.100000000000001</v>
      </c>
      <c r="Q142">
        <f t="shared" si="55"/>
        <v>0</v>
      </c>
    </row>
    <row r="143" spans="1:17" x14ac:dyDescent="0.2">
      <c r="A143" s="87" t="s">
        <v>580</v>
      </c>
      <c r="B143" t="s">
        <v>1315</v>
      </c>
      <c r="C143" s="82">
        <f t="shared" si="54"/>
        <v>2.325803826</v>
      </c>
      <c r="D143">
        <f>res_pipe_diam</f>
        <v>1</v>
      </c>
      <c r="E143" t="s">
        <v>2632</v>
      </c>
      <c r="F143">
        <f t="shared" si="55"/>
        <v>0</v>
      </c>
      <c r="G143">
        <f t="shared" si="55"/>
        <v>0</v>
      </c>
      <c r="H143">
        <f t="shared" si="55"/>
        <v>0</v>
      </c>
      <c r="I143">
        <f t="shared" si="55"/>
        <v>0</v>
      </c>
      <c r="J143">
        <f t="shared" si="55"/>
        <v>0</v>
      </c>
      <c r="K143">
        <f t="shared" si="55"/>
        <v>0</v>
      </c>
      <c r="L143">
        <f t="shared" si="55"/>
        <v>0</v>
      </c>
      <c r="M143">
        <f t="shared" si="55"/>
        <v>9.7106987000000006E-2</v>
      </c>
      <c r="N143">
        <f t="shared" si="55"/>
        <v>0.800977414</v>
      </c>
      <c r="O143">
        <f t="shared" si="55"/>
        <v>1.427719425</v>
      </c>
      <c r="P143">
        <f t="shared" si="55"/>
        <v>48.1</v>
      </c>
      <c r="Q143">
        <f t="shared" si="55"/>
        <v>0</v>
      </c>
    </row>
    <row r="144" spans="1:17" x14ac:dyDescent="0.2">
      <c r="A144" s="87" t="s">
        <v>1421</v>
      </c>
      <c r="B144" t="s">
        <v>1316</v>
      </c>
      <c r="C144" s="82">
        <f t="shared" si="54"/>
        <v>43.926352131999998</v>
      </c>
      <c r="D144">
        <f>res_pipe_diam</f>
        <v>1</v>
      </c>
      <c r="E144" t="s">
        <v>2633</v>
      </c>
      <c r="F144">
        <f t="shared" si="55"/>
        <v>0</v>
      </c>
      <c r="G144">
        <f t="shared" si="55"/>
        <v>0</v>
      </c>
      <c r="H144">
        <f t="shared" si="55"/>
        <v>0</v>
      </c>
      <c r="I144">
        <f t="shared" si="55"/>
        <v>0</v>
      </c>
      <c r="J144">
        <f t="shared" si="55"/>
        <v>0</v>
      </c>
      <c r="K144">
        <f t="shared" si="55"/>
        <v>0</v>
      </c>
      <c r="L144">
        <f t="shared" si="55"/>
        <v>4.8585111E-2</v>
      </c>
      <c r="M144">
        <f t="shared" si="55"/>
        <v>-2.5845256220000001</v>
      </c>
      <c r="N144">
        <f t="shared" si="55"/>
        <v>58.928328317999998</v>
      </c>
      <c r="O144">
        <f t="shared" si="55"/>
        <v>-12.466035675000001</v>
      </c>
      <c r="P144">
        <f t="shared" si="55"/>
        <v>48.1</v>
      </c>
      <c r="Q144">
        <f t="shared" si="55"/>
        <v>0</v>
      </c>
    </row>
    <row r="145" spans="1:17" x14ac:dyDescent="0.2">
      <c r="A145" s="87" t="s">
        <v>581</v>
      </c>
      <c r="B145" t="s">
        <v>1317</v>
      </c>
      <c r="C145" s="82">
        <f t="shared" si="54"/>
        <v>20.769417377</v>
      </c>
      <c r="D145">
        <f>res_pipe_diam</f>
        <v>1</v>
      </c>
      <c r="E145" t="s">
        <v>2634</v>
      </c>
      <c r="F145">
        <f t="shared" si="55"/>
        <v>20.769417377</v>
      </c>
      <c r="G145">
        <f t="shared" si="55"/>
        <v>0.92382198999999998</v>
      </c>
      <c r="H145">
        <f t="shared" si="55"/>
        <v>0</v>
      </c>
      <c r="I145">
        <f t="shared" si="55"/>
        <v>0</v>
      </c>
      <c r="J145">
        <f t="shared" si="55"/>
        <v>0</v>
      </c>
      <c r="K145">
        <f t="shared" si="55"/>
        <v>0</v>
      </c>
      <c r="L145">
        <f t="shared" si="55"/>
        <v>0</v>
      </c>
      <c r="M145">
        <f t="shared" si="55"/>
        <v>0</v>
      </c>
      <c r="N145">
        <f t="shared" si="55"/>
        <v>0</v>
      </c>
      <c r="O145">
        <f t="shared" si="55"/>
        <v>0</v>
      </c>
      <c r="P145">
        <f t="shared" si="55"/>
        <v>48.1</v>
      </c>
      <c r="Q145">
        <f t="shared" si="55"/>
        <v>0</v>
      </c>
    </row>
    <row r="146" spans="1:17" x14ac:dyDescent="0.2">
      <c r="A146" s="13" t="s">
        <v>148</v>
      </c>
      <c r="B146" s="5"/>
      <c r="C146" s="10"/>
    </row>
    <row r="147" spans="1:17" x14ac:dyDescent="0.2">
      <c r="A147" s="5" t="s">
        <v>1431</v>
      </c>
      <c r="B147" s="5" t="s">
        <v>149</v>
      </c>
      <c r="C147" s="82" t="str">
        <f t="shared" ref="C147:C150" si="56">IF(OR(D147&gt;P147,D147&lt;=Q147),"contact vendor",F147*D147^G147+H147*LN(D147)+I147+J147*EXP(K147*D147)+L147*D147^3+M147*D147^2+N147*D147+O147)</f>
        <v>contact vendor</v>
      </c>
      <c r="D147">
        <f>H202_pipe_diam</f>
        <v>0</v>
      </c>
      <c r="E147" t="s">
        <v>2631</v>
      </c>
      <c r="F147">
        <f t="shared" ref="F147:Q150" si="57">VLOOKUP($E147,eq_table_cl,F$4,FALSE)</f>
        <v>0</v>
      </c>
      <c r="G147">
        <f t="shared" si="57"/>
        <v>0</v>
      </c>
      <c r="H147">
        <f t="shared" si="57"/>
        <v>0</v>
      </c>
      <c r="I147">
        <f t="shared" si="57"/>
        <v>0</v>
      </c>
      <c r="J147">
        <f t="shared" si="57"/>
        <v>0</v>
      </c>
      <c r="K147">
        <f t="shared" si="57"/>
        <v>0</v>
      </c>
      <c r="L147">
        <f t="shared" si="57"/>
        <v>6.5072480000000002E-3</v>
      </c>
      <c r="M147">
        <f t="shared" si="57"/>
        <v>0.74408816600000005</v>
      </c>
      <c r="N147">
        <f t="shared" si="57"/>
        <v>2.9106427579999998</v>
      </c>
      <c r="O147">
        <f t="shared" si="57"/>
        <v>0.95118725599999998</v>
      </c>
      <c r="P147">
        <f t="shared" si="57"/>
        <v>18.100000000000001</v>
      </c>
      <c r="Q147">
        <f t="shared" si="57"/>
        <v>0</v>
      </c>
    </row>
    <row r="148" spans="1:17" x14ac:dyDescent="0.2">
      <c r="A148" s="5" t="s">
        <v>580</v>
      </c>
      <c r="B148" s="5" t="s">
        <v>150</v>
      </c>
      <c r="C148" s="82" t="str">
        <f t="shared" si="56"/>
        <v>contact vendor</v>
      </c>
      <c r="D148">
        <f>H202_pipe_diam</f>
        <v>0</v>
      </c>
      <c r="E148" t="s">
        <v>2632</v>
      </c>
      <c r="F148">
        <f t="shared" si="57"/>
        <v>0</v>
      </c>
      <c r="G148">
        <f t="shared" si="57"/>
        <v>0</v>
      </c>
      <c r="H148">
        <f t="shared" si="57"/>
        <v>0</v>
      </c>
      <c r="I148">
        <f t="shared" si="57"/>
        <v>0</v>
      </c>
      <c r="J148">
        <f t="shared" si="57"/>
        <v>0</v>
      </c>
      <c r="K148">
        <f t="shared" si="57"/>
        <v>0</v>
      </c>
      <c r="L148">
        <f t="shared" si="57"/>
        <v>0</v>
      </c>
      <c r="M148">
        <f t="shared" si="57"/>
        <v>9.7106987000000006E-2</v>
      </c>
      <c r="N148">
        <f t="shared" si="57"/>
        <v>0.800977414</v>
      </c>
      <c r="O148">
        <f t="shared" si="57"/>
        <v>1.427719425</v>
      </c>
      <c r="P148">
        <f t="shared" si="57"/>
        <v>48.1</v>
      </c>
      <c r="Q148">
        <f t="shared" si="57"/>
        <v>0</v>
      </c>
    </row>
    <row r="149" spans="1:17" x14ac:dyDescent="0.2">
      <c r="A149" s="5" t="s">
        <v>1421</v>
      </c>
      <c r="B149" s="5" t="s">
        <v>151</v>
      </c>
      <c r="C149" s="82" t="str">
        <f t="shared" si="56"/>
        <v>contact vendor</v>
      </c>
      <c r="D149">
        <f>H202_pipe_diam</f>
        <v>0</v>
      </c>
      <c r="E149" t="s">
        <v>2633</v>
      </c>
      <c r="F149">
        <f t="shared" si="57"/>
        <v>0</v>
      </c>
      <c r="G149">
        <f t="shared" si="57"/>
        <v>0</v>
      </c>
      <c r="H149">
        <f t="shared" si="57"/>
        <v>0</v>
      </c>
      <c r="I149">
        <f t="shared" si="57"/>
        <v>0</v>
      </c>
      <c r="J149">
        <f t="shared" si="57"/>
        <v>0</v>
      </c>
      <c r="K149">
        <f t="shared" si="57"/>
        <v>0</v>
      </c>
      <c r="L149">
        <f t="shared" si="57"/>
        <v>4.8585111E-2</v>
      </c>
      <c r="M149">
        <f t="shared" si="57"/>
        <v>-2.5845256220000001</v>
      </c>
      <c r="N149">
        <f t="shared" si="57"/>
        <v>58.928328317999998</v>
      </c>
      <c r="O149">
        <f t="shared" si="57"/>
        <v>-12.466035675000001</v>
      </c>
      <c r="P149">
        <f t="shared" si="57"/>
        <v>48.1</v>
      </c>
      <c r="Q149">
        <f t="shared" si="57"/>
        <v>0</v>
      </c>
    </row>
    <row r="150" spans="1:17" x14ac:dyDescent="0.2">
      <c r="A150" s="5" t="s">
        <v>581</v>
      </c>
      <c r="B150" s="5" t="s">
        <v>152</v>
      </c>
      <c r="C150" s="82" t="str">
        <f t="shared" si="56"/>
        <v>contact vendor</v>
      </c>
      <c r="D150">
        <f>H202_pipe_diam</f>
        <v>0</v>
      </c>
      <c r="E150" t="s">
        <v>2634</v>
      </c>
      <c r="F150">
        <f t="shared" si="57"/>
        <v>20.769417377</v>
      </c>
      <c r="G150">
        <f t="shared" si="57"/>
        <v>0.92382198999999998</v>
      </c>
      <c r="H150">
        <f t="shared" si="57"/>
        <v>0</v>
      </c>
      <c r="I150">
        <f t="shared" si="57"/>
        <v>0</v>
      </c>
      <c r="J150">
        <f t="shared" si="57"/>
        <v>0</v>
      </c>
      <c r="K150">
        <f t="shared" si="57"/>
        <v>0</v>
      </c>
      <c r="L150">
        <f t="shared" si="57"/>
        <v>0</v>
      </c>
      <c r="M150">
        <f t="shared" si="57"/>
        <v>0</v>
      </c>
      <c r="N150">
        <f t="shared" si="57"/>
        <v>0</v>
      </c>
      <c r="O150">
        <f t="shared" si="57"/>
        <v>0</v>
      </c>
      <c r="P150">
        <f t="shared" si="57"/>
        <v>48.1</v>
      </c>
      <c r="Q150">
        <f t="shared" si="57"/>
        <v>0</v>
      </c>
    </row>
    <row r="151" spans="1:17" x14ac:dyDescent="0.2">
      <c r="A151" s="874" t="s">
        <v>4317</v>
      </c>
      <c r="B151" s="694"/>
      <c r="C151" s="622"/>
    </row>
    <row r="152" spans="1:17" x14ac:dyDescent="0.2">
      <c r="A152" s="694" t="s">
        <v>1431</v>
      </c>
      <c r="B152" s="694" t="s">
        <v>4318</v>
      </c>
      <c r="C152" s="82">
        <f t="shared" ref="C152:C153" si="58">IF(OR(D152&gt;P152,D152&lt;=Q152),"contact vendor",F152*D152^G152+H152*LN(D152)+I152+J152*EXP(K152*D152)+L152*D152^3+M152*D152^2+N152*D152+O152)</f>
        <v>2.5933440824999998</v>
      </c>
      <c r="D152">
        <f>coag_pipe_diam</f>
        <v>0.5</v>
      </c>
      <c r="E152" t="s">
        <v>2631</v>
      </c>
      <c r="F152">
        <f t="shared" ref="F152:Q153" si="59">VLOOKUP($E152,eq_table_cl,F$4,FALSE)</f>
        <v>0</v>
      </c>
      <c r="G152">
        <f t="shared" si="59"/>
        <v>0</v>
      </c>
      <c r="H152">
        <f t="shared" si="59"/>
        <v>0</v>
      </c>
      <c r="I152">
        <f t="shared" si="59"/>
        <v>0</v>
      </c>
      <c r="J152">
        <f t="shared" si="59"/>
        <v>0</v>
      </c>
      <c r="K152">
        <f t="shared" si="59"/>
        <v>0</v>
      </c>
      <c r="L152">
        <f t="shared" si="59"/>
        <v>6.5072480000000002E-3</v>
      </c>
      <c r="M152">
        <f t="shared" si="59"/>
        <v>0.74408816600000005</v>
      </c>
      <c r="N152">
        <f t="shared" si="59"/>
        <v>2.9106427579999998</v>
      </c>
      <c r="O152">
        <f t="shared" si="59"/>
        <v>0.95118725599999998</v>
      </c>
      <c r="P152">
        <f t="shared" si="59"/>
        <v>18.100000000000001</v>
      </c>
      <c r="Q152">
        <f t="shared" si="59"/>
        <v>0</v>
      </c>
    </row>
    <row r="153" spans="1:17" x14ac:dyDescent="0.2">
      <c r="A153" s="694" t="s">
        <v>580</v>
      </c>
      <c r="B153" s="694" t="s">
        <v>4319</v>
      </c>
      <c r="C153" s="82">
        <f t="shared" si="58"/>
        <v>1.8524848787500001</v>
      </c>
      <c r="D153">
        <f>coag_pipe_diam</f>
        <v>0.5</v>
      </c>
      <c r="E153" t="s">
        <v>2632</v>
      </c>
      <c r="F153">
        <f t="shared" si="59"/>
        <v>0</v>
      </c>
      <c r="G153">
        <f t="shared" si="59"/>
        <v>0</v>
      </c>
      <c r="H153">
        <f t="shared" si="59"/>
        <v>0</v>
      </c>
      <c r="I153">
        <f t="shared" si="59"/>
        <v>0</v>
      </c>
      <c r="J153">
        <f t="shared" si="59"/>
        <v>0</v>
      </c>
      <c r="K153">
        <f t="shared" si="59"/>
        <v>0</v>
      </c>
      <c r="L153">
        <f t="shared" si="59"/>
        <v>0</v>
      </c>
      <c r="M153">
        <f t="shared" si="59"/>
        <v>9.7106987000000006E-2</v>
      </c>
      <c r="N153">
        <f t="shared" si="59"/>
        <v>0.800977414</v>
      </c>
      <c r="O153">
        <f t="shared" si="59"/>
        <v>1.427719425</v>
      </c>
      <c r="P153">
        <f t="shared" si="59"/>
        <v>48.1</v>
      </c>
      <c r="Q153">
        <f t="shared" si="59"/>
        <v>0</v>
      </c>
    </row>
    <row r="154" spans="1:17" x14ac:dyDescent="0.2">
      <c r="A154" s="13" t="s">
        <v>2912</v>
      </c>
      <c r="B154" s="5"/>
      <c r="C154" s="10"/>
    </row>
    <row r="155" spans="1:17" x14ac:dyDescent="0.2">
      <c r="A155" s="5" t="s">
        <v>1431</v>
      </c>
      <c r="B155" s="5" t="s">
        <v>2913</v>
      </c>
      <c r="C155" s="82">
        <f t="shared" ref="C155:C158" si="60">IF(OR(D155&gt;P155,D155&lt;=Q155),"contact vendor",F155*D155^G155+H155*LN(D155)+I155+J155*EXP(K155*D155)+L155*D155^3+M155*D155^2+N155*D155+O155)</f>
        <v>2.5933440824999998</v>
      </c>
      <c r="D155">
        <f>polymer_pipe_diam</f>
        <v>0.5</v>
      </c>
      <c r="E155" t="s">
        <v>2631</v>
      </c>
      <c r="F155">
        <f t="shared" ref="F155:Q158" si="61">VLOOKUP($E155,eq_table_cl,F$4,FALSE)</f>
        <v>0</v>
      </c>
      <c r="G155">
        <f t="shared" si="61"/>
        <v>0</v>
      </c>
      <c r="H155">
        <f t="shared" si="61"/>
        <v>0</v>
      </c>
      <c r="I155">
        <f t="shared" si="61"/>
        <v>0</v>
      </c>
      <c r="J155">
        <f t="shared" si="61"/>
        <v>0</v>
      </c>
      <c r="K155">
        <f t="shared" si="61"/>
        <v>0</v>
      </c>
      <c r="L155">
        <f t="shared" si="61"/>
        <v>6.5072480000000002E-3</v>
      </c>
      <c r="M155">
        <f t="shared" si="61"/>
        <v>0.74408816600000005</v>
      </c>
      <c r="N155">
        <f t="shared" si="61"/>
        <v>2.9106427579999998</v>
      </c>
      <c r="O155">
        <f t="shared" si="61"/>
        <v>0.95118725599999998</v>
      </c>
      <c r="P155">
        <f t="shared" si="61"/>
        <v>18.100000000000001</v>
      </c>
      <c r="Q155">
        <f t="shared" si="61"/>
        <v>0</v>
      </c>
    </row>
    <row r="156" spans="1:17" x14ac:dyDescent="0.2">
      <c r="A156" s="5" t="s">
        <v>580</v>
      </c>
      <c r="B156" s="5" t="s">
        <v>2914</v>
      </c>
      <c r="C156" s="82">
        <f t="shared" si="60"/>
        <v>1.8524848787500001</v>
      </c>
      <c r="D156">
        <f>polymer_pipe_diam</f>
        <v>0.5</v>
      </c>
      <c r="E156" t="s">
        <v>2632</v>
      </c>
      <c r="F156">
        <f t="shared" si="61"/>
        <v>0</v>
      </c>
      <c r="G156">
        <f t="shared" si="61"/>
        <v>0</v>
      </c>
      <c r="H156">
        <f t="shared" si="61"/>
        <v>0</v>
      </c>
      <c r="I156">
        <f t="shared" si="61"/>
        <v>0</v>
      </c>
      <c r="J156">
        <f t="shared" si="61"/>
        <v>0</v>
      </c>
      <c r="K156">
        <f t="shared" si="61"/>
        <v>0</v>
      </c>
      <c r="L156">
        <f t="shared" si="61"/>
        <v>0</v>
      </c>
      <c r="M156">
        <f t="shared" si="61"/>
        <v>9.7106987000000006E-2</v>
      </c>
      <c r="N156">
        <f t="shared" si="61"/>
        <v>0.800977414</v>
      </c>
      <c r="O156">
        <f t="shared" si="61"/>
        <v>1.427719425</v>
      </c>
      <c r="P156">
        <f t="shared" si="61"/>
        <v>48.1</v>
      </c>
      <c r="Q156">
        <f t="shared" si="61"/>
        <v>0</v>
      </c>
    </row>
    <row r="157" spans="1:17" x14ac:dyDescent="0.2">
      <c r="A157" s="5" t="s">
        <v>1421</v>
      </c>
      <c r="B157" s="5" t="s">
        <v>2915</v>
      </c>
      <c r="C157" s="82">
        <f t="shared" si="60"/>
        <v>16.358070217374998</v>
      </c>
      <c r="D157">
        <f>polymer_pipe_diam</f>
        <v>0.5</v>
      </c>
      <c r="E157" t="s">
        <v>2633</v>
      </c>
      <c r="F157">
        <f t="shared" si="61"/>
        <v>0</v>
      </c>
      <c r="G157">
        <f t="shared" si="61"/>
        <v>0</v>
      </c>
      <c r="H157">
        <f t="shared" si="61"/>
        <v>0</v>
      </c>
      <c r="I157">
        <f t="shared" si="61"/>
        <v>0</v>
      </c>
      <c r="J157">
        <f t="shared" si="61"/>
        <v>0</v>
      </c>
      <c r="K157">
        <f t="shared" si="61"/>
        <v>0</v>
      </c>
      <c r="L157">
        <f t="shared" si="61"/>
        <v>4.8585111E-2</v>
      </c>
      <c r="M157">
        <f t="shared" si="61"/>
        <v>-2.5845256220000001</v>
      </c>
      <c r="N157">
        <f t="shared" si="61"/>
        <v>58.928328317999998</v>
      </c>
      <c r="O157">
        <f t="shared" si="61"/>
        <v>-12.466035675000001</v>
      </c>
      <c r="P157">
        <f t="shared" si="61"/>
        <v>48.1</v>
      </c>
      <c r="Q157">
        <f t="shared" si="61"/>
        <v>0</v>
      </c>
    </row>
    <row r="158" spans="1:17" x14ac:dyDescent="0.2">
      <c r="A158" s="5" t="s">
        <v>581</v>
      </c>
      <c r="B158" s="5" t="s">
        <v>2916</v>
      </c>
      <c r="C158" s="82">
        <f t="shared" si="60"/>
        <v>10.947783094119053</v>
      </c>
      <c r="D158">
        <f>polymer_pipe_diam</f>
        <v>0.5</v>
      </c>
      <c r="E158" t="s">
        <v>2634</v>
      </c>
      <c r="F158">
        <f t="shared" si="61"/>
        <v>20.769417377</v>
      </c>
      <c r="G158">
        <f t="shared" si="61"/>
        <v>0.92382198999999998</v>
      </c>
      <c r="H158">
        <f t="shared" si="61"/>
        <v>0</v>
      </c>
      <c r="I158">
        <f t="shared" si="61"/>
        <v>0</v>
      </c>
      <c r="J158">
        <f t="shared" si="61"/>
        <v>0</v>
      </c>
      <c r="K158">
        <f t="shared" si="61"/>
        <v>0</v>
      </c>
      <c r="L158">
        <f t="shared" si="61"/>
        <v>0</v>
      </c>
      <c r="M158">
        <f t="shared" si="61"/>
        <v>0</v>
      </c>
      <c r="N158">
        <f t="shared" si="61"/>
        <v>0</v>
      </c>
      <c r="O158">
        <f t="shared" si="61"/>
        <v>0</v>
      </c>
      <c r="P158">
        <f t="shared" si="61"/>
        <v>48.1</v>
      </c>
      <c r="Q158">
        <f t="shared" si="61"/>
        <v>0</v>
      </c>
    </row>
    <row r="159" spans="1:17" x14ac:dyDescent="0.2">
      <c r="A159" s="18" t="s">
        <v>1522</v>
      </c>
      <c r="C159" s="10"/>
    </row>
    <row r="160" spans="1:17" x14ac:dyDescent="0.2">
      <c r="A160" s="13" t="s">
        <v>2463</v>
      </c>
      <c r="C160" s="10"/>
    </row>
    <row r="161" spans="1:17" x14ac:dyDescent="0.2">
      <c r="A161" s="5" t="s">
        <v>1840</v>
      </c>
      <c r="B161" t="s">
        <v>3135</v>
      </c>
      <c r="C161" s="82">
        <f t="shared" ref="C161:C194" si="62">IF(OR(D161&gt;P161,D161&lt;=Q161),"contact vendor",F161*D161^G161+H161*LN(D161)+I161+J161*EXP(K161*D161)+L161*D161^3+M161*D161^2+N161*D161+O161)</f>
        <v>861.98733126223192</v>
      </c>
      <c r="D161">
        <f>tank_valve_size</f>
        <v>2</v>
      </c>
      <c r="E161" t="str">
        <f>IF(D161&gt;12,"pp_mov_eq_large","pp_mov_eq_small")</f>
        <v>pp_mov_eq_small</v>
      </c>
      <c r="F161">
        <f t="shared" ref="F161:Q170" si="63">VLOOKUP($E161,eq_table_cl,F$4,FALSE)</f>
        <v>0</v>
      </c>
      <c r="G161">
        <f t="shared" si="63"/>
        <v>0</v>
      </c>
      <c r="H161">
        <f t="shared" si="63"/>
        <v>0</v>
      </c>
      <c r="I161">
        <f t="shared" si="63"/>
        <v>0</v>
      </c>
      <c r="J161">
        <f t="shared" si="63"/>
        <v>599.000620282</v>
      </c>
      <c r="K161">
        <f t="shared" si="63"/>
        <v>0.18198897</v>
      </c>
      <c r="L161">
        <f t="shared" si="63"/>
        <v>0</v>
      </c>
      <c r="M161">
        <f t="shared" si="63"/>
        <v>0</v>
      </c>
      <c r="N161">
        <f t="shared" si="63"/>
        <v>0</v>
      </c>
      <c r="O161">
        <f t="shared" si="63"/>
        <v>0</v>
      </c>
      <c r="P161">
        <f t="shared" si="63"/>
        <v>12</v>
      </c>
      <c r="Q161">
        <f t="shared" si="63"/>
        <v>0</v>
      </c>
    </row>
    <row r="162" spans="1:17" x14ac:dyDescent="0.2">
      <c r="A162" s="5" t="s">
        <v>583</v>
      </c>
      <c r="B162" t="s">
        <v>3136</v>
      </c>
      <c r="C162" s="82">
        <f t="shared" si="62"/>
        <v>1534.037500743</v>
      </c>
      <c r="D162">
        <f>tank_valve_size</f>
        <v>2</v>
      </c>
      <c r="E162" t="s">
        <v>2636</v>
      </c>
      <c r="F162">
        <f t="shared" si="63"/>
        <v>0</v>
      </c>
      <c r="G162">
        <f t="shared" si="63"/>
        <v>0</v>
      </c>
      <c r="H162">
        <f t="shared" si="63"/>
        <v>0</v>
      </c>
      <c r="I162">
        <f t="shared" si="63"/>
        <v>0</v>
      </c>
      <c r="J162">
        <f t="shared" si="63"/>
        <v>0</v>
      </c>
      <c r="K162">
        <f t="shared" si="63"/>
        <v>0</v>
      </c>
      <c r="L162">
        <f t="shared" si="63"/>
        <v>1.4813451259999999</v>
      </c>
      <c r="M162">
        <f t="shared" si="63"/>
        <v>44.575825872999999</v>
      </c>
      <c r="N162">
        <f t="shared" si="63"/>
        <v>-42.850924452000001</v>
      </c>
      <c r="O162">
        <f t="shared" si="63"/>
        <v>1429.5852851469999</v>
      </c>
      <c r="P162">
        <f t="shared" si="63"/>
        <v>48.1</v>
      </c>
      <c r="Q162">
        <f t="shared" si="63"/>
        <v>0</v>
      </c>
    </row>
    <row r="163" spans="1:17" x14ac:dyDescent="0.2">
      <c r="A163" s="35" t="s">
        <v>2550</v>
      </c>
      <c r="B163" t="s">
        <v>2637</v>
      </c>
      <c r="C163" s="82">
        <f>IF(OR(D163&gt;P163,D163&lt;Q163),"contact vendor",F163*D163^G163+H163*LN(D163)+I163+J163*EXP(K163*D163)+L163*D163^3+M163*D163^2+N163*D163+O163)</f>
        <v>1444.175598795</v>
      </c>
      <c r="D163">
        <f>tank_valve_size</f>
        <v>2</v>
      </c>
      <c r="E163" t="s">
        <v>2638</v>
      </c>
      <c r="F163">
        <f t="shared" si="63"/>
        <v>0</v>
      </c>
      <c r="G163">
        <f t="shared" si="63"/>
        <v>0</v>
      </c>
      <c r="H163">
        <f t="shared" si="63"/>
        <v>0</v>
      </c>
      <c r="I163">
        <f t="shared" si="63"/>
        <v>0</v>
      </c>
      <c r="J163">
        <f t="shared" si="63"/>
        <v>0</v>
      </c>
      <c r="K163">
        <f t="shared" si="63"/>
        <v>0</v>
      </c>
      <c r="L163">
        <f t="shared" si="63"/>
        <v>0</v>
      </c>
      <c r="M163">
        <f t="shared" si="63"/>
        <v>0</v>
      </c>
      <c r="N163">
        <f t="shared" si="63"/>
        <v>1304.6120832720001</v>
      </c>
      <c r="O163">
        <f t="shared" si="63"/>
        <v>-1165.0485677490001</v>
      </c>
      <c r="P163">
        <f t="shared" si="63"/>
        <v>48.1</v>
      </c>
      <c r="Q163">
        <f t="shared" si="63"/>
        <v>1</v>
      </c>
    </row>
    <row r="164" spans="1:17" x14ac:dyDescent="0.2">
      <c r="A164" s="5" t="s">
        <v>1841</v>
      </c>
      <c r="B164" t="s">
        <v>3137</v>
      </c>
      <c r="C164" s="82">
        <f t="shared" si="62"/>
        <v>1240.4363770220834</v>
      </c>
      <c r="D164">
        <f>back_valve_size</f>
        <v>4</v>
      </c>
      <c r="E164" t="str">
        <f>IF(D164&gt;12,"pp_mov_eq_large","pp_mov_eq_small")</f>
        <v>pp_mov_eq_small</v>
      </c>
      <c r="F164">
        <f t="shared" si="63"/>
        <v>0</v>
      </c>
      <c r="G164">
        <f t="shared" si="63"/>
        <v>0</v>
      </c>
      <c r="H164">
        <f t="shared" si="63"/>
        <v>0</v>
      </c>
      <c r="I164">
        <f t="shared" si="63"/>
        <v>0</v>
      </c>
      <c r="J164">
        <f t="shared" si="63"/>
        <v>599.000620282</v>
      </c>
      <c r="K164">
        <f t="shared" si="63"/>
        <v>0.18198897</v>
      </c>
      <c r="L164">
        <f t="shared" si="63"/>
        <v>0</v>
      </c>
      <c r="M164">
        <f t="shared" si="63"/>
        <v>0</v>
      </c>
      <c r="N164">
        <f t="shared" si="63"/>
        <v>0</v>
      </c>
      <c r="O164">
        <f t="shared" si="63"/>
        <v>0</v>
      </c>
      <c r="P164">
        <f t="shared" si="63"/>
        <v>12</v>
      </c>
      <c r="Q164">
        <f t="shared" si="63"/>
        <v>0</v>
      </c>
    </row>
    <row r="165" spans="1:17" x14ac:dyDescent="0.2">
      <c r="A165" s="5" t="s">
        <v>584</v>
      </c>
      <c r="B165" t="s">
        <v>3138</v>
      </c>
      <c r="C165" s="82">
        <f t="shared" si="62"/>
        <v>2066.2008893709999</v>
      </c>
      <c r="D165">
        <f>back_valve_size</f>
        <v>4</v>
      </c>
      <c r="E165" t="s">
        <v>2636</v>
      </c>
      <c r="F165">
        <f t="shared" si="63"/>
        <v>0</v>
      </c>
      <c r="G165">
        <f t="shared" si="63"/>
        <v>0</v>
      </c>
      <c r="H165">
        <f t="shared" si="63"/>
        <v>0</v>
      </c>
      <c r="I165">
        <f t="shared" si="63"/>
        <v>0</v>
      </c>
      <c r="J165">
        <f t="shared" si="63"/>
        <v>0</v>
      </c>
      <c r="K165">
        <f t="shared" si="63"/>
        <v>0</v>
      </c>
      <c r="L165">
        <f t="shared" si="63"/>
        <v>1.4813451259999999</v>
      </c>
      <c r="M165">
        <f t="shared" si="63"/>
        <v>44.575825872999999</v>
      </c>
      <c r="N165">
        <f t="shared" si="63"/>
        <v>-42.850924452000001</v>
      </c>
      <c r="O165">
        <f t="shared" si="63"/>
        <v>1429.5852851469999</v>
      </c>
      <c r="P165">
        <f t="shared" si="63"/>
        <v>48.1</v>
      </c>
      <c r="Q165">
        <f t="shared" si="63"/>
        <v>0</v>
      </c>
    </row>
    <row r="166" spans="1:17" x14ac:dyDescent="0.2">
      <c r="A166" s="35" t="s">
        <v>1453</v>
      </c>
      <c r="B166" t="s">
        <v>1454</v>
      </c>
      <c r="C166" s="82">
        <f>IF(OR(D166&gt;P166,D166&lt;Q166),"contact vendor",F166*D166^G166+H166*LN(D166)+I166+J166*EXP(K166*D166)+L166*D166^3+M166*D166^2+N166*D166+O166)</f>
        <v>4053.3997653390002</v>
      </c>
      <c r="D166">
        <f>back_valve_size</f>
        <v>4</v>
      </c>
      <c r="E166" t="s">
        <v>2638</v>
      </c>
      <c r="F166">
        <f t="shared" si="63"/>
        <v>0</v>
      </c>
      <c r="G166">
        <f t="shared" si="63"/>
        <v>0</v>
      </c>
      <c r="H166">
        <f t="shared" si="63"/>
        <v>0</v>
      </c>
      <c r="I166">
        <f t="shared" si="63"/>
        <v>0</v>
      </c>
      <c r="J166">
        <f t="shared" si="63"/>
        <v>0</v>
      </c>
      <c r="K166">
        <f t="shared" si="63"/>
        <v>0</v>
      </c>
      <c r="L166">
        <f t="shared" si="63"/>
        <v>0</v>
      </c>
      <c r="M166">
        <f t="shared" si="63"/>
        <v>0</v>
      </c>
      <c r="N166">
        <f t="shared" si="63"/>
        <v>1304.6120832720001</v>
      </c>
      <c r="O166">
        <f t="shared" si="63"/>
        <v>-1165.0485677490001</v>
      </c>
      <c r="P166">
        <f t="shared" si="63"/>
        <v>48.1</v>
      </c>
      <c r="Q166">
        <f t="shared" si="63"/>
        <v>1</v>
      </c>
    </row>
    <row r="167" spans="1:17" x14ac:dyDescent="0.2">
      <c r="A167" s="5" t="s">
        <v>468</v>
      </c>
      <c r="B167" t="s">
        <v>464</v>
      </c>
      <c r="C167" s="82" t="str">
        <f t="shared" si="62"/>
        <v>contact vendor</v>
      </c>
      <c r="D167">
        <f>rec_valve_size</f>
        <v>0</v>
      </c>
      <c r="E167" t="str">
        <f>IF(D167&gt;12,"pp_mov_eq_large","pp_mov_eq_small")</f>
        <v>pp_mov_eq_small</v>
      </c>
      <c r="F167">
        <f t="shared" si="63"/>
        <v>0</v>
      </c>
      <c r="G167">
        <f t="shared" si="63"/>
        <v>0</v>
      </c>
      <c r="H167">
        <f t="shared" si="63"/>
        <v>0</v>
      </c>
      <c r="I167">
        <f t="shared" si="63"/>
        <v>0</v>
      </c>
      <c r="J167">
        <f t="shared" si="63"/>
        <v>599.000620282</v>
      </c>
      <c r="K167">
        <f t="shared" si="63"/>
        <v>0.18198897</v>
      </c>
      <c r="L167">
        <f t="shared" si="63"/>
        <v>0</v>
      </c>
      <c r="M167">
        <f t="shared" si="63"/>
        <v>0</v>
      </c>
      <c r="N167">
        <f t="shared" si="63"/>
        <v>0</v>
      </c>
      <c r="O167">
        <f t="shared" si="63"/>
        <v>0</v>
      </c>
      <c r="P167">
        <f t="shared" si="63"/>
        <v>12</v>
      </c>
      <c r="Q167">
        <f t="shared" si="63"/>
        <v>0</v>
      </c>
    </row>
    <row r="168" spans="1:17" x14ac:dyDescent="0.2">
      <c r="A168" s="5" t="s">
        <v>469</v>
      </c>
      <c r="B168" t="s">
        <v>465</v>
      </c>
      <c r="C168" s="82" t="str">
        <f t="shared" si="62"/>
        <v>contact vendor</v>
      </c>
      <c r="D168">
        <f>rec_valve_size</f>
        <v>0</v>
      </c>
      <c r="E168" t="s">
        <v>2636</v>
      </c>
      <c r="F168">
        <f t="shared" si="63"/>
        <v>0</v>
      </c>
      <c r="G168">
        <f t="shared" si="63"/>
        <v>0</v>
      </c>
      <c r="H168">
        <f t="shared" si="63"/>
        <v>0</v>
      </c>
      <c r="I168">
        <f t="shared" si="63"/>
        <v>0</v>
      </c>
      <c r="J168">
        <f t="shared" si="63"/>
        <v>0</v>
      </c>
      <c r="K168">
        <f t="shared" si="63"/>
        <v>0</v>
      </c>
      <c r="L168">
        <f t="shared" si="63"/>
        <v>1.4813451259999999</v>
      </c>
      <c r="M168">
        <f t="shared" si="63"/>
        <v>44.575825872999999</v>
      </c>
      <c r="N168">
        <f t="shared" si="63"/>
        <v>-42.850924452000001</v>
      </c>
      <c r="O168">
        <f t="shared" si="63"/>
        <v>1429.5852851469999</v>
      </c>
      <c r="P168">
        <f t="shared" si="63"/>
        <v>48.1</v>
      </c>
      <c r="Q168">
        <f t="shared" si="63"/>
        <v>0</v>
      </c>
    </row>
    <row r="169" spans="1:17" x14ac:dyDescent="0.2">
      <c r="A169" s="5" t="s">
        <v>2062</v>
      </c>
      <c r="B169" t="s">
        <v>2056</v>
      </c>
      <c r="C169" s="82">
        <f t="shared" si="62"/>
        <v>656.06319532697046</v>
      </c>
      <c r="D169">
        <f>e_donor_valve_size</f>
        <v>0.5</v>
      </c>
      <c r="E169" t="str">
        <f>IF(D169&gt;12,"pp_mov_eq_large","pp_mov_eq_small")</f>
        <v>pp_mov_eq_small</v>
      </c>
      <c r="F169">
        <f t="shared" si="63"/>
        <v>0</v>
      </c>
      <c r="G169">
        <f t="shared" si="63"/>
        <v>0</v>
      </c>
      <c r="H169">
        <f t="shared" si="63"/>
        <v>0</v>
      </c>
      <c r="I169">
        <f t="shared" si="63"/>
        <v>0</v>
      </c>
      <c r="J169">
        <f t="shared" si="63"/>
        <v>599.000620282</v>
      </c>
      <c r="K169">
        <f t="shared" si="63"/>
        <v>0.18198897</v>
      </c>
      <c r="L169">
        <f t="shared" si="63"/>
        <v>0</v>
      </c>
      <c r="M169">
        <f t="shared" si="63"/>
        <v>0</v>
      </c>
      <c r="N169">
        <f t="shared" si="63"/>
        <v>0</v>
      </c>
      <c r="O169">
        <f t="shared" si="63"/>
        <v>0</v>
      </c>
      <c r="P169">
        <f t="shared" si="63"/>
        <v>12</v>
      </c>
      <c r="Q169">
        <f t="shared" si="63"/>
        <v>0</v>
      </c>
    </row>
    <row r="170" spans="1:17" x14ac:dyDescent="0.2">
      <c r="A170" s="5" t="s">
        <v>2063</v>
      </c>
      <c r="B170" t="s">
        <v>2057</v>
      </c>
      <c r="C170" s="82">
        <f t="shared" si="62"/>
        <v>1419.4889475299999</v>
      </c>
      <c r="D170">
        <f>e_donor_valve_size</f>
        <v>0.5</v>
      </c>
      <c r="E170" t="s">
        <v>2636</v>
      </c>
      <c r="F170">
        <f t="shared" si="63"/>
        <v>0</v>
      </c>
      <c r="G170">
        <f t="shared" si="63"/>
        <v>0</v>
      </c>
      <c r="H170">
        <f t="shared" si="63"/>
        <v>0</v>
      </c>
      <c r="I170">
        <f t="shared" si="63"/>
        <v>0</v>
      </c>
      <c r="J170">
        <f t="shared" si="63"/>
        <v>0</v>
      </c>
      <c r="K170">
        <f t="shared" si="63"/>
        <v>0</v>
      </c>
      <c r="L170">
        <f t="shared" si="63"/>
        <v>1.4813451259999999</v>
      </c>
      <c r="M170">
        <f t="shared" si="63"/>
        <v>44.575825872999999</v>
      </c>
      <c r="N170">
        <f t="shared" si="63"/>
        <v>-42.850924452000001</v>
      </c>
      <c r="O170">
        <f t="shared" si="63"/>
        <v>1429.5852851469999</v>
      </c>
      <c r="P170">
        <f t="shared" si="63"/>
        <v>48.1</v>
      </c>
      <c r="Q170">
        <f t="shared" si="63"/>
        <v>0</v>
      </c>
    </row>
    <row r="171" spans="1:17" x14ac:dyDescent="0.2">
      <c r="A171" s="5" t="s">
        <v>2054</v>
      </c>
      <c r="B171" t="s">
        <v>2053</v>
      </c>
      <c r="C171" s="82" t="str">
        <f t="shared" si="62"/>
        <v>contact vendor</v>
      </c>
      <c r="D171">
        <f>NH4Cl_valve_size</f>
        <v>0</v>
      </c>
      <c r="E171" t="str">
        <f>IF(D171&gt;12,"pp_mov_eq_large","pp_mov_eq_small")</f>
        <v>pp_mov_eq_small</v>
      </c>
      <c r="F171">
        <f t="shared" ref="F171:Q180" si="64">VLOOKUP($E171,eq_table_cl,F$4,FALSE)</f>
        <v>0</v>
      </c>
      <c r="G171">
        <f t="shared" si="64"/>
        <v>0</v>
      </c>
      <c r="H171">
        <f t="shared" si="64"/>
        <v>0</v>
      </c>
      <c r="I171">
        <f t="shared" si="64"/>
        <v>0</v>
      </c>
      <c r="J171">
        <f t="shared" si="64"/>
        <v>599.000620282</v>
      </c>
      <c r="K171">
        <f t="shared" si="64"/>
        <v>0.18198897</v>
      </c>
      <c r="L171">
        <f t="shared" si="64"/>
        <v>0</v>
      </c>
      <c r="M171">
        <f t="shared" si="64"/>
        <v>0</v>
      </c>
      <c r="N171">
        <f t="shared" si="64"/>
        <v>0</v>
      </c>
      <c r="O171">
        <f t="shared" si="64"/>
        <v>0</v>
      </c>
      <c r="P171">
        <f t="shared" si="64"/>
        <v>12</v>
      </c>
      <c r="Q171">
        <f t="shared" si="64"/>
        <v>0</v>
      </c>
    </row>
    <row r="172" spans="1:17" x14ac:dyDescent="0.2">
      <c r="A172" s="5" t="s">
        <v>2055</v>
      </c>
      <c r="B172" t="s">
        <v>2052</v>
      </c>
      <c r="C172" s="82" t="str">
        <f t="shared" si="62"/>
        <v>contact vendor</v>
      </c>
      <c r="D172">
        <f>NH4Cl_valve_size</f>
        <v>0</v>
      </c>
      <c r="E172" t="s">
        <v>2636</v>
      </c>
      <c r="F172">
        <f t="shared" si="64"/>
        <v>0</v>
      </c>
      <c r="G172">
        <f t="shared" si="64"/>
        <v>0</v>
      </c>
      <c r="H172">
        <f t="shared" si="64"/>
        <v>0</v>
      </c>
      <c r="I172">
        <f t="shared" si="64"/>
        <v>0</v>
      </c>
      <c r="J172">
        <f t="shared" si="64"/>
        <v>0</v>
      </c>
      <c r="K172">
        <f t="shared" si="64"/>
        <v>0</v>
      </c>
      <c r="L172">
        <f t="shared" si="64"/>
        <v>1.4813451259999999</v>
      </c>
      <c r="M172">
        <f t="shared" si="64"/>
        <v>44.575825872999999</v>
      </c>
      <c r="N172">
        <f t="shared" si="64"/>
        <v>-42.850924452000001</v>
      </c>
      <c r="O172">
        <f t="shared" si="64"/>
        <v>1429.5852851469999</v>
      </c>
      <c r="P172">
        <f t="shared" si="64"/>
        <v>48.1</v>
      </c>
      <c r="Q172">
        <f t="shared" si="64"/>
        <v>0</v>
      </c>
    </row>
    <row r="173" spans="1:17" x14ac:dyDescent="0.2">
      <c r="A173" s="5" t="s">
        <v>2050</v>
      </c>
      <c r="B173" t="s">
        <v>2049</v>
      </c>
      <c r="C173" s="82">
        <f t="shared" si="62"/>
        <v>656.06319532697046</v>
      </c>
      <c r="D173">
        <f>H3PO4_valve_size</f>
        <v>0.5</v>
      </c>
      <c r="E173" t="str">
        <f>IF(D173&gt;12,"pp_mov_eq_large","pp_mov_eq_small")</f>
        <v>pp_mov_eq_small</v>
      </c>
      <c r="F173">
        <f t="shared" si="64"/>
        <v>0</v>
      </c>
      <c r="G173">
        <f t="shared" si="64"/>
        <v>0</v>
      </c>
      <c r="H173">
        <f t="shared" si="64"/>
        <v>0</v>
      </c>
      <c r="I173">
        <f t="shared" si="64"/>
        <v>0</v>
      </c>
      <c r="J173">
        <f t="shared" si="64"/>
        <v>599.000620282</v>
      </c>
      <c r="K173">
        <f t="shared" si="64"/>
        <v>0.18198897</v>
      </c>
      <c r="L173">
        <f t="shared" si="64"/>
        <v>0</v>
      </c>
      <c r="M173">
        <f t="shared" si="64"/>
        <v>0</v>
      </c>
      <c r="N173">
        <f t="shared" si="64"/>
        <v>0</v>
      </c>
      <c r="O173">
        <f t="shared" si="64"/>
        <v>0</v>
      </c>
      <c r="P173">
        <f t="shared" si="64"/>
        <v>12</v>
      </c>
      <c r="Q173">
        <f t="shared" si="64"/>
        <v>0</v>
      </c>
    </row>
    <row r="174" spans="1:17" x14ac:dyDescent="0.2">
      <c r="A174" s="5" t="s">
        <v>2051</v>
      </c>
      <c r="B174" t="s">
        <v>2048</v>
      </c>
      <c r="C174" s="82">
        <f t="shared" si="62"/>
        <v>1419.4889475299999</v>
      </c>
      <c r="D174">
        <f>H3PO4_valve_size</f>
        <v>0.5</v>
      </c>
      <c r="E174" t="s">
        <v>2636</v>
      </c>
      <c r="F174">
        <f t="shared" si="64"/>
        <v>0</v>
      </c>
      <c r="G174">
        <f t="shared" si="64"/>
        <v>0</v>
      </c>
      <c r="H174">
        <f t="shared" si="64"/>
        <v>0</v>
      </c>
      <c r="I174">
        <f t="shared" si="64"/>
        <v>0</v>
      </c>
      <c r="J174">
        <f t="shared" si="64"/>
        <v>0</v>
      </c>
      <c r="K174">
        <f t="shared" si="64"/>
        <v>0</v>
      </c>
      <c r="L174">
        <f t="shared" si="64"/>
        <v>1.4813451259999999</v>
      </c>
      <c r="M174">
        <f t="shared" si="64"/>
        <v>44.575825872999999</v>
      </c>
      <c r="N174">
        <f t="shared" si="64"/>
        <v>-42.850924452000001</v>
      </c>
      <c r="O174">
        <f t="shared" si="64"/>
        <v>1429.5852851469999</v>
      </c>
      <c r="P174">
        <f t="shared" si="64"/>
        <v>48.1</v>
      </c>
      <c r="Q174">
        <f t="shared" si="64"/>
        <v>0</v>
      </c>
    </row>
    <row r="175" spans="1:17" x14ac:dyDescent="0.2">
      <c r="A175" s="35" t="s">
        <v>3637</v>
      </c>
      <c r="B175" t="s">
        <v>2640</v>
      </c>
      <c r="C175" s="82" t="str">
        <f t="shared" si="62"/>
        <v>contact vendor</v>
      </c>
      <c r="D175">
        <f>bypass_valve_size</f>
        <v>0</v>
      </c>
      <c r="E175" t="str">
        <f>IF(D175&gt;12,"pp_mov_eq_large","pp_mov_eq_small")</f>
        <v>pp_mov_eq_small</v>
      </c>
      <c r="F175">
        <f t="shared" si="64"/>
        <v>0</v>
      </c>
      <c r="G175">
        <f t="shared" si="64"/>
        <v>0</v>
      </c>
      <c r="H175">
        <f t="shared" si="64"/>
        <v>0</v>
      </c>
      <c r="I175">
        <f t="shared" si="64"/>
        <v>0</v>
      </c>
      <c r="J175">
        <f t="shared" si="64"/>
        <v>599.000620282</v>
      </c>
      <c r="K175">
        <f t="shared" si="64"/>
        <v>0.18198897</v>
      </c>
      <c r="L175">
        <f t="shared" si="64"/>
        <v>0</v>
      </c>
      <c r="M175">
        <f t="shared" si="64"/>
        <v>0</v>
      </c>
      <c r="N175">
        <f t="shared" si="64"/>
        <v>0</v>
      </c>
      <c r="O175">
        <f t="shared" si="64"/>
        <v>0</v>
      </c>
      <c r="P175">
        <f t="shared" si="64"/>
        <v>12</v>
      </c>
      <c r="Q175">
        <f t="shared" si="64"/>
        <v>0</v>
      </c>
    </row>
    <row r="176" spans="1:17" x14ac:dyDescent="0.2">
      <c r="A176" s="35" t="s">
        <v>3638</v>
      </c>
      <c r="B176" t="s">
        <v>2639</v>
      </c>
      <c r="C176" s="82" t="str">
        <f t="shared" si="62"/>
        <v>contact vendor</v>
      </c>
      <c r="D176">
        <f>bypass_valve_size</f>
        <v>0</v>
      </c>
      <c r="E176" t="s">
        <v>2636</v>
      </c>
      <c r="F176">
        <f t="shared" si="64"/>
        <v>0</v>
      </c>
      <c r="G176">
        <f t="shared" si="64"/>
        <v>0</v>
      </c>
      <c r="H176">
        <f t="shared" si="64"/>
        <v>0</v>
      </c>
      <c r="I176">
        <f t="shared" si="64"/>
        <v>0</v>
      </c>
      <c r="J176">
        <f t="shared" si="64"/>
        <v>0</v>
      </c>
      <c r="K176">
        <f t="shared" si="64"/>
        <v>0</v>
      </c>
      <c r="L176">
        <f t="shared" si="64"/>
        <v>1.4813451259999999</v>
      </c>
      <c r="M176">
        <f t="shared" si="64"/>
        <v>44.575825872999999</v>
      </c>
      <c r="N176">
        <f t="shared" si="64"/>
        <v>-42.850924452000001</v>
      </c>
      <c r="O176">
        <f t="shared" si="64"/>
        <v>1429.5852851469999</v>
      </c>
      <c r="P176">
        <f t="shared" si="64"/>
        <v>48.1</v>
      </c>
      <c r="Q176">
        <f t="shared" si="64"/>
        <v>0</v>
      </c>
    </row>
    <row r="177" spans="1:17" x14ac:dyDescent="0.2">
      <c r="A177" s="35" t="s">
        <v>1455</v>
      </c>
      <c r="B177" t="s">
        <v>1456</v>
      </c>
      <c r="C177" s="82" t="str">
        <f>IF(OR(D177&gt;P177,D177&lt;Q177),"contact vendor",F177*D177^G177+H177*LN(D177)+I177+J177*EXP(K177*D177)+L177*D177^3+M177*D177^2+N177*D177+O177)</f>
        <v>contact vendor</v>
      </c>
      <c r="D177">
        <f>bypass_valve_size</f>
        <v>0</v>
      </c>
      <c r="E177" t="s">
        <v>2638</v>
      </c>
      <c r="F177">
        <f t="shared" si="64"/>
        <v>0</v>
      </c>
      <c r="G177">
        <f t="shared" si="64"/>
        <v>0</v>
      </c>
      <c r="H177">
        <f t="shared" si="64"/>
        <v>0</v>
      </c>
      <c r="I177">
        <f t="shared" si="64"/>
        <v>0</v>
      </c>
      <c r="J177">
        <f t="shared" si="64"/>
        <v>0</v>
      </c>
      <c r="K177">
        <f t="shared" si="64"/>
        <v>0</v>
      </c>
      <c r="L177">
        <f t="shared" si="64"/>
        <v>0</v>
      </c>
      <c r="M177">
        <f t="shared" si="64"/>
        <v>0</v>
      </c>
      <c r="N177">
        <f t="shared" si="64"/>
        <v>1304.6120832720001</v>
      </c>
      <c r="O177">
        <f t="shared" si="64"/>
        <v>-1165.0485677490001</v>
      </c>
      <c r="P177">
        <f t="shared" si="64"/>
        <v>48.1</v>
      </c>
      <c r="Q177">
        <f t="shared" si="64"/>
        <v>1</v>
      </c>
    </row>
    <row r="178" spans="1:17" x14ac:dyDescent="0.2">
      <c r="A178" s="87" t="s">
        <v>1318</v>
      </c>
      <c r="B178" t="s">
        <v>1319</v>
      </c>
      <c r="C178" s="82">
        <f t="shared" si="62"/>
        <v>718.56172045364531</v>
      </c>
      <c r="D178">
        <f>res_valve_size</f>
        <v>1</v>
      </c>
      <c r="E178" t="str">
        <f>IF(D178&gt;12,"pp_mov_eq_large","pp_mov_eq_small")</f>
        <v>pp_mov_eq_small</v>
      </c>
      <c r="F178">
        <f t="shared" si="64"/>
        <v>0</v>
      </c>
      <c r="G178">
        <f t="shared" si="64"/>
        <v>0</v>
      </c>
      <c r="H178">
        <f t="shared" si="64"/>
        <v>0</v>
      </c>
      <c r="I178">
        <f t="shared" si="64"/>
        <v>0</v>
      </c>
      <c r="J178">
        <f t="shared" si="64"/>
        <v>599.000620282</v>
      </c>
      <c r="K178">
        <f t="shared" si="64"/>
        <v>0.18198897</v>
      </c>
      <c r="L178">
        <f t="shared" si="64"/>
        <v>0</v>
      </c>
      <c r="M178">
        <f t="shared" si="64"/>
        <v>0</v>
      </c>
      <c r="N178">
        <f t="shared" si="64"/>
        <v>0</v>
      </c>
      <c r="O178">
        <f t="shared" si="64"/>
        <v>0</v>
      </c>
      <c r="P178">
        <f t="shared" si="64"/>
        <v>12</v>
      </c>
      <c r="Q178">
        <f t="shared" si="64"/>
        <v>0</v>
      </c>
    </row>
    <row r="179" spans="1:17" x14ac:dyDescent="0.2">
      <c r="A179" s="87" t="s">
        <v>1320</v>
      </c>
      <c r="B179" t="s">
        <v>1760</v>
      </c>
      <c r="C179" s="82">
        <f t="shared" si="62"/>
        <v>1432.791531694</v>
      </c>
      <c r="D179">
        <f>res_valve_size</f>
        <v>1</v>
      </c>
      <c r="E179" t="s">
        <v>2636</v>
      </c>
      <c r="F179">
        <f t="shared" si="64"/>
        <v>0</v>
      </c>
      <c r="G179">
        <f t="shared" si="64"/>
        <v>0</v>
      </c>
      <c r="H179">
        <f t="shared" si="64"/>
        <v>0</v>
      </c>
      <c r="I179">
        <f t="shared" si="64"/>
        <v>0</v>
      </c>
      <c r="J179">
        <f t="shared" si="64"/>
        <v>0</v>
      </c>
      <c r="K179">
        <f t="shared" si="64"/>
        <v>0</v>
      </c>
      <c r="L179">
        <f t="shared" si="64"/>
        <v>1.4813451259999999</v>
      </c>
      <c r="M179">
        <f t="shared" si="64"/>
        <v>44.575825872999999</v>
      </c>
      <c r="N179">
        <f t="shared" si="64"/>
        <v>-42.850924452000001</v>
      </c>
      <c r="O179">
        <f t="shared" si="64"/>
        <v>1429.5852851469999</v>
      </c>
      <c r="P179">
        <f t="shared" si="64"/>
        <v>48.1</v>
      </c>
      <c r="Q179">
        <f t="shared" si="64"/>
        <v>0</v>
      </c>
    </row>
    <row r="180" spans="1:17" x14ac:dyDescent="0.2">
      <c r="A180" s="87" t="s">
        <v>1761</v>
      </c>
      <c r="B180" t="s">
        <v>1762</v>
      </c>
      <c r="C180" s="82">
        <f>IF(OR(D180&gt;P180,D180&lt;Q180),"contact vendor",F180*D180^G180+H180*LN(D180)+I180+J180*EXP(K180*D180)+L180*D180^3+M180*D180^2+N180*D180+O180)</f>
        <v>139.56351552299998</v>
      </c>
      <c r="D180">
        <f>res_valve_size</f>
        <v>1</v>
      </c>
      <c r="E180" t="s">
        <v>2638</v>
      </c>
      <c r="F180">
        <f t="shared" si="64"/>
        <v>0</v>
      </c>
      <c r="G180">
        <f t="shared" si="64"/>
        <v>0</v>
      </c>
      <c r="H180">
        <f t="shared" si="64"/>
        <v>0</v>
      </c>
      <c r="I180">
        <f t="shared" si="64"/>
        <v>0</v>
      </c>
      <c r="J180">
        <f t="shared" si="64"/>
        <v>0</v>
      </c>
      <c r="K180">
        <f t="shared" si="64"/>
        <v>0</v>
      </c>
      <c r="L180">
        <f t="shared" si="64"/>
        <v>0</v>
      </c>
      <c r="M180">
        <f t="shared" si="64"/>
        <v>0</v>
      </c>
      <c r="N180">
        <f t="shared" si="64"/>
        <v>1304.6120832720001</v>
      </c>
      <c r="O180">
        <f t="shared" si="64"/>
        <v>-1165.0485677490001</v>
      </c>
      <c r="P180">
        <f t="shared" si="64"/>
        <v>48.1</v>
      </c>
      <c r="Q180">
        <f t="shared" si="64"/>
        <v>1</v>
      </c>
    </row>
    <row r="181" spans="1:17" s="5" customFormat="1" x14ac:dyDescent="0.2">
      <c r="A181" s="35" t="s">
        <v>2842</v>
      </c>
      <c r="B181" s="5" t="s">
        <v>3458</v>
      </c>
      <c r="C181" s="82">
        <f t="shared" si="62"/>
        <v>861.98733126223192</v>
      </c>
      <c r="D181" s="5">
        <f>air_valve_size</f>
        <v>2</v>
      </c>
      <c r="E181" s="5" t="str">
        <f>IF(D181&gt;12,"pp_mov_eq_large","pp_mov_eq_small")</f>
        <v>pp_mov_eq_small</v>
      </c>
      <c r="F181">
        <f t="shared" ref="F181:Q195" si="65">VLOOKUP($E181,eq_table_cl,F$4,FALSE)</f>
        <v>0</v>
      </c>
      <c r="G181">
        <f t="shared" si="65"/>
        <v>0</v>
      </c>
      <c r="H181">
        <f t="shared" si="65"/>
        <v>0</v>
      </c>
      <c r="I181">
        <f t="shared" si="65"/>
        <v>0</v>
      </c>
      <c r="J181">
        <f t="shared" si="65"/>
        <v>599.000620282</v>
      </c>
      <c r="K181">
        <f t="shared" si="65"/>
        <v>0.18198897</v>
      </c>
      <c r="L181">
        <f t="shared" si="65"/>
        <v>0</v>
      </c>
      <c r="M181">
        <f t="shared" si="65"/>
        <v>0</v>
      </c>
      <c r="N181">
        <f t="shared" si="65"/>
        <v>0</v>
      </c>
      <c r="O181">
        <f t="shared" si="65"/>
        <v>0</v>
      </c>
      <c r="P181">
        <f t="shared" si="65"/>
        <v>12</v>
      </c>
      <c r="Q181">
        <f t="shared" si="65"/>
        <v>0</v>
      </c>
    </row>
    <row r="182" spans="1:17" s="5" customFormat="1" x14ac:dyDescent="0.2">
      <c r="A182" s="35" t="s">
        <v>2843</v>
      </c>
      <c r="B182" s="5" t="s">
        <v>3459</v>
      </c>
      <c r="C182" s="82">
        <f t="shared" si="62"/>
        <v>1534.037500743</v>
      </c>
      <c r="D182" s="5">
        <f>air_valve_size</f>
        <v>2</v>
      </c>
      <c r="E182" s="5" t="s">
        <v>2636</v>
      </c>
      <c r="F182">
        <f t="shared" si="65"/>
        <v>0</v>
      </c>
      <c r="G182">
        <f t="shared" si="65"/>
        <v>0</v>
      </c>
      <c r="H182">
        <f t="shared" si="65"/>
        <v>0</v>
      </c>
      <c r="I182">
        <f t="shared" si="65"/>
        <v>0</v>
      </c>
      <c r="J182">
        <f t="shared" si="65"/>
        <v>0</v>
      </c>
      <c r="K182">
        <f t="shared" si="65"/>
        <v>0</v>
      </c>
      <c r="L182">
        <f t="shared" si="65"/>
        <v>1.4813451259999999</v>
      </c>
      <c r="M182">
        <f t="shared" si="65"/>
        <v>44.575825872999999</v>
      </c>
      <c r="N182">
        <f t="shared" si="65"/>
        <v>-42.850924452000001</v>
      </c>
      <c r="O182">
        <f t="shared" si="65"/>
        <v>1429.5852851469999</v>
      </c>
      <c r="P182">
        <f t="shared" si="65"/>
        <v>48.1</v>
      </c>
      <c r="Q182">
        <f t="shared" si="65"/>
        <v>0</v>
      </c>
    </row>
    <row r="183" spans="1:17" s="5" customFormat="1" x14ac:dyDescent="0.2">
      <c r="A183" s="35" t="s">
        <v>2844</v>
      </c>
      <c r="B183" s="5" t="s">
        <v>3460</v>
      </c>
      <c r="C183" s="82">
        <f>IF(OR(D183&gt;P183,D183&lt;Q183),"contact vendor",F183*D183^G183+H183*LN(D183)+I183+J183*EXP(K183*D183)+L183*D183^3+M183*D183^2+N183*D183+O183)</f>
        <v>1444.175598795</v>
      </c>
      <c r="D183" s="5">
        <f>air_valve_size</f>
        <v>2</v>
      </c>
      <c r="E183" s="5" t="s">
        <v>2638</v>
      </c>
      <c r="F183">
        <f t="shared" si="65"/>
        <v>0</v>
      </c>
      <c r="G183">
        <f t="shared" si="65"/>
        <v>0</v>
      </c>
      <c r="H183">
        <f t="shared" si="65"/>
        <v>0</v>
      </c>
      <c r="I183">
        <f t="shared" si="65"/>
        <v>0</v>
      </c>
      <c r="J183">
        <f t="shared" si="65"/>
        <v>0</v>
      </c>
      <c r="K183">
        <f t="shared" si="65"/>
        <v>0</v>
      </c>
      <c r="L183">
        <f t="shared" si="65"/>
        <v>0</v>
      </c>
      <c r="M183">
        <f t="shared" si="65"/>
        <v>0</v>
      </c>
      <c r="N183">
        <f t="shared" si="65"/>
        <v>1304.6120832720001</v>
      </c>
      <c r="O183">
        <f t="shared" si="65"/>
        <v>-1165.0485677490001</v>
      </c>
      <c r="P183">
        <f t="shared" si="65"/>
        <v>48.1</v>
      </c>
      <c r="Q183">
        <f t="shared" si="65"/>
        <v>1</v>
      </c>
    </row>
    <row r="184" spans="1:17" s="5" customFormat="1" x14ac:dyDescent="0.2">
      <c r="A184" s="35" t="s">
        <v>2845</v>
      </c>
      <c r="B184" s="5" t="s">
        <v>2851</v>
      </c>
      <c r="C184" s="82" t="str">
        <f t="shared" si="62"/>
        <v>contact vendor</v>
      </c>
      <c r="D184" s="5">
        <f>bio_air_valve_size</f>
        <v>0</v>
      </c>
      <c r="E184" s="5" t="str">
        <f>IF(D184&gt;12,"pp_mov_eq_large","pp_mov_eq_small")</f>
        <v>pp_mov_eq_small</v>
      </c>
      <c r="F184">
        <f t="shared" si="65"/>
        <v>0</v>
      </c>
      <c r="G184">
        <f t="shared" si="65"/>
        <v>0</v>
      </c>
      <c r="H184">
        <f t="shared" si="65"/>
        <v>0</v>
      </c>
      <c r="I184">
        <f t="shared" si="65"/>
        <v>0</v>
      </c>
      <c r="J184">
        <f t="shared" si="65"/>
        <v>599.000620282</v>
      </c>
      <c r="K184">
        <f t="shared" si="65"/>
        <v>0.18198897</v>
      </c>
      <c r="L184">
        <f t="shared" si="65"/>
        <v>0</v>
      </c>
      <c r="M184">
        <f t="shared" si="65"/>
        <v>0</v>
      </c>
      <c r="N184">
        <f t="shared" si="65"/>
        <v>0</v>
      </c>
      <c r="O184">
        <f t="shared" si="65"/>
        <v>0</v>
      </c>
      <c r="P184">
        <f t="shared" si="65"/>
        <v>12</v>
      </c>
      <c r="Q184">
        <f t="shared" si="65"/>
        <v>0</v>
      </c>
    </row>
    <row r="185" spans="1:17" s="5" customFormat="1" x14ac:dyDescent="0.2">
      <c r="A185" s="35" t="s">
        <v>2846</v>
      </c>
      <c r="B185" s="5" t="s">
        <v>2852</v>
      </c>
      <c r="C185" s="82" t="str">
        <f t="shared" si="62"/>
        <v>contact vendor</v>
      </c>
      <c r="D185" s="5">
        <f>bio_air_valve_size</f>
        <v>0</v>
      </c>
      <c r="E185" s="5" t="s">
        <v>2636</v>
      </c>
      <c r="F185">
        <f t="shared" si="65"/>
        <v>0</v>
      </c>
      <c r="G185">
        <f t="shared" si="65"/>
        <v>0</v>
      </c>
      <c r="H185">
        <f t="shared" si="65"/>
        <v>0</v>
      </c>
      <c r="I185">
        <f t="shared" si="65"/>
        <v>0</v>
      </c>
      <c r="J185">
        <f t="shared" si="65"/>
        <v>0</v>
      </c>
      <c r="K185">
        <f t="shared" si="65"/>
        <v>0</v>
      </c>
      <c r="L185">
        <f t="shared" si="65"/>
        <v>1.4813451259999999</v>
      </c>
      <c r="M185">
        <f t="shared" si="65"/>
        <v>44.575825872999999</v>
      </c>
      <c r="N185">
        <f t="shared" si="65"/>
        <v>-42.850924452000001</v>
      </c>
      <c r="O185">
        <f t="shared" si="65"/>
        <v>1429.5852851469999</v>
      </c>
      <c r="P185">
        <f t="shared" si="65"/>
        <v>48.1</v>
      </c>
      <c r="Q185">
        <f t="shared" si="65"/>
        <v>0</v>
      </c>
    </row>
    <row r="186" spans="1:17" s="5" customFormat="1" x14ac:dyDescent="0.2">
      <c r="A186" s="35" t="s">
        <v>2847</v>
      </c>
      <c r="B186" s="5" t="s">
        <v>2853</v>
      </c>
      <c r="C186" s="82" t="str">
        <f>IF(OR(D186&gt;P186,D186&lt;Q186),"contact vendor",F186*D186^G186+H186*LN(D186)+I186+J186*EXP(K186*D186)+L186*D186^3+M186*D186^2+N186*D186+O186)</f>
        <v>contact vendor</v>
      </c>
      <c r="D186" s="5">
        <f>bio_air_valve_size</f>
        <v>0</v>
      </c>
      <c r="E186" s="5" t="s">
        <v>2638</v>
      </c>
      <c r="F186">
        <f t="shared" si="65"/>
        <v>0</v>
      </c>
      <c r="G186">
        <f t="shared" si="65"/>
        <v>0</v>
      </c>
      <c r="H186">
        <f t="shared" si="65"/>
        <v>0</v>
      </c>
      <c r="I186">
        <f t="shared" si="65"/>
        <v>0</v>
      </c>
      <c r="J186">
        <f t="shared" si="65"/>
        <v>0</v>
      </c>
      <c r="K186">
        <f t="shared" si="65"/>
        <v>0</v>
      </c>
      <c r="L186">
        <f t="shared" si="65"/>
        <v>0</v>
      </c>
      <c r="M186">
        <f t="shared" si="65"/>
        <v>0</v>
      </c>
      <c r="N186">
        <f t="shared" si="65"/>
        <v>1304.6120832720001</v>
      </c>
      <c r="O186">
        <f t="shared" si="65"/>
        <v>-1165.0485677490001</v>
      </c>
      <c r="P186">
        <f t="shared" si="65"/>
        <v>48.1</v>
      </c>
      <c r="Q186">
        <f t="shared" si="65"/>
        <v>1</v>
      </c>
    </row>
    <row r="187" spans="1:17" s="5" customFormat="1" x14ac:dyDescent="0.2">
      <c r="A187" s="35" t="s">
        <v>2860</v>
      </c>
      <c r="B187" s="5" t="s">
        <v>2850</v>
      </c>
      <c r="C187" s="82">
        <f t="shared" si="62"/>
        <v>787.01404038367423</v>
      </c>
      <c r="D187" s="5">
        <f>aeration_valve_size</f>
        <v>1.5</v>
      </c>
      <c r="E187" s="5" t="str">
        <f>IF(D187&gt;12,"pp_mov_eq_large","pp_mov_eq_small")</f>
        <v>pp_mov_eq_small</v>
      </c>
      <c r="F187">
        <f t="shared" si="65"/>
        <v>0</v>
      </c>
      <c r="G187">
        <f t="shared" si="65"/>
        <v>0</v>
      </c>
      <c r="H187">
        <f t="shared" si="65"/>
        <v>0</v>
      </c>
      <c r="I187">
        <f t="shared" si="65"/>
        <v>0</v>
      </c>
      <c r="J187">
        <f t="shared" si="65"/>
        <v>599.000620282</v>
      </c>
      <c r="K187">
        <f t="shared" si="65"/>
        <v>0.18198897</v>
      </c>
      <c r="L187">
        <f t="shared" si="65"/>
        <v>0</v>
      </c>
      <c r="M187">
        <f t="shared" si="65"/>
        <v>0</v>
      </c>
      <c r="N187">
        <f t="shared" si="65"/>
        <v>0</v>
      </c>
      <c r="O187">
        <f t="shared" si="65"/>
        <v>0</v>
      </c>
      <c r="P187">
        <f t="shared" si="65"/>
        <v>12</v>
      </c>
      <c r="Q187">
        <f t="shared" si="65"/>
        <v>0</v>
      </c>
    </row>
    <row r="188" spans="1:17" s="5" customFormat="1" x14ac:dyDescent="0.2">
      <c r="A188" s="35" t="s">
        <v>2861</v>
      </c>
      <c r="B188" s="5" t="s">
        <v>2849</v>
      </c>
      <c r="C188" s="82">
        <f t="shared" si="62"/>
        <v>1470.6040464835</v>
      </c>
      <c r="D188" s="5">
        <f>aeration_valve_size</f>
        <v>1.5</v>
      </c>
      <c r="E188" s="5" t="s">
        <v>2636</v>
      </c>
      <c r="F188">
        <f t="shared" si="65"/>
        <v>0</v>
      </c>
      <c r="G188">
        <f t="shared" si="65"/>
        <v>0</v>
      </c>
      <c r="H188">
        <f t="shared" si="65"/>
        <v>0</v>
      </c>
      <c r="I188">
        <f t="shared" si="65"/>
        <v>0</v>
      </c>
      <c r="J188">
        <f t="shared" si="65"/>
        <v>0</v>
      </c>
      <c r="K188">
        <f t="shared" si="65"/>
        <v>0</v>
      </c>
      <c r="L188">
        <f t="shared" si="65"/>
        <v>1.4813451259999999</v>
      </c>
      <c r="M188">
        <f t="shared" si="65"/>
        <v>44.575825872999999</v>
      </c>
      <c r="N188">
        <f t="shared" si="65"/>
        <v>-42.850924452000001</v>
      </c>
      <c r="O188">
        <f t="shared" si="65"/>
        <v>1429.5852851469999</v>
      </c>
      <c r="P188">
        <f t="shared" si="65"/>
        <v>48.1</v>
      </c>
      <c r="Q188">
        <f t="shared" si="65"/>
        <v>0</v>
      </c>
    </row>
    <row r="189" spans="1:17" s="5" customFormat="1" x14ac:dyDescent="0.2">
      <c r="A189" s="35" t="s">
        <v>2862</v>
      </c>
      <c r="B189" s="5" t="s">
        <v>2848</v>
      </c>
      <c r="C189" s="82">
        <f>IF(OR(D189&gt;P189,D189&lt;Q189),"contact vendor",F189*D189^G189+H189*LN(D189)+I189+J189*EXP(K189*D189)+L189*D189^3+M189*D189^2+N189*D189+O189)</f>
        <v>791.86955715900012</v>
      </c>
      <c r="D189" s="5">
        <f>aeration_valve_size</f>
        <v>1.5</v>
      </c>
      <c r="E189" s="5" t="s">
        <v>2638</v>
      </c>
      <c r="F189">
        <f t="shared" si="65"/>
        <v>0</v>
      </c>
      <c r="G189">
        <f t="shared" si="65"/>
        <v>0</v>
      </c>
      <c r="H189">
        <f t="shared" si="65"/>
        <v>0</v>
      </c>
      <c r="I189">
        <f t="shared" si="65"/>
        <v>0</v>
      </c>
      <c r="J189">
        <f t="shared" si="65"/>
        <v>0</v>
      </c>
      <c r="K189">
        <f t="shared" si="65"/>
        <v>0</v>
      </c>
      <c r="L189">
        <f t="shared" si="65"/>
        <v>0</v>
      </c>
      <c r="M189">
        <f t="shared" si="65"/>
        <v>0</v>
      </c>
      <c r="N189">
        <f t="shared" si="65"/>
        <v>1304.6120832720001</v>
      </c>
      <c r="O189">
        <f t="shared" si="65"/>
        <v>-1165.0485677490001</v>
      </c>
      <c r="P189">
        <f t="shared" si="65"/>
        <v>48.1</v>
      </c>
      <c r="Q189">
        <f t="shared" si="65"/>
        <v>1</v>
      </c>
    </row>
    <row r="190" spans="1:17" x14ac:dyDescent="0.2">
      <c r="A190" s="5" t="s">
        <v>131</v>
      </c>
      <c r="B190" s="5" t="s">
        <v>133</v>
      </c>
      <c r="C190" s="82" t="str">
        <f t="shared" si="62"/>
        <v>contact vendor</v>
      </c>
      <c r="D190">
        <f>H2O2_valve_size</f>
        <v>0</v>
      </c>
      <c r="E190" t="str">
        <f>IF(D190&gt;12,"pp_mov_eq_large","pp_mov_eq_small")</f>
        <v>pp_mov_eq_small</v>
      </c>
      <c r="F190">
        <f t="shared" si="65"/>
        <v>0</v>
      </c>
      <c r="G190">
        <f t="shared" si="65"/>
        <v>0</v>
      </c>
      <c r="H190">
        <f t="shared" si="65"/>
        <v>0</v>
      </c>
      <c r="I190">
        <f t="shared" si="65"/>
        <v>0</v>
      </c>
      <c r="J190">
        <f t="shared" si="65"/>
        <v>599.000620282</v>
      </c>
      <c r="K190">
        <f t="shared" si="65"/>
        <v>0.18198897</v>
      </c>
      <c r="L190">
        <f t="shared" si="65"/>
        <v>0</v>
      </c>
      <c r="M190">
        <f t="shared" si="65"/>
        <v>0</v>
      </c>
      <c r="N190">
        <f t="shared" si="65"/>
        <v>0</v>
      </c>
      <c r="O190">
        <f t="shared" si="65"/>
        <v>0</v>
      </c>
      <c r="P190">
        <f t="shared" si="65"/>
        <v>12</v>
      </c>
      <c r="Q190">
        <f t="shared" si="65"/>
        <v>0</v>
      </c>
    </row>
    <row r="191" spans="1:17" x14ac:dyDescent="0.2">
      <c r="A191" s="5" t="s">
        <v>132</v>
      </c>
      <c r="B191" s="5" t="s">
        <v>134</v>
      </c>
      <c r="C191" s="82" t="str">
        <f t="shared" si="62"/>
        <v>contact vendor</v>
      </c>
      <c r="D191">
        <f>H2O2_valve_size</f>
        <v>0</v>
      </c>
      <c r="E191" t="s">
        <v>2636</v>
      </c>
      <c r="F191">
        <f t="shared" si="65"/>
        <v>0</v>
      </c>
      <c r="G191">
        <f t="shared" si="65"/>
        <v>0</v>
      </c>
      <c r="H191">
        <f t="shared" si="65"/>
        <v>0</v>
      </c>
      <c r="I191">
        <f t="shared" si="65"/>
        <v>0</v>
      </c>
      <c r="J191">
        <f t="shared" si="65"/>
        <v>0</v>
      </c>
      <c r="K191">
        <f t="shared" si="65"/>
        <v>0</v>
      </c>
      <c r="L191">
        <f t="shared" si="65"/>
        <v>1.4813451259999999</v>
      </c>
      <c r="M191">
        <f t="shared" si="65"/>
        <v>44.575825872999999</v>
      </c>
      <c r="N191">
        <f t="shared" si="65"/>
        <v>-42.850924452000001</v>
      </c>
      <c r="O191">
        <f t="shared" si="65"/>
        <v>1429.5852851469999</v>
      </c>
      <c r="P191">
        <f t="shared" si="65"/>
        <v>48.1</v>
      </c>
      <c r="Q191">
        <f t="shared" si="65"/>
        <v>0</v>
      </c>
    </row>
    <row r="192" spans="1:17" x14ac:dyDescent="0.2">
      <c r="A192" s="694" t="s">
        <v>4320</v>
      </c>
      <c r="B192" s="694" t="s">
        <v>4321</v>
      </c>
      <c r="C192" s="82">
        <f t="shared" si="62"/>
        <v>656.06319532697046</v>
      </c>
      <c r="D192">
        <f>coag_valve_size</f>
        <v>0.5</v>
      </c>
      <c r="E192" t="str">
        <f>IF(D192&gt;12,"pp_mov_eq_large","pp_mov_eq_small")</f>
        <v>pp_mov_eq_small</v>
      </c>
      <c r="F192">
        <f t="shared" si="65"/>
        <v>0</v>
      </c>
      <c r="G192">
        <f t="shared" si="65"/>
        <v>0</v>
      </c>
      <c r="H192">
        <f t="shared" si="65"/>
        <v>0</v>
      </c>
      <c r="I192">
        <f t="shared" si="65"/>
        <v>0</v>
      </c>
      <c r="J192">
        <f t="shared" si="65"/>
        <v>599.000620282</v>
      </c>
      <c r="K192">
        <f t="shared" si="65"/>
        <v>0.18198897</v>
      </c>
      <c r="L192">
        <f t="shared" si="65"/>
        <v>0</v>
      </c>
      <c r="M192">
        <f t="shared" si="65"/>
        <v>0</v>
      </c>
      <c r="N192">
        <f t="shared" si="65"/>
        <v>0</v>
      </c>
      <c r="O192">
        <f t="shared" si="65"/>
        <v>0</v>
      </c>
      <c r="P192">
        <f t="shared" si="65"/>
        <v>12</v>
      </c>
      <c r="Q192">
        <f t="shared" si="65"/>
        <v>0</v>
      </c>
    </row>
    <row r="193" spans="1:17" x14ac:dyDescent="0.2">
      <c r="A193" s="5" t="s">
        <v>2935</v>
      </c>
      <c r="B193" s="5" t="s">
        <v>2937</v>
      </c>
      <c r="C193" s="82">
        <f t="shared" si="62"/>
        <v>656.06319532697046</v>
      </c>
      <c r="D193">
        <f>polymer_valve_size</f>
        <v>0.5</v>
      </c>
      <c r="E193" t="str">
        <f>IF(D193&gt;12,"pp_mov_eq_large","pp_mov_eq_small")</f>
        <v>pp_mov_eq_small</v>
      </c>
      <c r="F193">
        <f t="shared" si="65"/>
        <v>0</v>
      </c>
      <c r="G193">
        <f t="shared" si="65"/>
        <v>0</v>
      </c>
      <c r="H193">
        <f t="shared" si="65"/>
        <v>0</v>
      </c>
      <c r="I193">
        <f t="shared" si="65"/>
        <v>0</v>
      </c>
      <c r="J193">
        <f t="shared" si="65"/>
        <v>599.000620282</v>
      </c>
      <c r="K193">
        <f t="shared" si="65"/>
        <v>0.18198897</v>
      </c>
      <c r="L193">
        <f t="shared" si="65"/>
        <v>0</v>
      </c>
      <c r="M193">
        <f t="shared" si="65"/>
        <v>0</v>
      </c>
      <c r="N193">
        <f t="shared" si="65"/>
        <v>0</v>
      </c>
      <c r="O193">
        <f t="shared" si="65"/>
        <v>0</v>
      </c>
      <c r="P193">
        <f t="shared" si="65"/>
        <v>12</v>
      </c>
      <c r="Q193">
        <f t="shared" si="65"/>
        <v>0</v>
      </c>
    </row>
    <row r="194" spans="1:17" x14ac:dyDescent="0.2">
      <c r="A194" s="5" t="s">
        <v>2936</v>
      </c>
      <c r="B194" s="5" t="s">
        <v>2938</v>
      </c>
      <c r="C194" s="82">
        <f t="shared" si="62"/>
        <v>1419.4889475299999</v>
      </c>
      <c r="D194">
        <f>polymer_valve_size</f>
        <v>0.5</v>
      </c>
      <c r="E194" t="s">
        <v>2636</v>
      </c>
      <c r="F194">
        <f t="shared" si="65"/>
        <v>0</v>
      </c>
      <c r="G194">
        <f t="shared" si="65"/>
        <v>0</v>
      </c>
      <c r="H194">
        <f t="shared" si="65"/>
        <v>0</v>
      </c>
      <c r="I194">
        <f t="shared" si="65"/>
        <v>0</v>
      </c>
      <c r="J194">
        <f t="shared" si="65"/>
        <v>0</v>
      </c>
      <c r="K194">
        <f t="shared" si="65"/>
        <v>0</v>
      </c>
      <c r="L194">
        <f t="shared" si="65"/>
        <v>1.4813451259999999</v>
      </c>
      <c r="M194">
        <f t="shared" si="65"/>
        <v>44.575825872999999</v>
      </c>
      <c r="N194">
        <f t="shared" si="65"/>
        <v>-42.850924452000001</v>
      </c>
      <c r="O194">
        <f t="shared" si="65"/>
        <v>1429.5852851469999</v>
      </c>
      <c r="P194">
        <f t="shared" si="65"/>
        <v>48.1</v>
      </c>
      <c r="Q194">
        <f t="shared" si="65"/>
        <v>0</v>
      </c>
    </row>
    <row r="195" spans="1:17" s="5" customFormat="1" x14ac:dyDescent="0.2">
      <c r="A195" s="35" t="s">
        <v>2940</v>
      </c>
      <c r="B195" s="5" t="s">
        <v>2939</v>
      </c>
      <c r="C195" s="82" t="str">
        <f>IF(OR(D195&gt;P195,D195&lt;Q195),"contact vendor",F195*D195^G195+H195*LN(D195)+I195+J195*EXP(K195*D195)+L195*D195^3+M195*D195^2+N195*D195+O195)</f>
        <v>contact vendor</v>
      </c>
      <c r="D195" s="5">
        <f>polymer_valve_size</f>
        <v>0.5</v>
      </c>
      <c r="E195" s="5" t="s">
        <v>2638</v>
      </c>
      <c r="F195">
        <f t="shared" si="65"/>
        <v>0</v>
      </c>
      <c r="G195">
        <f t="shared" si="65"/>
        <v>0</v>
      </c>
      <c r="H195">
        <f t="shared" si="65"/>
        <v>0</v>
      </c>
      <c r="I195">
        <f t="shared" si="65"/>
        <v>0</v>
      </c>
      <c r="J195">
        <f t="shared" si="65"/>
        <v>0</v>
      </c>
      <c r="K195">
        <f t="shared" si="65"/>
        <v>0</v>
      </c>
      <c r="L195">
        <f t="shared" si="65"/>
        <v>0</v>
      </c>
      <c r="M195">
        <f t="shared" si="65"/>
        <v>0</v>
      </c>
      <c r="N195">
        <f t="shared" si="65"/>
        <v>1304.6120832720001</v>
      </c>
      <c r="O195">
        <f t="shared" si="65"/>
        <v>-1165.0485677490001</v>
      </c>
      <c r="P195">
        <f t="shared" si="65"/>
        <v>48.1</v>
      </c>
      <c r="Q195">
        <f t="shared" si="65"/>
        <v>1</v>
      </c>
    </row>
    <row r="196" spans="1:17" x14ac:dyDescent="0.2">
      <c r="A196" s="13" t="s">
        <v>2551</v>
      </c>
      <c r="C196" s="10"/>
    </row>
    <row r="197" spans="1:17" x14ac:dyDescent="0.2">
      <c r="A197" s="5" t="s">
        <v>4418</v>
      </c>
      <c r="B197" t="s">
        <v>2641</v>
      </c>
      <c r="C197" s="82">
        <f t="shared" ref="C197:C233" si="66">IF(OR(D197&gt;P197,D197&lt;=Q197),"contact vendor",F197*D197^G197+H197*LN(D197)+I197+J197*EXP(K197*D197)+L197*D197^3+M197*D197^2+N197*D197+O197)</f>
        <v>357.23104862500003</v>
      </c>
      <c r="D197">
        <f>in_valve_size</f>
        <v>3</v>
      </c>
      <c r="E197" t="str">
        <f>IF(D197&gt;12,"pp_man_eq_large","pp_man_eq_small")</f>
        <v>pp_man_eq_small</v>
      </c>
      <c r="F197">
        <f t="shared" ref="F197:Q206" si="67">VLOOKUP($E197,eq_table_cl,F$4,FALSE)</f>
        <v>0</v>
      </c>
      <c r="G197">
        <f t="shared" si="67"/>
        <v>0</v>
      </c>
      <c r="H197">
        <f t="shared" si="67"/>
        <v>0</v>
      </c>
      <c r="I197">
        <f t="shared" si="67"/>
        <v>0</v>
      </c>
      <c r="J197">
        <f t="shared" si="67"/>
        <v>0</v>
      </c>
      <c r="K197">
        <f t="shared" si="67"/>
        <v>0</v>
      </c>
      <c r="L197">
        <f t="shared" si="67"/>
        <v>0</v>
      </c>
      <c r="M197">
        <f t="shared" si="67"/>
        <v>12.117823524</v>
      </c>
      <c r="N197">
        <f t="shared" si="67"/>
        <v>45.057729000000002</v>
      </c>
      <c r="O197">
        <f t="shared" si="67"/>
        <v>112.997449909</v>
      </c>
      <c r="P197">
        <f t="shared" si="67"/>
        <v>12</v>
      </c>
      <c r="Q197">
        <f t="shared" si="67"/>
        <v>0</v>
      </c>
    </row>
    <row r="198" spans="1:17" x14ac:dyDescent="0.2">
      <c r="A198" s="5" t="s">
        <v>4419</v>
      </c>
      <c r="B198" t="s">
        <v>2642</v>
      </c>
      <c r="C198" s="82">
        <f t="shared" si="66"/>
        <v>752.06143456811571</v>
      </c>
      <c r="D198">
        <f>in_valve_size</f>
        <v>3</v>
      </c>
      <c r="E198" t="s">
        <v>2642</v>
      </c>
      <c r="F198">
        <f t="shared" si="67"/>
        <v>271.98316458599999</v>
      </c>
      <c r="G198">
        <f t="shared" si="67"/>
        <v>0.92578415199999997</v>
      </c>
      <c r="H198">
        <f t="shared" si="67"/>
        <v>0</v>
      </c>
      <c r="I198">
        <f t="shared" si="67"/>
        <v>0</v>
      </c>
      <c r="J198">
        <f t="shared" si="67"/>
        <v>0</v>
      </c>
      <c r="K198">
        <f t="shared" si="67"/>
        <v>0</v>
      </c>
      <c r="L198">
        <f t="shared" si="67"/>
        <v>0</v>
      </c>
      <c r="M198">
        <f t="shared" si="67"/>
        <v>0</v>
      </c>
      <c r="N198">
        <f t="shared" si="67"/>
        <v>0</v>
      </c>
      <c r="O198">
        <f t="shared" si="67"/>
        <v>0</v>
      </c>
      <c r="P198">
        <f t="shared" si="67"/>
        <v>12.1</v>
      </c>
      <c r="Q198">
        <f t="shared" si="67"/>
        <v>0</v>
      </c>
    </row>
    <row r="199" spans="1:17" x14ac:dyDescent="0.2">
      <c r="A199" s="5" t="s">
        <v>4420</v>
      </c>
      <c r="B199" t="s">
        <v>2643</v>
      </c>
      <c r="C199" s="82">
        <f>IF(OR(D199&gt;P199,D199&lt;Q199),"contact vendor",F199*D199^G199+H199*LN(D199)+I199+J199*EXP(K199*D199)+L199*D199^3+M199*D199^2+N199*D199+O199)</f>
        <v>700.10221053138082</v>
      </c>
      <c r="D199">
        <f>in_valve_size</f>
        <v>3</v>
      </c>
      <c r="E199" t="str">
        <f>IF(D199&gt;12,"ci_bfv_eq_large","ci_bfv_eq_small")</f>
        <v>ci_bfv_eq_small</v>
      </c>
      <c r="F199">
        <f t="shared" si="67"/>
        <v>221.77653215199999</v>
      </c>
      <c r="G199">
        <f t="shared" si="67"/>
        <v>1.0463710340000001</v>
      </c>
      <c r="H199">
        <f t="shared" si="67"/>
        <v>0</v>
      </c>
      <c r="I199">
        <f t="shared" si="67"/>
        <v>0</v>
      </c>
      <c r="J199">
        <f t="shared" si="67"/>
        <v>0</v>
      </c>
      <c r="K199">
        <f t="shared" si="67"/>
        <v>0</v>
      </c>
      <c r="L199">
        <f t="shared" si="67"/>
        <v>0</v>
      </c>
      <c r="M199">
        <f t="shared" si="67"/>
        <v>0</v>
      </c>
      <c r="N199">
        <f t="shared" si="67"/>
        <v>0</v>
      </c>
      <c r="O199">
        <f t="shared" si="67"/>
        <v>0</v>
      </c>
      <c r="P199">
        <f t="shared" si="67"/>
        <v>12</v>
      </c>
      <c r="Q199">
        <f t="shared" si="67"/>
        <v>1</v>
      </c>
    </row>
    <row r="200" spans="1:17" x14ac:dyDescent="0.2">
      <c r="A200" s="5" t="s">
        <v>1840</v>
      </c>
      <c r="B200" t="s">
        <v>3513</v>
      </c>
      <c r="C200" s="82">
        <f t="shared" si="66"/>
        <v>251.58420200500001</v>
      </c>
      <c r="D200">
        <f>tank_valve_size</f>
        <v>2</v>
      </c>
      <c r="E200" t="str">
        <f>IF(D200&gt;12,"pp_man_eq_large","pp_man_eq_small")</f>
        <v>pp_man_eq_small</v>
      </c>
      <c r="F200">
        <f t="shared" si="67"/>
        <v>0</v>
      </c>
      <c r="G200">
        <f t="shared" si="67"/>
        <v>0</v>
      </c>
      <c r="H200">
        <f t="shared" si="67"/>
        <v>0</v>
      </c>
      <c r="I200">
        <f t="shared" si="67"/>
        <v>0</v>
      </c>
      <c r="J200">
        <f t="shared" si="67"/>
        <v>0</v>
      </c>
      <c r="K200">
        <f t="shared" si="67"/>
        <v>0</v>
      </c>
      <c r="L200">
        <f t="shared" si="67"/>
        <v>0</v>
      </c>
      <c r="M200">
        <f t="shared" si="67"/>
        <v>12.117823524</v>
      </c>
      <c r="N200">
        <f t="shared" si="67"/>
        <v>45.057729000000002</v>
      </c>
      <c r="O200">
        <f t="shared" si="67"/>
        <v>112.997449909</v>
      </c>
      <c r="P200">
        <f t="shared" si="67"/>
        <v>12</v>
      </c>
      <c r="Q200">
        <f t="shared" si="67"/>
        <v>0</v>
      </c>
    </row>
    <row r="201" spans="1:17" x14ac:dyDescent="0.2">
      <c r="A201" s="5" t="s">
        <v>583</v>
      </c>
      <c r="B201" t="s">
        <v>3514</v>
      </c>
      <c r="C201" s="82">
        <f t="shared" si="66"/>
        <v>516.69091078376778</v>
      </c>
      <c r="D201">
        <f>tank_valve_size</f>
        <v>2</v>
      </c>
      <c r="E201" t="s">
        <v>2642</v>
      </c>
      <c r="F201">
        <f t="shared" si="67"/>
        <v>271.98316458599999</v>
      </c>
      <c r="G201">
        <f t="shared" si="67"/>
        <v>0.92578415199999997</v>
      </c>
      <c r="H201">
        <f t="shared" si="67"/>
        <v>0</v>
      </c>
      <c r="I201">
        <f t="shared" si="67"/>
        <v>0</v>
      </c>
      <c r="J201">
        <f t="shared" si="67"/>
        <v>0</v>
      </c>
      <c r="K201">
        <f t="shared" si="67"/>
        <v>0</v>
      </c>
      <c r="L201">
        <f t="shared" si="67"/>
        <v>0</v>
      </c>
      <c r="M201">
        <f t="shared" si="67"/>
        <v>0</v>
      </c>
      <c r="N201">
        <f t="shared" si="67"/>
        <v>0</v>
      </c>
      <c r="O201">
        <f t="shared" si="67"/>
        <v>0</v>
      </c>
      <c r="P201">
        <f t="shared" si="67"/>
        <v>12.1</v>
      </c>
      <c r="Q201">
        <f t="shared" si="67"/>
        <v>0</v>
      </c>
    </row>
    <row r="202" spans="1:17" x14ac:dyDescent="0.2">
      <c r="A202" s="5" t="s">
        <v>2550</v>
      </c>
      <c r="B202" t="s">
        <v>3515</v>
      </c>
      <c r="C202" s="82">
        <f>IF(OR(D202&gt;P202,D202&lt;Q202),"contact vendor",F202*D202^G202+H202*LN(D202)+I202+J202*EXP(K202*D202)+L202*D202^3+M202*D202^2+N202*D202+O202)</f>
        <v>458.04131845257473</v>
      </c>
      <c r="D202">
        <f>tank_valve_size</f>
        <v>2</v>
      </c>
      <c r="E202" t="str">
        <f>IF(D202&gt;12,"ci_bfv_eq_large","ci_bfv_eq_small")</f>
        <v>ci_bfv_eq_small</v>
      </c>
      <c r="F202">
        <f t="shared" si="67"/>
        <v>221.77653215199999</v>
      </c>
      <c r="G202">
        <f t="shared" si="67"/>
        <v>1.0463710340000001</v>
      </c>
      <c r="H202">
        <f t="shared" si="67"/>
        <v>0</v>
      </c>
      <c r="I202">
        <f t="shared" si="67"/>
        <v>0</v>
      </c>
      <c r="J202">
        <f t="shared" si="67"/>
        <v>0</v>
      </c>
      <c r="K202">
        <f t="shared" si="67"/>
        <v>0</v>
      </c>
      <c r="L202">
        <f t="shared" si="67"/>
        <v>0</v>
      </c>
      <c r="M202">
        <f t="shared" si="67"/>
        <v>0</v>
      </c>
      <c r="N202">
        <f t="shared" si="67"/>
        <v>0</v>
      </c>
      <c r="O202">
        <f t="shared" si="67"/>
        <v>0</v>
      </c>
      <c r="P202">
        <f t="shared" si="67"/>
        <v>12</v>
      </c>
      <c r="Q202">
        <f t="shared" si="67"/>
        <v>1</v>
      </c>
    </row>
    <row r="203" spans="1:17" x14ac:dyDescent="0.2">
      <c r="A203" s="35" t="s">
        <v>1841</v>
      </c>
      <c r="B203" t="s">
        <v>1183</v>
      </c>
      <c r="C203" s="82">
        <f t="shared" si="66"/>
        <v>487.11354229300002</v>
      </c>
      <c r="D203">
        <f>back_valve_size</f>
        <v>4</v>
      </c>
      <c r="E203" t="str">
        <f>IF(D203&gt;12,"pp_man_eq_large","pp_man_eq_small")</f>
        <v>pp_man_eq_small</v>
      </c>
      <c r="F203">
        <f t="shared" si="67"/>
        <v>0</v>
      </c>
      <c r="G203">
        <f t="shared" si="67"/>
        <v>0</v>
      </c>
      <c r="H203">
        <f t="shared" si="67"/>
        <v>0</v>
      </c>
      <c r="I203">
        <f t="shared" si="67"/>
        <v>0</v>
      </c>
      <c r="J203">
        <f t="shared" si="67"/>
        <v>0</v>
      </c>
      <c r="K203">
        <f t="shared" si="67"/>
        <v>0</v>
      </c>
      <c r="L203">
        <f t="shared" si="67"/>
        <v>0</v>
      </c>
      <c r="M203">
        <f t="shared" si="67"/>
        <v>12.117823524</v>
      </c>
      <c r="N203">
        <f t="shared" si="67"/>
        <v>45.057729000000002</v>
      </c>
      <c r="O203">
        <f t="shared" si="67"/>
        <v>112.997449909</v>
      </c>
      <c r="P203">
        <f t="shared" si="67"/>
        <v>12</v>
      </c>
      <c r="Q203">
        <f t="shared" si="67"/>
        <v>0</v>
      </c>
    </row>
    <row r="204" spans="1:17" x14ac:dyDescent="0.2">
      <c r="A204" s="35" t="s">
        <v>584</v>
      </c>
      <c r="B204" t="s">
        <v>1184</v>
      </c>
      <c r="C204" s="82">
        <f t="shared" si="66"/>
        <v>981.56625867975288</v>
      </c>
      <c r="D204">
        <f>back_valve_size</f>
        <v>4</v>
      </c>
      <c r="E204" t="s">
        <v>2642</v>
      </c>
      <c r="F204">
        <f t="shared" si="67"/>
        <v>271.98316458599999</v>
      </c>
      <c r="G204">
        <f t="shared" si="67"/>
        <v>0.92578415199999997</v>
      </c>
      <c r="H204">
        <f t="shared" si="67"/>
        <v>0</v>
      </c>
      <c r="I204">
        <f t="shared" si="67"/>
        <v>0</v>
      </c>
      <c r="J204">
        <f t="shared" si="67"/>
        <v>0</v>
      </c>
      <c r="K204">
        <f t="shared" si="67"/>
        <v>0</v>
      </c>
      <c r="L204">
        <f t="shared" si="67"/>
        <v>0</v>
      </c>
      <c r="M204">
        <f t="shared" si="67"/>
        <v>0</v>
      </c>
      <c r="N204">
        <f t="shared" si="67"/>
        <v>0</v>
      </c>
      <c r="O204">
        <f t="shared" si="67"/>
        <v>0</v>
      </c>
      <c r="P204">
        <f t="shared" si="67"/>
        <v>12.1</v>
      </c>
      <c r="Q204">
        <f t="shared" si="67"/>
        <v>0</v>
      </c>
    </row>
    <row r="205" spans="1:17" x14ac:dyDescent="0.2">
      <c r="A205" s="35" t="s">
        <v>1453</v>
      </c>
      <c r="B205" t="s">
        <v>1185</v>
      </c>
      <c r="C205" s="82">
        <f>IF(OR(D205&gt;P205,D205&lt;Q205),"contact vendor",F205*D205^G205+H205*LN(D205)+I205+J205*EXP(K205*D205)+L205*D205^3+M205*D205^2+N205*D205+O205)</f>
        <v>946.00563627706163</v>
      </c>
      <c r="D205">
        <f>back_valve_size</f>
        <v>4</v>
      </c>
      <c r="E205" t="str">
        <f>IF(D205&gt;12,"ci_bfv_eq_large","ci_bfv_eq_small")</f>
        <v>ci_bfv_eq_small</v>
      </c>
      <c r="F205">
        <f t="shared" si="67"/>
        <v>221.77653215199999</v>
      </c>
      <c r="G205">
        <f t="shared" si="67"/>
        <v>1.0463710340000001</v>
      </c>
      <c r="H205">
        <f t="shared" si="67"/>
        <v>0</v>
      </c>
      <c r="I205">
        <f t="shared" si="67"/>
        <v>0</v>
      </c>
      <c r="J205">
        <f t="shared" si="67"/>
        <v>0</v>
      </c>
      <c r="K205">
        <f t="shared" si="67"/>
        <v>0</v>
      </c>
      <c r="L205">
        <f t="shared" si="67"/>
        <v>0</v>
      </c>
      <c r="M205">
        <f t="shared" si="67"/>
        <v>0</v>
      </c>
      <c r="N205">
        <f t="shared" si="67"/>
        <v>0</v>
      </c>
      <c r="O205">
        <f t="shared" si="67"/>
        <v>0</v>
      </c>
      <c r="P205">
        <f t="shared" si="67"/>
        <v>12</v>
      </c>
      <c r="Q205">
        <f t="shared" si="67"/>
        <v>1</v>
      </c>
    </row>
    <row r="206" spans="1:17" ht="14.25" customHeight="1" x14ac:dyDescent="0.2">
      <c r="A206" s="5" t="s">
        <v>468</v>
      </c>
      <c r="B206" t="s">
        <v>470</v>
      </c>
      <c r="C206" s="82" t="str">
        <f t="shared" si="66"/>
        <v>contact vendor</v>
      </c>
      <c r="D206">
        <f>rec_valve_size</f>
        <v>0</v>
      </c>
      <c r="E206" t="str">
        <f>IF(D206&gt;12,"pp_man_eq_large","pp_man_eq_small")</f>
        <v>pp_man_eq_small</v>
      </c>
      <c r="F206">
        <f t="shared" si="67"/>
        <v>0</v>
      </c>
      <c r="G206">
        <f t="shared" si="67"/>
        <v>0</v>
      </c>
      <c r="H206">
        <f t="shared" si="67"/>
        <v>0</v>
      </c>
      <c r="I206">
        <f t="shared" si="67"/>
        <v>0</v>
      </c>
      <c r="J206">
        <f t="shared" si="67"/>
        <v>0</v>
      </c>
      <c r="K206">
        <f t="shared" si="67"/>
        <v>0</v>
      </c>
      <c r="L206">
        <f t="shared" si="67"/>
        <v>0</v>
      </c>
      <c r="M206">
        <f t="shared" si="67"/>
        <v>12.117823524</v>
      </c>
      <c r="N206">
        <f t="shared" si="67"/>
        <v>45.057729000000002</v>
      </c>
      <c r="O206">
        <f t="shared" si="67"/>
        <v>112.997449909</v>
      </c>
      <c r="P206">
        <f t="shared" si="67"/>
        <v>12</v>
      </c>
      <c r="Q206">
        <f t="shared" si="67"/>
        <v>0</v>
      </c>
    </row>
    <row r="207" spans="1:17" x14ac:dyDescent="0.2">
      <c r="A207" s="5" t="s">
        <v>469</v>
      </c>
      <c r="B207" t="s">
        <v>471</v>
      </c>
      <c r="C207" s="82" t="str">
        <f t="shared" si="66"/>
        <v>contact vendor</v>
      </c>
      <c r="D207">
        <f>rec_valve_size</f>
        <v>0</v>
      </c>
      <c r="E207" t="s">
        <v>2642</v>
      </c>
      <c r="F207">
        <f t="shared" ref="F207:Q216" si="68">VLOOKUP($E207,eq_table_cl,F$4,FALSE)</f>
        <v>271.98316458599999</v>
      </c>
      <c r="G207">
        <f t="shared" si="68"/>
        <v>0.92578415199999997</v>
      </c>
      <c r="H207">
        <f t="shared" si="68"/>
        <v>0</v>
      </c>
      <c r="I207">
        <f t="shared" si="68"/>
        <v>0</v>
      </c>
      <c r="J207">
        <f t="shared" si="68"/>
        <v>0</v>
      </c>
      <c r="K207">
        <f t="shared" si="68"/>
        <v>0</v>
      </c>
      <c r="L207">
        <f t="shared" si="68"/>
        <v>0</v>
      </c>
      <c r="M207">
        <f t="shared" si="68"/>
        <v>0</v>
      </c>
      <c r="N207">
        <f t="shared" si="68"/>
        <v>0</v>
      </c>
      <c r="O207">
        <f t="shared" si="68"/>
        <v>0</v>
      </c>
      <c r="P207">
        <f t="shared" si="68"/>
        <v>12.1</v>
      </c>
      <c r="Q207">
        <f t="shared" si="68"/>
        <v>0</v>
      </c>
    </row>
    <row r="208" spans="1:17" ht="14.25" customHeight="1" x14ac:dyDescent="0.2">
      <c r="A208" s="5" t="s">
        <v>2062</v>
      </c>
      <c r="B208" t="s">
        <v>2064</v>
      </c>
      <c r="C208" s="82">
        <f t="shared" si="66"/>
        <v>138.55577029</v>
      </c>
      <c r="D208">
        <f>e_donor_valve_size</f>
        <v>0.5</v>
      </c>
      <c r="E208" t="str">
        <f>IF(D208&gt;12,"pp_man_eq_large","pp_man_eq_small")</f>
        <v>pp_man_eq_small</v>
      </c>
      <c r="F208">
        <f t="shared" si="68"/>
        <v>0</v>
      </c>
      <c r="G208">
        <f t="shared" si="68"/>
        <v>0</v>
      </c>
      <c r="H208">
        <f t="shared" si="68"/>
        <v>0</v>
      </c>
      <c r="I208">
        <f t="shared" si="68"/>
        <v>0</v>
      </c>
      <c r="J208">
        <f t="shared" si="68"/>
        <v>0</v>
      </c>
      <c r="K208">
        <f t="shared" si="68"/>
        <v>0</v>
      </c>
      <c r="L208">
        <f t="shared" si="68"/>
        <v>0</v>
      </c>
      <c r="M208">
        <f t="shared" si="68"/>
        <v>12.117823524</v>
      </c>
      <c r="N208">
        <f t="shared" si="68"/>
        <v>45.057729000000002</v>
      </c>
      <c r="O208">
        <f t="shared" si="68"/>
        <v>112.997449909</v>
      </c>
      <c r="P208">
        <f t="shared" si="68"/>
        <v>12</v>
      </c>
      <c r="Q208">
        <f t="shared" si="68"/>
        <v>0</v>
      </c>
    </row>
    <row r="209" spans="1:17" x14ac:dyDescent="0.2">
      <c r="A209" s="5" t="s">
        <v>2063</v>
      </c>
      <c r="B209" t="s">
        <v>2065</v>
      </c>
      <c r="C209" s="82">
        <f t="shared" si="66"/>
        <v>143.17039505495234</v>
      </c>
      <c r="D209">
        <f>e_donor_valve_size</f>
        <v>0.5</v>
      </c>
      <c r="E209" t="s">
        <v>2642</v>
      </c>
      <c r="F209">
        <f t="shared" si="68"/>
        <v>271.98316458599999</v>
      </c>
      <c r="G209">
        <f t="shared" si="68"/>
        <v>0.92578415199999997</v>
      </c>
      <c r="H209">
        <f t="shared" si="68"/>
        <v>0</v>
      </c>
      <c r="I209">
        <f t="shared" si="68"/>
        <v>0</v>
      </c>
      <c r="J209">
        <f t="shared" si="68"/>
        <v>0</v>
      </c>
      <c r="K209">
        <f t="shared" si="68"/>
        <v>0</v>
      </c>
      <c r="L209">
        <f t="shared" si="68"/>
        <v>0</v>
      </c>
      <c r="M209">
        <f t="shared" si="68"/>
        <v>0</v>
      </c>
      <c r="N209">
        <f t="shared" si="68"/>
        <v>0</v>
      </c>
      <c r="O209">
        <f t="shared" si="68"/>
        <v>0</v>
      </c>
      <c r="P209">
        <f t="shared" si="68"/>
        <v>12.1</v>
      </c>
      <c r="Q209">
        <f t="shared" si="68"/>
        <v>0</v>
      </c>
    </row>
    <row r="210" spans="1:17" ht="14.25" customHeight="1" x14ac:dyDescent="0.2">
      <c r="A210" s="5" t="s">
        <v>2054</v>
      </c>
      <c r="B210" t="s">
        <v>2061</v>
      </c>
      <c r="C210" s="82" t="str">
        <f t="shared" si="66"/>
        <v>contact vendor</v>
      </c>
      <c r="D210">
        <f>NH4Cl_valve_size</f>
        <v>0</v>
      </c>
      <c r="E210" t="str">
        <f>IF(D210&gt;12,"pp_man_eq_large","pp_man_eq_small")</f>
        <v>pp_man_eq_small</v>
      </c>
      <c r="F210">
        <f t="shared" si="68"/>
        <v>0</v>
      </c>
      <c r="G210">
        <f t="shared" si="68"/>
        <v>0</v>
      </c>
      <c r="H210">
        <f t="shared" si="68"/>
        <v>0</v>
      </c>
      <c r="I210">
        <f t="shared" si="68"/>
        <v>0</v>
      </c>
      <c r="J210">
        <f t="shared" si="68"/>
        <v>0</v>
      </c>
      <c r="K210">
        <f t="shared" si="68"/>
        <v>0</v>
      </c>
      <c r="L210">
        <f t="shared" si="68"/>
        <v>0</v>
      </c>
      <c r="M210">
        <f t="shared" si="68"/>
        <v>12.117823524</v>
      </c>
      <c r="N210">
        <f t="shared" si="68"/>
        <v>45.057729000000002</v>
      </c>
      <c r="O210">
        <f t="shared" si="68"/>
        <v>112.997449909</v>
      </c>
      <c r="P210">
        <f t="shared" si="68"/>
        <v>12</v>
      </c>
      <c r="Q210">
        <f t="shared" si="68"/>
        <v>0</v>
      </c>
    </row>
    <row r="211" spans="1:17" x14ac:dyDescent="0.2">
      <c r="A211" s="5" t="s">
        <v>2055</v>
      </c>
      <c r="B211" t="s">
        <v>2060</v>
      </c>
      <c r="C211" s="82" t="str">
        <f t="shared" si="66"/>
        <v>contact vendor</v>
      </c>
      <c r="D211">
        <f>NH4Cl_valve_size</f>
        <v>0</v>
      </c>
      <c r="E211" t="s">
        <v>2642</v>
      </c>
      <c r="F211">
        <f t="shared" si="68"/>
        <v>271.98316458599999</v>
      </c>
      <c r="G211">
        <f t="shared" si="68"/>
        <v>0.92578415199999997</v>
      </c>
      <c r="H211">
        <f t="shared" si="68"/>
        <v>0</v>
      </c>
      <c r="I211">
        <f t="shared" si="68"/>
        <v>0</v>
      </c>
      <c r="J211">
        <f t="shared" si="68"/>
        <v>0</v>
      </c>
      <c r="K211">
        <f t="shared" si="68"/>
        <v>0</v>
      </c>
      <c r="L211">
        <f t="shared" si="68"/>
        <v>0</v>
      </c>
      <c r="M211">
        <f t="shared" si="68"/>
        <v>0</v>
      </c>
      <c r="N211">
        <f t="shared" si="68"/>
        <v>0</v>
      </c>
      <c r="O211">
        <f t="shared" si="68"/>
        <v>0</v>
      </c>
      <c r="P211">
        <f t="shared" si="68"/>
        <v>12.1</v>
      </c>
      <c r="Q211">
        <f t="shared" si="68"/>
        <v>0</v>
      </c>
    </row>
    <row r="212" spans="1:17" ht="14.25" customHeight="1" x14ac:dyDescent="0.2">
      <c r="A212" s="5" t="s">
        <v>2050</v>
      </c>
      <c r="B212" t="s">
        <v>2058</v>
      </c>
      <c r="C212" s="82">
        <f t="shared" si="66"/>
        <v>138.55577029</v>
      </c>
      <c r="D212">
        <f>H3PO4_valve_size</f>
        <v>0.5</v>
      </c>
      <c r="E212" t="str">
        <f>IF(D212&gt;12,"pp_man_eq_large","pp_man_eq_small")</f>
        <v>pp_man_eq_small</v>
      </c>
      <c r="F212">
        <f t="shared" si="68"/>
        <v>0</v>
      </c>
      <c r="G212">
        <f t="shared" si="68"/>
        <v>0</v>
      </c>
      <c r="H212">
        <f t="shared" si="68"/>
        <v>0</v>
      </c>
      <c r="I212">
        <f t="shared" si="68"/>
        <v>0</v>
      </c>
      <c r="J212">
        <f t="shared" si="68"/>
        <v>0</v>
      </c>
      <c r="K212">
        <f t="shared" si="68"/>
        <v>0</v>
      </c>
      <c r="L212">
        <f t="shared" si="68"/>
        <v>0</v>
      </c>
      <c r="M212">
        <f t="shared" si="68"/>
        <v>12.117823524</v>
      </c>
      <c r="N212">
        <f t="shared" si="68"/>
        <v>45.057729000000002</v>
      </c>
      <c r="O212">
        <f t="shared" si="68"/>
        <v>112.997449909</v>
      </c>
      <c r="P212">
        <f t="shared" si="68"/>
        <v>12</v>
      </c>
      <c r="Q212">
        <f t="shared" si="68"/>
        <v>0</v>
      </c>
    </row>
    <row r="213" spans="1:17" x14ac:dyDescent="0.2">
      <c r="A213" s="5" t="s">
        <v>2051</v>
      </c>
      <c r="B213" t="s">
        <v>2059</v>
      </c>
      <c r="C213" s="82">
        <f t="shared" si="66"/>
        <v>143.17039505495234</v>
      </c>
      <c r="D213">
        <f>H3PO4_valve_size</f>
        <v>0.5</v>
      </c>
      <c r="E213" t="s">
        <v>2642</v>
      </c>
      <c r="F213">
        <f t="shared" si="68"/>
        <v>271.98316458599999</v>
      </c>
      <c r="G213">
        <f t="shared" si="68"/>
        <v>0.92578415199999997</v>
      </c>
      <c r="H213">
        <f t="shared" si="68"/>
        <v>0</v>
      </c>
      <c r="I213">
        <f t="shared" si="68"/>
        <v>0</v>
      </c>
      <c r="J213">
        <f t="shared" si="68"/>
        <v>0</v>
      </c>
      <c r="K213">
        <f t="shared" si="68"/>
        <v>0</v>
      </c>
      <c r="L213">
        <f t="shared" si="68"/>
        <v>0</v>
      </c>
      <c r="M213">
        <f t="shared" si="68"/>
        <v>0</v>
      </c>
      <c r="N213">
        <f t="shared" si="68"/>
        <v>0</v>
      </c>
      <c r="O213">
        <f t="shared" si="68"/>
        <v>0</v>
      </c>
      <c r="P213">
        <f t="shared" si="68"/>
        <v>12.1</v>
      </c>
      <c r="Q213">
        <f t="shared" si="68"/>
        <v>0</v>
      </c>
    </row>
    <row r="214" spans="1:17" x14ac:dyDescent="0.2">
      <c r="A214" s="35" t="s">
        <v>3637</v>
      </c>
      <c r="B214" t="s">
        <v>1186</v>
      </c>
      <c r="C214" s="82" t="str">
        <f t="shared" si="66"/>
        <v>contact vendor</v>
      </c>
      <c r="D214">
        <f>bypass_valve_size</f>
        <v>0</v>
      </c>
      <c r="E214" t="str">
        <f>IF(D214&gt;12,"pp_man_eq_large","pp_man_eq_small")</f>
        <v>pp_man_eq_small</v>
      </c>
      <c r="F214">
        <f t="shared" si="68"/>
        <v>0</v>
      </c>
      <c r="G214">
        <f t="shared" si="68"/>
        <v>0</v>
      </c>
      <c r="H214">
        <f t="shared" si="68"/>
        <v>0</v>
      </c>
      <c r="I214">
        <f t="shared" si="68"/>
        <v>0</v>
      </c>
      <c r="J214">
        <f t="shared" si="68"/>
        <v>0</v>
      </c>
      <c r="K214">
        <f t="shared" si="68"/>
        <v>0</v>
      </c>
      <c r="L214">
        <f t="shared" si="68"/>
        <v>0</v>
      </c>
      <c r="M214">
        <f t="shared" si="68"/>
        <v>12.117823524</v>
      </c>
      <c r="N214">
        <f t="shared" si="68"/>
        <v>45.057729000000002</v>
      </c>
      <c r="O214">
        <f t="shared" si="68"/>
        <v>112.997449909</v>
      </c>
      <c r="P214">
        <f t="shared" si="68"/>
        <v>12</v>
      </c>
      <c r="Q214">
        <f t="shared" si="68"/>
        <v>0</v>
      </c>
    </row>
    <row r="215" spans="1:17" x14ac:dyDescent="0.2">
      <c r="A215" s="35" t="s">
        <v>3638</v>
      </c>
      <c r="B215" t="s">
        <v>1187</v>
      </c>
      <c r="C215" s="82" t="str">
        <f t="shared" si="66"/>
        <v>contact vendor</v>
      </c>
      <c r="D215">
        <f>bypass_valve_size</f>
        <v>0</v>
      </c>
      <c r="E215" t="s">
        <v>2642</v>
      </c>
      <c r="F215">
        <f t="shared" si="68"/>
        <v>271.98316458599999</v>
      </c>
      <c r="G215">
        <f t="shared" si="68"/>
        <v>0.92578415199999997</v>
      </c>
      <c r="H215">
        <f t="shared" si="68"/>
        <v>0</v>
      </c>
      <c r="I215">
        <f t="shared" si="68"/>
        <v>0</v>
      </c>
      <c r="J215">
        <f t="shared" si="68"/>
        <v>0</v>
      </c>
      <c r="K215">
        <f t="shared" si="68"/>
        <v>0</v>
      </c>
      <c r="L215">
        <f t="shared" si="68"/>
        <v>0</v>
      </c>
      <c r="M215">
        <f t="shared" si="68"/>
        <v>0</v>
      </c>
      <c r="N215">
        <f t="shared" si="68"/>
        <v>0</v>
      </c>
      <c r="O215">
        <f t="shared" si="68"/>
        <v>0</v>
      </c>
      <c r="P215">
        <f t="shared" si="68"/>
        <v>12.1</v>
      </c>
      <c r="Q215">
        <f t="shared" si="68"/>
        <v>0</v>
      </c>
    </row>
    <row r="216" spans="1:17" x14ac:dyDescent="0.2">
      <c r="A216" s="35" t="s">
        <v>1455</v>
      </c>
      <c r="B216" t="s">
        <v>1188</v>
      </c>
      <c r="C216" s="82" t="str">
        <f>IF(OR(D216&gt;P216,D216&lt;Q216),"contact vendor",F216*D216^G216+H216*LN(D216)+I216+J216*EXP(K216*D216)+L216*D216^3+M216*D216^2+N216*D216+O216)</f>
        <v>contact vendor</v>
      </c>
      <c r="D216">
        <f>bypass_valve_size</f>
        <v>0</v>
      </c>
      <c r="E216" t="str">
        <f>IF(D216&gt;12,"ci_bfv_eq_large","ci_bfv_eq_small")</f>
        <v>ci_bfv_eq_small</v>
      </c>
      <c r="F216">
        <f t="shared" si="68"/>
        <v>221.77653215199999</v>
      </c>
      <c r="G216">
        <f t="shared" si="68"/>
        <v>1.0463710340000001</v>
      </c>
      <c r="H216">
        <f t="shared" si="68"/>
        <v>0</v>
      </c>
      <c r="I216">
        <f t="shared" si="68"/>
        <v>0</v>
      </c>
      <c r="J216">
        <f t="shared" si="68"/>
        <v>0</v>
      </c>
      <c r="K216">
        <f t="shared" si="68"/>
        <v>0</v>
      </c>
      <c r="L216">
        <f t="shared" si="68"/>
        <v>0</v>
      </c>
      <c r="M216">
        <f t="shared" si="68"/>
        <v>0</v>
      </c>
      <c r="N216">
        <f t="shared" si="68"/>
        <v>0</v>
      </c>
      <c r="O216">
        <f t="shared" si="68"/>
        <v>0</v>
      </c>
      <c r="P216">
        <f t="shared" si="68"/>
        <v>12</v>
      </c>
      <c r="Q216">
        <f t="shared" si="68"/>
        <v>1</v>
      </c>
    </row>
    <row r="217" spans="1:17" x14ac:dyDescent="0.2">
      <c r="A217" s="87" t="s">
        <v>1318</v>
      </c>
      <c r="B217" t="s">
        <v>1189</v>
      </c>
      <c r="C217" s="82">
        <f t="shared" si="66"/>
        <v>170.17300243299999</v>
      </c>
      <c r="D217">
        <f>res_valve_size</f>
        <v>1</v>
      </c>
      <c r="E217" t="str">
        <f>IF(D217&gt;12,"pp_man_eq_large","pp_man_eq_small")</f>
        <v>pp_man_eq_small</v>
      </c>
      <c r="F217">
        <f t="shared" ref="F217:Q226" si="69">VLOOKUP($E217,eq_table_cl,F$4,FALSE)</f>
        <v>0</v>
      </c>
      <c r="G217">
        <f t="shared" si="69"/>
        <v>0</v>
      </c>
      <c r="H217">
        <f t="shared" si="69"/>
        <v>0</v>
      </c>
      <c r="I217">
        <f t="shared" si="69"/>
        <v>0</v>
      </c>
      <c r="J217">
        <f t="shared" si="69"/>
        <v>0</v>
      </c>
      <c r="K217">
        <f t="shared" si="69"/>
        <v>0</v>
      </c>
      <c r="L217">
        <f t="shared" si="69"/>
        <v>0</v>
      </c>
      <c r="M217">
        <f t="shared" si="69"/>
        <v>12.117823524</v>
      </c>
      <c r="N217">
        <f t="shared" si="69"/>
        <v>45.057729000000002</v>
      </c>
      <c r="O217">
        <f t="shared" si="69"/>
        <v>112.997449909</v>
      </c>
      <c r="P217">
        <f t="shared" si="69"/>
        <v>12</v>
      </c>
      <c r="Q217">
        <f t="shared" si="69"/>
        <v>0</v>
      </c>
    </row>
    <row r="218" spans="1:17" x14ac:dyDescent="0.2">
      <c r="A218" s="87" t="s">
        <v>1320</v>
      </c>
      <c r="B218" t="s">
        <v>1190</v>
      </c>
      <c r="C218" s="82">
        <f t="shared" si="66"/>
        <v>271.98316458599999</v>
      </c>
      <c r="D218">
        <f>res_valve_size</f>
        <v>1</v>
      </c>
      <c r="E218" t="s">
        <v>2642</v>
      </c>
      <c r="F218">
        <f t="shared" si="69"/>
        <v>271.98316458599999</v>
      </c>
      <c r="G218">
        <f t="shared" si="69"/>
        <v>0.92578415199999997</v>
      </c>
      <c r="H218">
        <f t="shared" si="69"/>
        <v>0</v>
      </c>
      <c r="I218">
        <f t="shared" si="69"/>
        <v>0</v>
      </c>
      <c r="J218">
        <f t="shared" si="69"/>
        <v>0</v>
      </c>
      <c r="K218">
        <f t="shared" si="69"/>
        <v>0</v>
      </c>
      <c r="L218">
        <f t="shared" si="69"/>
        <v>0</v>
      </c>
      <c r="M218">
        <f t="shared" si="69"/>
        <v>0</v>
      </c>
      <c r="N218">
        <f t="shared" si="69"/>
        <v>0</v>
      </c>
      <c r="O218">
        <f t="shared" si="69"/>
        <v>0</v>
      </c>
      <c r="P218">
        <f t="shared" si="69"/>
        <v>12.1</v>
      </c>
      <c r="Q218">
        <f t="shared" si="69"/>
        <v>0</v>
      </c>
    </row>
    <row r="219" spans="1:17" x14ac:dyDescent="0.2">
      <c r="A219" s="87" t="s">
        <v>1761</v>
      </c>
      <c r="B219" t="s">
        <v>1191</v>
      </c>
      <c r="C219" s="82">
        <f>IF(OR(D219&gt;P219,D219&lt;Q219),"contact vendor",F219*D219^G219+H219*LN(D219)+I219+J219*EXP(K219*D219)+L219*D219^3+M219*D219^2+N219*D219+O219)</f>
        <v>221.77653215199999</v>
      </c>
      <c r="D219">
        <f>res_valve_size</f>
        <v>1</v>
      </c>
      <c r="E219" t="str">
        <f>IF(D219&gt;12,"ci_bfv_eq_large","ci_bfv_eq_small")</f>
        <v>ci_bfv_eq_small</v>
      </c>
      <c r="F219">
        <f t="shared" si="69"/>
        <v>221.77653215199999</v>
      </c>
      <c r="G219">
        <f t="shared" si="69"/>
        <v>1.0463710340000001</v>
      </c>
      <c r="H219">
        <f t="shared" si="69"/>
        <v>0</v>
      </c>
      <c r="I219">
        <f t="shared" si="69"/>
        <v>0</v>
      </c>
      <c r="J219">
        <f t="shared" si="69"/>
        <v>0</v>
      </c>
      <c r="K219">
        <f t="shared" si="69"/>
        <v>0</v>
      </c>
      <c r="L219">
        <f t="shared" si="69"/>
        <v>0</v>
      </c>
      <c r="M219">
        <f t="shared" si="69"/>
        <v>0</v>
      </c>
      <c r="N219">
        <f t="shared" si="69"/>
        <v>0</v>
      </c>
      <c r="O219">
        <f t="shared" si="69"/>
        <v>0</v>
      </c>
      <c r="P219">
        <f t="shared" si="69"/>
        <v>12</v>
      </c>
      <c r="Q219">
        <f t="shared" si="69"/>
        <v>1</v>
      </c>
    </row>
    <row r="220" spans="1:17" s="5" customFormat="1" ht="13.5" customHeight="1" x14ac:dyDescent="0.2">
      <c r="A220" s="35" t="s">
        <v>2842</v>
      </c>
      <c r="B220" s="5" t="s">
        <v>3461</v>
      </c>
      <c r="C220" s="82">
        <f t="shared" si="66"/>
        <v>251.58420200500001</v>
      </c>
      <c r="D220" s="5">
        <f>air_valve_size</f>
        <v>2</v>
      </c>
      <c r="E220" s="5" t="str">
        <f>IF(D220&gt;12,"pp_man_eq_large","pp_man_eq_small")</f>
        <v>pp_man_eq_small</v>
      </c>
      <c r="F220">
        <f t="shared" si="69"/>
        <v>0</v>
      </c>
      <c r="G220">
        <f t="shared" si="69"/>
        <v>0</v>
      </c>
      <c r="H220">
        <f t="shared" si="69"/>
        <v>0</v>
      </c>
      <c r="I220">
        <f t="shared" si="69"/>
        <v>0</v>
      </c>
      <c r="J220">
        <f t="shared" si="69"/>
        <v>0</v>
      </c>
      <c r="K220">
        <f t="shared" si="69"/>
        <v>0</v>
      </c>
      <c r="L220">
        <f t="shared" si="69"/>
        <v>0</v>
      </c>
      <c r="M220">
        <f t="shared" si="69"/>
        <v>12.117823524</v>
      </c>
      <c r="N220">
        <f t="shared" si="69"/>
        <v>45.057729000000002</v>
      </c>
      <c r="O220">
        <f t="shared" si="69"/>
        <v>112.997449909</v>
      </c>
      <c r="P220">
        <f t="shared" si="69"/>
        <v>12</v>
      </c>
      <c r="Q220">
        <f t="shared" si="69"/>
        <v>0</v>
      </c>
    </row>
    <row r="221" spans="1:17" s="5" customFormat="1" x14ac:dyDescent="0.2">
      <c r="A221" s="35" t="s">
        <v>2843</v>
      </c>
      <c r="B221" s="5" t="s">
        <v>3462</v>
      </c>
      <c r="C221" s="82">
        <f t="shared" si="66"/>
        <v>516.69091078376778</v>
      </c>
      <c r="D221" s="5">
        <f>air_valve_size</f>
        <v>2</v>
      </c>
      <c r="E221" s="5" t="s">
        <v>2642</v>
      </c>
      <c r="F221">
        <f t="shared" si="69"/>
        <v>271.98316458599999</v>
      </c>
      <c r="G221">
        <f t="shared" si="69"/>
        <v>0.92578415199999997</v>
      </c>
      <c r="H221">
        <f t="shared" si="69"/>
        <v>0</v>
      </c>
      <c r="I221">
        <f t="shared" si="69"/>
        <v>0</v>
      </c>
      <c r="J221">
        <f t="shared" si="69"/>
        <v>0</v>
      </c>
      <c r="K221">
        <f t="shared" si="69"/>
        <v>0</v>
      </c>
      <c r="L221">
        <f t="shared" si="69"/>
        <v>0</v>
      </c>
      <c r="M221">
        <f t="shared" si="69"/>
        <v>0</v>
      </c>
      <c r="N221">
        <f t="shared" si="69"/>
        <v>0</v>
      </c>
      <c r="O221">
        <f t="shared" si="69"/>
        <v>0</v>
      </c>
      <c r="P221">
        <f t="shared" si="69"/>
        <v>12.1</v>
      </c>
      <c r="Q221">
        <f t="shared" si="69"/>
        <v>0</v>
      </c>
    </row>
    <row r="222" spans="1:17" s="5" customFormat="1" x14ac:dyDescent="0.2">
      <c r="A222" s="35" t="s">
        <v>2844</v>
      </c>
      <c r="B222" s="5" t="s">
        <v>3463</v>
      </c>
      <c r="C222" s="82" t="str">
        <f>IF(OR(D222&gt;P222,D222&lt;Q222),"contact vendor",F222*D222^G222+H222*LN(D222)+I222+J222*EXP(K222*D222)+L222*D222^3+M222*D222^2+N222*D222+O222)</f>
        <v>contact vendor</v>
      </c>
      <c r="D222" s="5">
        <f>bio_air_valve_size</f>
        <v>0</v>
      </c>
      <c r="E222" s="5" t="str">
        <f>IF(D222&gt;12,"ci_bfv_eq_large","ci_bfv_eq_small")</f>
        <v>ci_bfv_eq_small</v>
      </c>
      <c r="F222">
        <f t="shared" si="69"/>
        <v>221.77653215199999</v>
      </c>
      <c r="G222">
        <f t="shared" si="69"/>
        <v>1.0463710340000001</v>
      </c>
      <c r="H222">
        <f t="shared" si="69"/>
        <v>0</v>
      </c>
      <c r="I222">
        <f t="shared" si="69"/>
        <v>0</v>
      </c>
      <c r="J222">
        <f t="shared" si="69"/>
        <v>0</v>
      </c>
      <c r="K222">
        <f t="shared" si="69"/>
        <v>0</v>
      </c>
      <c r="L222">
        <f t="shared" si="69"/>
        <v>0</v>
      </c>
      <c r="M222">
        <f t="shared" si="69"/>
        <v>0</v>
      </c>
      <c r="N222">
        <f t="shared" si="69"/>
        <v>0</v>
      </c>
      <c r="O222">
        <f t="shared" si="69"/>
        <v>0</v>
      </c>
      <c r="P222">
        <f t="shared" si="69"/>
        <v>12</v>
      </c>
      <c r="Q222">
        <f t="shared" si="69"/>
        <v>1</v>
      </c>
    </row>
    <row r="223" spans="1:17" s="5" customFormat="1" ht="13.5" customHeight="1" x14ac:dyDescent="0.2">
      <c r="A223" s="35" t="s">
        <v>2845</v>
      </c>
      <c r="B223" s="5" t="s">
        <v>2863</v>
      </c>
      <c r="C223" s="82" t="str">
        <f t="shared" si="66"/>
        <v>contact vendor</v>
      </c>
      <c r="D223" s="5">
        <f>bio_air_valve_size</f>
        <v>0</v>
      </c>
      <c r="E223" s="5" t="str">
        <f>IF(D223&gt;12,"pp_man_eq_large","pp_man_eq_small")</f>
        <v>pp_man_eq_small</v>
      </c>
      <c r="F223">
        <f t="shared" si="69"/>
        <v>0</v>
      </c>
      <c r="G223">
        <f t="shared" si="69"/>
        <v>0</v>
      </c>
      <c r="H223">
        <f t="shared" si="69"/>
        <v>0</v>
      </c>
      <c r="I223">
        <f t="shared" si="69"/>
        <v>0</v>
      </c>
      <c r="J223">
        <f t="shared" si="69"/>
        <v>0</v>
      </c>
      <c r="K223">
        <f t="shared" si="69"/>
        <v>0</v>
      </c>
      <c r="L223">
        <f t="shared" si="69"/>
        <v>0</v>
      </c>
      <c r="M223">
        <f t="shared" si="69"/>
        <v>12.117823524</v>
      </c>
      <c r="N223">
        <f t="shared" si="69"/>
        <v>45.057729000000002</v>
      </c>
      <c r="O223">
        <f t="shared" si="69"/>
        <v>112.997449909</v>
      </c>
      <c r="P223">
        <f t="shared" si="69"/>
        <v>12</v>
      </c>
      <c r="Q223">
        <f t="shared" si="69"/>
        <v>0</v>
      </c>
    </row>
    <row r="224" spans="1:17" s="5" customFormat="1" x14ac:dyDescent="0.2">
      <c r="A224" s="35" t="s">
        <v>2846</v>
      </c>
      <c r="B224" s="5" t="s">
        <v>2864</v>
      </c>
      <c r="C224" s="82" t="str">
        <f t="shared" si="66"/>
        <v>contact vendor</v>
      </c>
      <c r="D224" s="5">
        <f>bio_air_valve_size</f>
        <v>0</v>
      </c>
      <c r="E224" s="5" t="s">
        <v>2642</v>
      </c>
      <c r="F224">
        <f t="shared" si="69"/>
        <v>271.98316458599999</v>
      </c>
      <c r="G224">
        <f t="shared" si="69"/>
        <v>0.92578415199999997</v>
      </c>
      <c r="H224">
        <f t="shared" si="69"/>
        <v>0</v>
      </c>
      <c r="I224">
        <f t="shared" si="69"/>
        <v>0</v>
      </c>
      <c r="J224">
        <f t="shared" si="69"/>
        <v>0</v>
      </c>
      <c r="K224">
        <f t="shared" si="69"/>
        <v>0</v>
      </c>
      <c r="L224">
        <f t="shared" si="69"/>
        <v>0</v>
      </c>
      <c r="M224">
        <f t="shared" si="69"/>
        <v>0</v>
      </c>
      <c r="N224">
        <f t="shared" si="69"/>
        <v>0</v>
      </c>
      <c r="O224">
        <f t="shared" si="69"/>
        <v>0</v>
      </c>
      <c r="P224">
        <f t="shared" si="69"/>
        <v>12.1</v>
      </c>
      <c r="Q224">
        <f t="shared" si="69"/>
        <v>0</v>
      </c>
    </row>
    <row r="225" spans="1:17" s="5" customFormat="1" x14ac:dyDescent="0.2">
      <c r="A225" s="35" t="s">
        <v>2847</v>
      </c>
      <c r="B225" s="5" t="s">
        <v>2865</v>
      </c>
      <c r="C225" s="82">
        <f>IF(OR(D225&gt;P225,D225&lt;Q225),"contact vendor",F225*D225^G225+H225*LN(D225)+I225+J225*EXP(K225*D225)+L225*D225^3+M225*D225^2+N225*D225+O225)</f>
        <v>338.97867757464161</v>
      </c>
      <c r="D225" s="5">
        <f>aeration_valve_size</f>
        <v>1.5</v>
      </c>
      <c r="E225" s="5" t="str">
        <f>IF(D225&gt;12,"ci_bfv_eq_large","ci_bfv_eq_small")</f>
        <v>ci_bfv_eq_small</v>
      </c>
      <c r="F225">
        <f t="shared" si="69"/>
        <v>221.77653215199999</v>
      </c>
      <c r="G225">
        <f t="shared" si="69"/>
        <v>1.0463710340000001</v>
      </c>
      <c r="H225">
        <f t="shared" si="69"/>
        <v>0</v>
      </c>
      <c r="I225">
        <f t="shared" si="69"/>
        <v>0</v>
      </c>
      <c r="J225">
        <f t="shared" si="69"/>
        <v>0</v>
      </c>
      <c r="K225">
        <f t="shared" si="69"/>
        <v>0</v>
      </c>
      <c r="L225">
        <f t="shared" si="69"/>
        <v>0</v>
      </c>
      <c r="M225">
        <f t="shared" si="69"/>
        <v>0</v>
      </c>
      <c r="N225">
        <f t="shared" si="69"/>
        <v>0</v>
      </c>
      <c r="O225">
        <f t="shared" si="69"/>
        <v>0</v>
      </c>
      <c r="P225">
        <f t="shared" si="69"/>
        <v>12</v>
      </c>
      <c r="Q225">
        <f t="shared" si="69"/>
        <v>1</v>
      </c>
    </row>
    <row r="226" spans="1:17" s="5" customFormat="1" ht="13.5" customHeight="1" x14ac:dyDescent="0.2">
      <c r="A226" s="35" t="s">
        <v>2860</v>
      </c>
      <c r="B226" s="5" t="s">
        <v>2866</v>
      </c>
      <c r="C226" s="82">
        <f t="shared" si="66"/>
        <v>207.84914633800003</v>
      </c>
      <c r="D226" s="5">
        <f>aeration_valve_size</f>
        <v>1.5</v>
      </c>
      <c r="E226" s="5" t="str">
        <f>IF(D226&gt;12,"pp_man_eq_large","pp_man_eq_small")</f>
        <v>pp_man_eq_small</v>
      </c>
      <c r="F226">
        <f t="shared" si="69"/>
        <v>0</v>
      </c>
      <c r="G226">
        <f t="shared" si="69"/>
        <v>0</v>
      </c>
      <c r="H226">
        <f t="shared" si="69"/>
        <v>0</v>
      </c>
      <c r="I226">
        <f t="shared" si="69"/>
        <v>0</v>
      </c>
      <c r="J226">
        <f t="shared" si="69"/>
        <v>0</v>
      </c>
      <c r="K226">
        <f t="shared" si="69"/>
        <v>0</v>
      </c>
      <c r="L226">
        <f t="shared" si="69"/>
        <v>0</v>
      </c>
      <c r="M226">
        <f t="shared" si="69"/>
        <v>12.117823524</v>
      </c>
      <c r="N226">
        <f t="shared" si="69"/>
        <v>45.057729000000002</v>
      </c>
      <c r="O226">
        <f t="shared" si="69"/>
        <v>112.997449909</v>
      </c>
      <c r="P226">
        <f t="shared" si="69"/>
        <v>12</v>
      </c>
      <c r="Q226">
        <f t="shared" si="69"/>
        <v>0</v>
      </c>
    </row>
    <row r="227" spans="1:17" s="5" customFormat="1" x14ac:dyDescent="0.2">
      <c r="A227" s="35" t="s">
        <v>2861</v>
      </c>
      <c r="B227" s="5" t="s">
        <v>2867</v>
      </c>
      <c r="C227" s="82">
        <f t="shared" si="66"/>
        <v>395.88087320259683</v>
      </c>
      <c r="D227" s="5">
        <f>aeration_valve_size</f>
        <v>1.5</v>
      </c>
      <c r="E227" s="5" t="s">
        <v>2642</v>
      </c>
      <c r="F227">
        <f t="shared" ref="F227:Q234" si="70">VLOOKUP($E227,eq_table_cl,F$4,FALSE)</f>
        <v>271.98316458599999</v>
      </c>
      <c r="G227">
        <f t="shared" si="70"/>
        <v>0.92578415199999997</v>
      </c>
      <c r="H227">
        <f t="shared" si="70"/>
        <v>0</v>
      </c>
      <c r="I227">
        <f t="shared" si="70"/>
        <v>0</v>
      </c>
      <c r="J227">
        <f t="shared" si="70"/>
        <v>0</v>
      </c>
      <c r="K227">
        <f t="shared" si="70"/>
        <v>0</v>
      </c>
      <c r="L227">
        <f t="shared" si="70"/>
        <v>0</v>
      </c>
      <c r="M227">
        <f t="shared" si="70"/>
        <v>0</v>
      </c>
      <c r="N227">
        <f t="shared" si="70"/>
        <v>0</v>
      </c>
      <c r="O227">
        <f t="shared" si="70"/>
        <v>0</v>
      </c>
      <c r="P227">
        <f t="shared" si="70"/>
        <v>12.1</v>
      </c>
      <c r="Q227">
        <f t="shared" si="70"/>
        <v>0</v>
      </c>
    </row>
    <row r="228" spans="1:17" s="5" customFormat="1" x14ac:dyDescent="0.2">
      <c r="A228" s="35" t="s">
        <v>2862</v>
      </c>
      <c r="B228" s="5" t="s">
        <v>2868</v>
      </c>
      <c r="C228" s="82">
        <f>IF(OR(D228&gt;P228,D228&lt;Q228),"contact vendor",F228*D228^G228+H228*LN(D228)+I228+J228*EXP(K228*D228)+L228*D228^3+M228*D228^2+N228*D228+O228)</f>
        <v>458.04131845257473</v>
      </c>
      <c r="D228" s="5">
        <f>air_valve_size</f>
        <v>2</v>
      </c>
      <c r="E228" s="5" t="str">
        <f>IF(D228&gt;12,"ci_bfv_eq_large","ci_bfv_eq_small")</f>
        <v>ci_bfv_eq_small</v>
      </c>
      <c r="F228">
        <f t="shared" si="70"/>
        <v>221.77653215199999</v>
      </c>
      <c r="G228">
        <f t="shared" si="70"/>
        <v>1.0463710340000001</v>
      </c>
      <c r="H228">
        <f t="shared" si="70"/>
        <v>0</v>
      </c>
      <c r="I228">
        <f t="shared" si="70"/>
        <v>0</v>
      </c>
      <c r="J228">
        <f t="shared" si="70"/>
        <v>0</v>
      </c>
      <c r="K228">
        <f t="shared" si="70"/>
        <v>0</v>
      </c>
      <c r="L228">
        <f t="shared" si="70"/>
        <v>0</v>
      </c>
      <c r="M228">
        <f t="shared" si="70"/>
        <v>0</v>
      </c>
      <c r="N228">
        <f t="shared" si="70"/>
        <v>0</v>
      </c>
      <c r="O228">
        <f t="shared" si="70"/>
        <v>0</v>
      </c>
      <c r="P228">
        <f t="shared" si="70"/>
        <v>12</v>
      </c>
      <c r="Q228">
        <f t="shared" si="70"/>
        <v>1</v>
      </c>
    </row>
    <row r="229" spans="1:17" ht="14.25" customHeight="1" x14ac:dyDescent="0.2">
      <c r="A229" s="5" t="s">
        <v>131</v>
      </c>
      <c r="B229" s="5" t="s">
        <v>145</v>
      </c>
      <c r="C229" s="82" t="str">
        <f t="shared" si="66"/>
        <v>contact vendor</v>
      </c>
      <c r="D229">
        <f xml:space="preserve"> H2O2_valve_size</f>
        <v>0</v>
      </c>
      <c r="E229" t="str">
        <f>IF(D229&gt;12,"pp_man_eq_large","pp_man_eq_small")</f>
        <v>pp_man_eq_small</v>
      </c>
      <c r="F229">
        <f t="shared" si="70"/>
        <v>0</v>
      </c>
      <c r="G229">
        <f t="shared" si="70"/>
        <v>0</v>
      </c>
      <c r="H229">
        <f t="shared" si="70"/>
        <v>0</v>
      </c>
      <c r="I229">
        <f t="shared" si="70"/>
        <v>0</v>
      </c>
      <c r="J229">
        <f t="shared" si="70"/>
        <v>0</v>
      </c>
      <c r="K229">
        <f t="shared" si="70"/>
        <v>0</v>
      </c>
      <c r="L229">
        <f t="shared" si="70"/>
        <v>0</v>
      </c>
      <c r="M229">
        <f t="shared" si="70"/>
        <v>12.117823524</v>
      </c>
      <c r="N229">
        <f t="shared" si="70"/>
        <v>45.057729000000002</v>
      </c>
      <c r="O229">
        <f t="shared" si="70"/>
        <v>112.997449909</v>
      </c>
      <c r="P229">
        <f t="shared" si="70"/>
        <v>12</v>
      </c>
      <c r="Q229">
        <f t="shared" si="70"/>
        <v>0</v>
      </c>
    </row>
    <row r="230" spans="1:17" x14ac:dyDescent="0.2">
      <c r="A230" s="5" t="s">
        <v>132</v>
      </c>
      <c r="B230" s="5" t="s">
        <v>146</v>
      </c>
      <c r="C230" s="82" t="str">
        <f t="shared" si="66"/>
        <v>contact vendor</v>
      </c>
      <c r="D230">
        <f xml:space="preserve"> H2O2_valve_size</f>
        <v>0</v>
      </c>
      <c r="E230" t="s">
        <v>2642</v>
      </c>
      <c r="F230">
        <f t="shared" si="70"/>
        <v>271.98316458599999</v>
      </c>
      <c r="G230">
        <f t="shared" si="70"/>
        <v>0.92578415199999997</v>
      </c>
      <c r="H230">
        <f t="shared" si="70"/>
        <v>0</v>
      </c>
      <c r="I230">
        <f t="shared" si="70"/>
        <v>0</v>
      </c>
      <c r="J230">
        <f t="shared" si="70"/>
        <v>0</v>
      </c>
      <c r="K230">
        <f t="shared" si="70"/>
        <v>0</v>
      </c>
      <c r="L230">
        <f t="shared" si="70"/>
        <v>0</v>
      </c>
      <c r="M230">
        <f t="shared" si="70"/>
        <v>0</v>
      </c>
      <c r="N230">
        <f t="shared" si="70"/>
        <v>0</v>
      </c>
      <c r="O230">
        <f t="shared" si="70"/>
        <v>0</v>
      </c>
      <c r="P230">
        <f t="shared" si="70"/>
        <v>12.1</v>
      </c>
      <c r="Q230">
        <f t="shared" si="70"/>
        <v>0</v>
      </c>
    </row>
    <row r="231" spans="1:17" x14ac:dyDescent="0.2">
      <c r="A231" s="694" t="s">
        <v>4320</v>
      </c>
      <c r="B231" s="694" t="s">
        <v>4322</v>
      </c>
      <c r="C231" s="82">
        <f t="shared" si="66"/>
        <v>138.55577029</v>
      </c>
      <c r="D231">
        <f>coag_valve_size</f>
        <v>0.5</v>
      </c>
      <c r="E231" t="str">
        <f>IF(D231&gt;12,"pp_man_eq_large","pp_man_eq_small")</f>
        <v>pp_man_eq_small</v>
      </c>
      <c r="F231">
        <f t="shared" si="70"/>
        <v>0</v>
      </c>
      <c r="G231">
        <f t="shared" si="70"/>
        <v>0</v>
      </c>
      <c r="H231">
        <f t="shared" si="70"/>
        <v>0</v>
      </c>
      <c r="I231">
        <f t="shared" si="70"/>
        <v>0</v>
      </c>
      <c r="J231">
        <f t="shared" si="70"/>
        <v>0</v>
      </c>
      <c r="K231">
        <f t="shared" si="70"/>
        <v>0</v>
      </c>
      <c r="L231">
        <f t="shared" si="70"/>
        <v>0</v>
      </c>
      <c r="M231">
        <f t="shared" si="70"/>
        <v>12.117823524</v>
      </c>
      <c r="N231">
        <f t="shared" si="70"/>
        <v>45.057729000000002</v>
      </c>
      <c r="O231">
        <f t="shared" si="70"/>
        <v>112.997449909</v>
      </c>
      <c r="P231">
        <f t="shared" si="70"/>
        <v>12</v>
      </c>
      <c r="Q231">
        <f t="shared" si="70"/>
        <v>0</v>
      </c>
    </row>
    <row r="232" spans="1:17" ht="14.25" customHeight="1" x14ac:dyDescent="0.2">
      <c r="A232" s="5" t="s">
        <v>2935</v>
      </c>
      <c r="B232" s="5" t="s">
        <v>2931</v>
      </c>
      <c r="C232" s="82">
        <f t="shared" si="66"/>
        <v>138.55577029</v>
      </c>
      <c r="D232">
        <f xml:space="preserve"> polymer_valve_size</f>
        <v>0.5</v>
      </c>
      <c r="E232" t="str">
        <f>IF(D232&gt;12,"pp_man_eq_large","pp_man_eq_small")</f>
        <v>pp_man_eq_small</v>
      </c>
      <c r="F232">
        <f t="shared" si="70"/>
        <v>0</v>
      </c>
      <c r="G232">
        <f t="shared" si="70"/>
        <v>0</v>
      </c>
      <c r="H232">
        <f t="shared" si="70"/>
        <v>0</v>
      </c>
      <c r="I232">
        <f t="shared" si="70"/>
        <v>0</v>
      </c>
      <c r="J232">
        <f t="shared" si="70"/>
        <v>0</v>
      </c>
      <c r="K232">
        <f t="shared" si="70"/>
        <v>0</v>
      </c>
      <c r="L232">
        <f t="shared" si="70"/>
        <v>0</v>
      </c>
      <c r="M232">
        <f t="shared" si="70"/>
        <v>12.117823524</v>
      </c>
      <c r="N232">
        <f t="shared" si="70"/>
        <v>45.057729000000002</v>
      </c>
      <c r="O232">
        <f t="shared" si="70"/>
        <v>112.997449909</v>
      </c>
      <c r="P232">
        <f t="shared" si="70"/>
        <v>12</v>
      </c>
      <c r="Q232">
        <f t="shared" si="70"/>
        <v>0</v>
      </c>
    </row>
    <row r="233" spans="1:17" x14ac:dyDescent="0.2">
      <c r="A233" s="5" t="s">
        <v>2936</v>
      </c>
      <c r="B233" s="5" t="s">
        <v>2932</v>
      </c>
      <c r="C233" s="82">
        <f t="shared" si="66"/>
        <v>143.17039505495234</v>
      </c>
      <c r="D233">
        <f xml:space="preserve"> polymer_valve_size</f>
        <v>0.5</v>
      </c>
      <c r="E233" t="s">
        <v>2642</v>
      </c>
      <c r="F233">
        <f t="shared" si="70"/>
        <v>271.98316458599999</v>
      </c>
      <c r="G233">
        <f t="shared" si="70"/>
        <v>0.92578415199999997</v>
      </c>
      <c r="H233">
        <f t="shared" si="70"/>
        <v>0</v>
      </c>
      <c r="I233">
        <f t="shared" si="70"/>
        <v>0</v>
      </c>
      <c r="J233">
        <f t="shared" si="70"/>
        <v>0</v>
      </c>
      <c r="K233">
        <f t="shared" si="70"/>
        <v>0</v>
      </c>
      <c r="L233">
        <f t="shared" si="70"/>
        <v>0</v>
      </c>
      <c r="M233">
        <f t="shared" si="70"/>
        <v>0</v>
      </c>
      <c r="N233">
        <f t="shared" si="70"/>
        <v>0</v>
      </c>
      <c r="O233">
        <f t="shared" si="70"/>
        <v>0</v>
      </c>
      <c r="P233">
        <f t="shared" si="70"/>
        <v>12.1</v>
      </c>
      <c r="Q233">
        <f t="shared" si="70"/>
        <v>0</v>
      </c>
    </row>
    <row r="234" spans="1:17" s="5" customFormat="1" x14ac:dyDescent="0.2">
      <c r="A234" s="35" t="s">
        <v>2940</v>
      </c>
      <c r="B234" s="5" t="s">
        <v>2941</v>
      </c>
      <c r="C234" s="82" t="str">
        <f>IF(OR(D234&gt;P234,D234&lt;Q234),"contact vendor",F234*D234^G234+H234*LN(D234)+I234+J234*EXP(K234*D234)+L234*D234^3+M234*D234^2+N234*D234+O234)</f>
        <v>contact vendor</v>
      </c>
      <c r="D234" s="5">
        <f>polymer_valve_size</f>
        <v>0.5</v>
      </c>
      <c r="E234" s="5" t="str">
        <f>IF(D234&gt;12,"ci_bfv_eq_large","ci_bfv_eq_small")</f>
        <v>ci_bfv_eq_small</v>
      </c>
      <c r="F234">
        <f t="shared" si="70"/>
        <v>221.77653215199999</v>
      </c>
      <c r="G234">
        <f t="shared" si="70"/>
        <v>1.0463710340000001</v>
      </c>
      <c r="H234">
        <f t="shared" si="70"/>
        <v>0</v>
      </c>
      <c r="I234">
        <f t="shared" si="70"/>
        <v>0</v>
      </c>
      <c r="J234">
        <f t="shared" si="70"/>
        <v>0</v>
      </c>
      <c r="K234">
        <f t="shared" si="70"/>
        <v>0</v>
      </c>
      <c r="L234">
        <f t="shared" si="70"/>
        <v>0</v>
      </c>
      <c r="M234">
        <f t="shared" si="70"/>
        <v>0</v>
      </c>
      <c r="N234">
        <f t="shared" si="70"/>
        <v>0</v>
      </c>
      <c r="O234">
        <f t="shared" si="70"/>
        <v>0</v>
      </c>
      <c r="P234">
        <f t="shared" si="70"/>
        <v>12</v>
      </c>
      <c r="Q234">
        <f t="shared" si="70"/>
        <v>1</v>
      </c>
    </row>
    <row r="235" spans="1:17" x14ac:dyDescent="0.2">
      <c r="A235" s="13" t="s">
        <v>2552</v>
      </c>
      <c r="C235" s="10"/>
    </row>
    <row r="236" spans="1:17" x14ac:dyDescent="0.2">
      <c r="A236" s="5" t="s">
        <v>1841</v>
      </c>
      <c r="B236" t="s">
        <v>2644</v>
      </c>
      <c r="C236" s="82">
        <f t="shared" ref="C236:C258" si="71">IF(OR(D236&gt;P236,D236&lt;=Q236),"contact vendor",F236*D236^G236+H236*LN(D236)+I236+J236*EXP(K236*D236)+L236*D236^3+M236*D236^2+N236*D236+O236)</f>
        <v>640.93656039399991</v>
      </c>
      <c r="D236">
        <f>back_valve_size</f>
        <v>4</v>
      </c>
      <c r="E236" t="s">
        <v>2644</v>
      </c>
      <c r="F236">
        <f t="shared" ref="F236:Q245" si="72">VLOOKUP($E236,eq_table_cl,F$4,FALSE)</f>
        <v>0</v>
      </c>
      <c r="G236">
        <f t="shared" si="72"/>
        <v>0</v>
      </c>
      <c r="H236">
        <f t="shared" si="72"/>
        <v>0</v>
      </c>
      <c r="I236">
        <f t="shared" si="72"/>
        <v>0</v>
      </c>
      <c r="J236">
        <f t="shared" si="72"/>
        <v>0</v>
      </c>
      <c r="K236">
        <f t="shared" si="72"/>
        <v>0</v>
      </c>
      <c r="L236">
        <f t="shared" si="72"/>
        <v>0</v>
      </c>
      <c r="M236">
        <f t="shared" si="72"/>
        <v>23.867181313</v>
      </c>
      <c r="N236">
        <f t="shared" si="72"/>
        <v>53.974127154000001</v>
      </c>
      <c r="O236">
        <f t="shared" si="72"/>
        <v>43.165150769999997</v>
      </c>
      <c r="P236">
        <f t="shared" si="72"/>
        <v>12.1</v>
      </c>
      <c r="Q236">
        <f t="shared" si="72"/>
        <v>0</v>
      </c>
    </row>
    <row r="237" spans="1:17" x14ac:dyDescent="0.2">
      <c r="A237" s="5" t="s">
        <v>584</v>
      </c>
      <c r="B237" t="s">
        <v>2645</v>
      </c>
      <c r="C237" s="82">
        <f t="shared" si="71"/>
        <v>1561.067334162</v>
      </c>
      <c r="D237">
        <f>back_valve_size</f>
        <v>4</v>
      </c>
      <c r="E237" t="s">
        <v>2645</v>
      </c>
      <c r="F237">
        <f t="shared" si="72"/>
        <v>0</v>
      </c>
      <c r="G237">
        <f t="shared" si="72"/>
        <v>0</v>
      </c>
      <c r="H237">
        <f t="shared" si="72"/>
        <v>0</v>
      </c>
      <c r="I237">
        <f t="shared" si="72"/>
        <v>0</v>
      </c>
      <c r="J237">
        <f t="shared" si="72"/>
        <v>0</v>
      </c>
      <c r="K237">
        <f t="shared" si="72"/>
        <v>0</v>
      </c>
      <c r="L237">
        <f t="shared" si="72"/>
        <v>0</v>
      </c>
      <c r="M237">
        <f t="shared" si="72"/>
        <v>43.739370735000001</v>
      </c>
      <c r="N237">
        <f t="shared" si="72"/>
        <v>186.790998664</v>
      </c>
      <c r="O237">
        <f t="shared" si="72"/>
        <v>114.073407746</v>
      </c>
      <c r="P237">
        <f t="shared" si="72"/>
        <v>48.1</v>
      </c>
      <c r="Q237">
        <f t="shared" si="72"/>
        <v>0</v>
      </c>
    </row>
    <row r="238" spans="1:17" x14ac:dyDescent="0.2">
      <c r="A238" s="5" t="s">
        <v>1453</v>
      </c>
      <c r="B238" t="s">
        <v>1458</v>
      </c>
      <c r="C238" s="82">
        <f>IF(OR(D238&gt;P238,D238&lt;Q238),"contact vendor",F238*D238^G238+H238*LN(D238)+I238+J238*EXP(K238*D238)+L238*D238^3+M238*D238^2+N238*D238+O238)</f>
        <v>1432.7510239100002</v>
      </c>
      <c r="D238">
        <f>back_valve_size</f>
        <v>4</v>
      </c>
      <c r="E238" t="s">
        <v>1458</v>
      </c>
      <c r="F238">
        <f t="shared" si="72"/>
        <v>0</v>
      </c>
      <c r="G238">
        <f t="shared" si="72"/>
        <v>0</v>
      </c>
      <c r="H238">
        <f t="shared" si="72"/>
        <v>0</v>
      </c>
      <c r="I238">
        <f t="shared" si="72"/>
        <v>0</v>
      </c>
      <c r="J238">
        <f t="shared" si="72"/>
        <v>0</v>
      </c>
      <c r="K238">
        <f t="shared" si="72"/>
        <v>0</v>
      </c>
      <c r="L238">
        <f t="shared" si="72"/>
        <v>3.240756524</v>
      </c>
      <c r="M238">
        <f t="shared" si="72"/>
        <v>50.118205304</v>
      </c>
      <c r="N238">
        <f t="shared" si="72"/>
        <v>-32.545647099999996</v>
      </c>
      <c r="O238">
        <f t="shared" si="72"/>
        <v>553.63390991000006</v>
      </c>
      <c r="P238">
        <f t="shared" si="72"/>
        <v>24.1</v>
      </c>
      <c r="Q238">
        <f t="shared" si="72"/>
        <v>2</v>
      </c>
    </row>
    <row r="239" spans="1:17" x14ac:dyDescent="0.2">
      <c r="A239" s="5" t="s">
        <v>1763</v>
      </c>
      <c r="B239" t="s">
        <v>1764</v>
      </c>
      <c r="C239" s="82">
        <f t="shared" si="71"/>
        <v>121.006459237</v>
      </c>
      <c r="D239">
        <f>res_valve_size</f>
        <v>1</v>
      </c>
      <c r="E239" t="s">
        <v>2644</v>
      </c>
      <c r="F239">
        <f t="shared" si="72"/>
        <v>0</v>
      </c>
      <c r="G239">
        <f t="shared" si="72"/>
        <v>0</v>
      </c>
      <c r="H239">
        <f t="shared" si="72"/>
        <v>0</v>
      </c>
      <c r="I239">
        <f t="shared" si="72"/>
        <v>0</v>
      </c>
      <c r="J239">
        <f t="shared" si="72"/>
        <v>0</v>
      </c>
      <c r="K239">
        <f t="shared" si="72"/>
        <v>0</v>
      </c>
      <c r="L239">
        <f t="shared" si="72"/>
        <v>0</v>
      </c>
      <c r="M239">
        <f t="shared" si="72"/>
        <v>23.867181313</v>
      </c>
      <c r="N239">
        <f t="shared" si="72"/>
        <v>53.974127154000001</v>
      </c>
      <c r="O239">
        <f t="shared" si="72"/>
        <v>43.165150769999997</v>
      </c>
      <c r="P239">
        <f t="shared" si="72"/>
        <v>12.1</v>
      </c>
      <c r="Q239">
        <f t="shared" si="72"/>
        <v>0</v>
      </c>
    </row>
    <row r="240" spans="1:17" x14ac:dyDescent="0.2">
      <c r="A240" s="5" t="s">
        <v>1765</v>
      </c>
      <c r="B240" t="s">
        <v>1766</v>
      </c>
      <c r="C240" s="82">
        <f t="shared" si="71"/>
        <v>344.60377714499998</v>
      </c>
      <c r="D240">
        <f>res_valve_size</f>
        <v>1</v>
      </c>
      <c r="E240" t="s">
        <v>2645</v>
      </c>
      <c r="F240">
        <f t="shared" si="72"/>
        <v>0</v>
      </c>
      <c r="G240">
        <f t="shared" si="72"/>
        <v>0</v>
      </c>
      <c r="H240">
        <f t="shared" si="72"/>
        <v>0</v>
      </c>
      <c r="I240">
        <f t="shared" si="72"/>
        <v>0</v>
      </c>
      <c r="J240">
        <f t="shared" si="72"/>
        <v>0</v>
      </c>
      <c r="K240">
        <f t="shared" si="72"/>
        <v>0</v>
      </c>
      <c r="L240">
        <f t="shared" si="72"/>
        <v>0</v>
      </c>
      <c r="M240">
        <f t="shared" si="72"/>
        <v>43.739370735000001</v>
      </c>
      <c r="N240">
        <f t="shared" si="72"/>
        <v>186.790998664</v>
      </c>
      <c r="O240">
        <f t="shared" si="72"/>
        <v>114.073407746</v>
      </c>
      <c r="P240">
        <f t="shared" si="72"/>
        <v>48.1</v>
      </c>
      <c r="Q240">
        <f t="shared" si="72"/>
        <v>0</v>
      </c>
    </row>
    <row r="241" spans="1:17" x14ac:dyDescent="0.2">
      <c r="A241" s="5" t="s">
        <v>1767</v>
      </c>
      <c r="B241" t="s">
        <v>1768</v>
      </c>
      <c r="C241" s="82" t="str">
        <f>IF(OR(D241&gt;P241,D241&lt;Q241),"contact vendor",F241*D241^G241+H241*LN(D241)+I241+J241*EXP(K241*D241)+L241*D241^3+M241*D241^2+N241*D241+O241)</f>
        <v>contact vendor</v>
      </c>
      <c r="D241">
        <f>res_valve_size</f>
        <v>1</v>
      </c>
      <c r="E241" t="s">
        <v>1458</v>
      </c>
      <c r="F241">
        <f t="shared" si="72"/>
        <v>0</v>
      </c>
      <c r="G241">
        <f t="shared" si="72"/>
        <v>0</v>
      </c>
      <c r="H241">
        <f t="shared" si="72"/>
        <v>0</v>
      </c>
      <c r="I241">
        <f t="shared" si="72"/>
        <v>0</v>
      </c>
      <c r="J241">
        <f t="shared" si="72"/>
        <v>0</v>
      </c>
      <c r="K241">
        <f t="shared" si="72"/>
        <v>0</v>
      </c>
      <c r="L241">
        <f t="shared" si="72"/>
        <v>3.240756524</v>
      </c>
      <c r="M241">
        <f t="shared" si="72"/>
        <v>50.118205304</v>
      </c>
      <c r="N241">
        <f t="shared" si="72"/>
        <v>-32.545647099999996</v>
      </c>
      <c r="O241">
        <f t="shared" si="72"/>
        <v>553.63390991000006</v>
      </c>
      <c r="P241">
        <f t="shared" si="72"/>
        <v>24.1</v>
      </c>
      <c r="Q241">
        <f t="shared" si="72"/>
        <v>2</v>
      </c>
    </row>
    <row r="242" spans="1:17" x14ac:dyDescent="0.2">
      <c r="A242" s="5" t="s">
        <v>4424</v>
      </c>
      <c r="B242" t="s">
        <v>3474</v>
      </c>
      <c r="C242" s="82">
        <f t="shared" si="71"/>
        <v>419.89216404900003</v>
      </c>
      <c r="D242">
        <f>in_valve_size</f>
        <v>3</v>
      </c>
      <c r="E242" t="s">
        <v>2644</v>
      </c>
      <c r="F242">
        <f t="shared" si="72"/>
        <v>0</v>
      </c>
      <c r="G242">
        <f t="shared" si="72"/>
        <v>0</v>
      </c>
      <c r="H242">
        <f t="shared" si="72"/>
        <v>0</v>
      </c>
      <c r="I242">
        <f t="shared" si="72"/>
        <v>0</v>
      </c>
      <c r="J242">
        <f t="shared" si="72"/>
        <v>0</v>
      </c>
      <c r="K242">
        <f t="shared" si="72"/>
        <v>0</v>
      </c>
      <c r="L242">
        <f t="shared" si="72"/>
        <v>0</v>
      </c>
      <c r="M242">
        <f t="shared" si="72"/>
        <v>23.867181313</v>
      </c>
      <c r="N242">
        <f t="shared" si="72"/>
        <v>53.974127154000001</v>
      </c>
      <c r="O242">
        <f t="shared" si="72"/>
        <v>43.165150769999997</v>
      </c>
      <c r="P242">
        <f t="shared" si="72"/>
        <v>12.1</v>
      </c>
      <c r="Q242">
        <f t="shared" si="72"/>
        <v>0</v>
      </c>
    </row>
    <row r="243" spans="1:17" x14ac:dyDescent="0.2">
      <c r="A243" s="5" t="s">
        <v>4425</v>
      </c>
      <c r="B243" t="s">
        <v>3475</v>
      </c>
      <c r="C243" s="82">
        <f t="shared" si="71"/>
        <v>1068.100740353</v>
      </c>
      <c r="D243">
        <f>in_valve_size</f>
        <v>3</v>
      </c>
      <c r="E243" t="s">
        <v>2645</v>
      </c>
      <c r="F243">
        <f t="shared" si="72"/>
        <v>0</v>
      </c>
      <c r="G243">
        <f t="shared" si="72"/>
        <v>0</v>
      </c>
      <c r="H243">
        <f t="shared" si="72"/>
        <v>0</v>
      </c>
      <c r="I243">
        <f t="shared" si="72"/>
        <v>0</v>
      </c>
      <c r="J243">
        <f t="shared" si="72"/>
        <v>0</v>
      </c>
      <c r="K243">
        <f t="shared" si="72"/>
        <v>0</v>
      </c>
      <c r="L243">
        <f t="shared" si="72"/>
        <v>0</v>
      </c>
      <c r="M243">
        <f t="shared" si="72"/>
        <v>43.739370735000001</v>
      </c>
      <c r="N243">
        <f t="shared" si="72"/>
        <v>186.790998664</v>
      </c>
      <c r="O243">
        <f t="shared" si="72"/>
        <v>114.073407746</v>
      </c>
      <c r="P243">
        <f t="shared" si="72"/>
        <v>48.1</v>
      </c>
      <c r="Q243">
        <f t="shared" si="72"/>
        <v>0</v>
      </c>
    </row>
    <row r="244" spans="1:17" x14ac:dyDescent="0.2">
      <c r="A244" s="5" t="s">
        <v>4426</v>
      </c>
      <c r="B244" t="s">
        <v>3476</v>
      </c>
      <c r="C244" s="82">
        <f>IF(OR(D244&gt;P244,D244&lt;Q244),"contact vendor",F244*D244^G244+H244*LN(D244)+I244+J244*EXP(K244*D244)+L244*D244^3+M244*D244^2+N244*D244+O244)</f>
        <v>994.56124249400011</v>
      </c>
      <c r="D244">
        <f>in_valve_size</f>
        <v>3</v>
      </c>
      <c r="E244" t="s">
        <v>1458</v>
      </c>
      <c r="F244">
        <f t="shared" si="72"/>
        <v>0</v>
      </c>
      <c r="G244">
        <f t="shared" si="72"/>
        <v>0</v>
      </c>
      <c r="H244">
        <f t="shared" si="72"/>
        <v>0</v>
      </c>
      <c r="I244">
        <f t="shared" si="72"/>
        <v>0</v>
      </c>
      <c r="J244">
        <f t="shared" si="72"/>
        <v>0</v>
      </c>
      <c r="K244">
        <f t="shared" si="72"/>
        <v>0</v>
      </c>
      <c r="L244">
        <f t="shared" si="72"/>
        <v>3.240756524</v>
      </c>
      <c r="M244">
        <f t="shared" si="72"/>
        <v>50.118205304</v>
      </c>
      <c r="N244">
        <f t="shared" si="72"/>
        <v>-32.545647099999996</v>
      </c>
      <c r="O244">
        <f t="shared" si="72"/>
        <v>553.63390991000006</v>
      </c>
      <c r="P244">
        <f t="shared" si="72"/>
        <v>24.1</v>
      </c>
      <c r="Q244">
        <f t="shared" si="72"/>
        <v>2</v>
      </c>
    </row>
    <row r="245" spans="1:17" x14ac:dyDescent="0.2">
      <c r="A245" s="5" t="s">
        <v>3637</v>
      </c>
      <c r="B245" t="s">
        <v>3477</v>
      </c>
      <c r="C245" s="82" t="str">
        <f t="shared" si="71"/>
        <v>contact vendor</v>
      </c>
      <c r="D245">
        <f>bypass_valve_size</f>
        <v>0</v>
      </c>
      <c r="E245" t="s">
        <v>2644</v>
      </c>
      <c r="F245">
        <f t="shared" si="72"/>
        <v>0</v>
      </c>
      <c r="G245">
        <f t="shared" si="72"/>
        <v>0</v>
      </c>
      <c r="H245">
        <f t="shared" si="72"/>
        <v>0</v>
      </c>
      <c r="I245">
        <f t="shared" si="72"/>
        <v>0</v>
      </c>
      <c r="J245">
        <f t="shared" si="72"/>
        <v>0</v>
      </c>
      <c r="K245">
        <f t="shared" si="72"/>
        <v>0</v>
      </c>
      <c r="L245">
        <f t="shared" si="72"/>
        <v>0</v>
      </c>
      <c r="M245">
        <f t="shared" si="72"/>
        <v>23.867181313</v>
      </c>
      <c r="N245">
        <f t="shared" si="72"/>
        <v>53.974127154000001</v>
      </c>
      <c r="O245">
        <f t="shared" si="72"/>
        <v>43.165150769999997</v>
      </c>
      <c r="P245">
        <f t="shared" si="72"/>
        <v>12.1</v>
      </c>
      <c r="Q245">
        <f t="shared" si="72"/>
        <v>0</v>
      </c>
    </row>
    <row r="246" spans="1:17" x14ac:dyDescent="0.2">
      <c r="A246" s="5" t="s">
        <v>3638</v>
      </c>
      <c r="B246" t="s">
        <v>3478</v>
      </c>
      <c r="C246" s="82" t="str">
        <f t="shared" si="71"/>
        <v>contact vendor</v>
      </c>
      <c r="D246">
        <f>bypass_valve_size</f>
        <v>0</v>
      </c>
      <c r="E246" t="s">
        <v>2645</v>
      </c>
      <c r="F246">
        <f t="shared" ref="F246:Q255" si="73">VLOOKUP($E246,eq_table_cl,F$4,FALSE)</f>
        <v>0</v>
      </c>
      <c r="G246">
        <f t="shared" si="73"/>
        <v>0</v>
      </c>
      <c r="H246">
        <f t="shared" si="73"/>
        <v>0</v>
      </c>
      <c r="I246">
        <f t="shared" si="73"/>
        <v>0</v>
      </c>
      <c r="J246">
        <f t="shared" si="73"/>
        <v>0</v>
      </c>
      <c r="K246">
        <f t="shared" si="73"/>
        <v>0</v>
      </c>
      <c r="L246">
        <f t="shared" si="73"/>
        <v>0</v>
      </c>
      <c r="M246">
        <f t="shared" si="73"/>
        <v>43.739370735000001</v>
      </c>
      <c r="N246">
        <f t="shared" si="73"/>
        <v>186.790998664</v>
      </c>
      <c r="O246">
        <f t="shared" si="73"/>
        <v>114.073407746</v>
      </c>
      <c r="P246">
        <f t="shared" si="73"/>
        <v>48.1</v>
      </c>
      <c r="Q246">
        <f t="shared" si="73"/>
        <v>0</v>
      </c>
    </row>
    <row r="247" spans="1:17" x14ac:dyDescent="0.2">
      <c r="A247" s="5" t="s">
        <v>1455</v>
      </c>
      <c r="B247" t="s">
        <v>1457</v>
      </c>
      <c r="C247" s="82" t="str">
        <f>IF(OR(D247&gt;P247,D247&lt;Q247),"contact vendor",F247*D247^G247+H247*LN(D247)+I247+J247*EXP(K247*D247)+L247*D247^3+M247*D247^2+N247*D247+O247)</f>
        <v>contact vendor</v>
      </c>
      <c r="D247">
        <f>bypass_valve_size</f>
        <v>0</v>
      </c>
      <c r="E247" t="s">
        <v>1458</v>
      </c>
      <c r="F247">
        <f t="shared" si="73"/>
        <v>0</v>
      </c>
      <c r="G247">
        <f t="shared" si="73"/>
        <v>0</v>
      </c>
      <c r="H247">
        <f t="shared" si="73"/>
        <v>0</v>
      </c>
      <c r="I247">
        <f t="shared" si="73"/>
        <v>0</v>
      </c>
      <c r="J247">
        <f t="shared" si="73"/>
        <v>0</v>
      </c>
      <c r="K247">
        <f t="shared" si="73"/>
        <v>0</v>
      </c>
      <c r="L247">
        <f t="shared" si="73"/>
        <v>3.240756524</v>
      </c>
      <c r="M247">
        <f t="shared" si="73"/>
        <v>50.118205304</v>
      </c>
      <c r="N247">
        <f t="shared" si="73"/>
        <v>-32.545647099999996</v>
      </c>
      <c r="O247">
        <f t="shared" si="73"/>
        <v>553.63390991000006</v>
      </c>
      <c r="P247">
        <f t="shared" si="73"/>
        <v>24.1</v>
      </c>
      <c r="Q247">
        <f t="shared" si="73"/>
        <v>2</v>
      </c>
    </row>
    <row r="248" spans="1:17" x14ac:dyDescent="0.2">
      <c r="A248" s="5" t="s">
        <v>2062</v>
      </c>
      <c r="B248" t="s">
        <v>1209</v>
      </c>
      <c r="C248" s="82">
        <f t="shared" si="71"/>
        <v>76.119009675249998</v>
      </c>
      <c r="D248">
        <f>e_donor_valve_size</f>
        <v>0.5</v>
      </c>
      <c r="E248" t="s">
        <v>2644</v>
      </c>
      <c r="F248">
        <f t="shared" si="73"/>
        <v>0</v>
      </c>
      <c r="G248">
        <f t="shared" si="73"/>
        <v>0</v>
      </c>
      <c r="H248">
        <f t="shared" si="73"/>
        <v>0</v>
      </c>
      <c r="I248">
        <f t="shared" si="73"/>
        <v>0</v>
      </c>
      <c r="J248">
        <f t="shared" si="73"/>
        <v>0</v>
      </c>
      <c r="K248">
        <f t="shared" si="73"/>
        <v>0</v>
      </c>
      <c r="L248">
        <f t="shared" si="73"/>
        <v>0</v>
      </c>
      <c r="M248">
        <f t="shared" si="73"/>
        <v>23.867181313</v>
      </c>
      <c r="N248">
        <f t="shared" si="73"/>
        <v>53.974127154000001</v>
      </c>
      <c r="O248">
        <f t="shared" si="73"/>
        <v>43.165150769999997</v>
      </c>
      <c r="P248">
        <f t="shared" si="73"/>
        <v>12.1</v>
      </c>
      <c r="Q248">
        <f t="shared" si="73"/>
        <v>0</v>
      </c>
    </row>
    <row r="249" spans="1:17" x14ac:dyDescent="0.2">
      <c r="A249" s="5" t="s">
        <v>2063</v>
      </c>
      <c r="B249" t="s">
        <v>1210</v>
      </c>
      <c r="C249" s="82">
        <f t="shared" si="71"/>
        <v>218.40374976175002</v>
      </c>
      <c r="D249">
        <f>e_donor_valve_size</f>
        <v>0.5</v>
      </c>
      <c r="E249" t="s">
        <v>2645</v>
      </c>
      <c r="F249">
        <f t="shared" si="73"/>
        <v>0</v>
      </c>
      <c r="G249">
        <f t="shared" si="73"/>
        <v>0</v>
      </c>
      <c r="H249">
        <f t="shared" si="73"/>
        <v>0</v>
      </c>
      <c r="I249">
        <f t="shared" si="73"/>
        <v>0</v>
      </c>
      <c r="J249">
        <f t="shared" si="73"/>
        <v>0</v>
      </c>
      <c r="K249">
        <f t="shared" si="73"/>
        <v>0</v>
      </c>
      <c r="L249">
        <f t="shared" si="73"/>
        <v>0</v>
      </c>
      <c r="M249">
        <f t="shared" si="73"/>
        <v>43.739370735000001</v>
      </c>
      <c r="N249">
        <f t="shared" si="73"/>
        <v>186.790998664</v>
      </c>
      <c r="O249">
        <f t="shared" si="73"/>
        <v>114.073407746</v>
      </c>
      <c r="P249">
        <f t="shared" si="73"/>
        <v>48.1</v>
      </c>
      <c r="Q249">
        <f t="shared" si="73"/>
        <v>0</v>
      </c>
    </row>
    <row r="250" spans="1:17" x14ac:dyDescent="0.2">
      <c r="A250" s="5" t="s">
        <v>2054</v>
      </c>
      <c r="B250" t="s">
        <v>1211</v>
      </c>
      <c r="C250" s="82" t="str">
        <f t="shared" si="71"/>
        <v>contact vendor</v>
      </c>
      <c r="D250">
        <f>NH4Cl_valve_size</f>
        <v>0</v>
      </c>
      <c r="E250" t="s">
        <v>2644</v>
      </c>
      <c r="F250">
        <f t="shared" si="73"/>
        <v>0</v>
      </c>
      <c r="G250">
        <f t="shared" si="73"/>
        <v>0</v>
      </c>
      <c r="H250">
        <f t="shared" si="73"/>
        <v>0</v>
      </c>
      <c r="I250">
        <f t="shared" si="73"/>
        <v>0</v>
      </c>
      <c r="J250">
        <f t="shared" si="73"/>
        <v>0</v>
      </c>
      <c r="K250">
        <f t="shared" si="73"/>
        <v>0</v>
      </c>
      <c r="L250">
        <f t="shared" si="73"/>
        <v>0</v>
      </c>
      <c r="M250">
        <f t="shared" si="73"/>
        <v>23.867181313</v>
      </c>
      <c r="N250">
        <f t="shared" si="73"/>
        <v>53.974127154000001</v>
      </c>
      <c r="O250">
        <f t="shared" si="73"/>
        <v>43.165150769999997</v>
      </c>
      <c r="P250">
        <f t="shared" si="73"/>
        <v>12.1</v>
      </c>
      <c r="Q250">
        <f t="shared" si="73"/>
        <v>0</v>
      </c>
    </row>
    <row r="251" spans="1:17" x14ac:dyDescent="0.2">
      <c r="A251" s="5" t="s">
        <v>2055</v>
      </c>
      <c r="B251" t="s">
        <v>1212</v>
      </c>
      <c r="C251" s="82" t="str">
        <f t="shared" si="71"/>
        <v>contact vendor</v>
      </c>
      <c r="D251">
        <f>NH4Cl_valve_size</f>
        <v>0</v>
      </c>
      <c r="E251" t="s">
        <v>2645</v>
      </c>
      <c r="F251">
        <f t="shared" si="73"/>
        <v>0</v>
      </c>
      <c r="G251">
        <f t="shared" si="73"/>
        <v>0</v>
      </c>
      <c r="H251">
        <f t="shared" si="73"/>
        <v>0</v>
      </c>
      <c r="I251">
        <f t="shared" si="73"/>
        <v>0</v>
      </c>
      <c r="J251">
        <f t="shared" si="73"/>
        <v>0</v>
      </c>
      <c r="K251">
        <f t="shared" si="73"/>
        <v>0</v>
      </c>
      <c r="L251">
        <f t="shared" si="73"/>
        <v>0</v>
      </c>
      <c r="M251">
        <f t="shared" si="73"/>
        <v>43.739370735000001</v>
      </c>
      <c r="N251">
        <f t="shared" si="73"/>
        <v>186.790998664</v>
      </c>
      <c r="O251">
        <f t="shared" si="73"/>
        <v>114.073407746</v>
      </c>
      <c r="P251">
        <f t="shared" si="73"/>
        <v>48.1</v>
      </c>
      <c r="Q251">
        <f t="shared" si="73"/>
        <v>0</v>
      </c>
    </row>
    <row r="252" spans="1:17" x14ac:dyDescent="0.2">
      <c r="A252" s="5" t="s">
        <v>2050</v>
      </c>
      <c r="B252" t="s">
        <v>1213</v>
      </c>
      <c r="C252" s="82">
        <f t="shared" si="71"/>
        <v>76.119009675249998</v>
      </c>
      <c r="D252">
        <f>H3PO4_valve_size</f>
        <v>0.5</v>
      </c>
      <c r="E252" t="s">
        <v>2644</v>
      </c>
      <c r="F252">
        <f t="shared" si="73"/>
        <v>0</v>
      </c>
      <c r="G252">
        <f t="shared" si="73"/>
        <v>0</v>
      </c>
      <c r="H252">
        <f t="shared" si="73"/>
        <v>0</v>
      </c>
      <c r="I252">
        <f t="shared" si="73"/>
        <v>0</v>
      </c>
      <c r="J252">
        <f t="shared" si="73"/>
        <v>0</v>
      </c>
      <c r="K252">
        <f t="shared" si="73"/>
        <v>0</v>
      </c>
      <c r="L252">
        <f t="shared" si="73"/>
        <v>0</v>
      </c>
      <c r="M252">
        <f t="shared" si="73"/>
        <v>23.867181313</v>
      </c>
      <c r="N252">
        <f t="shared" si="73"/>
        <v>53.974127154000001</v>
      </c>
      <c r="O252">
        <f t="shared" si="73"/>
        <v>43.165150769999997</v>
      </c>
      <c r="P252">
        <f t="shared" si="73"/>
        <v>12.1</v>
      </c>
      <c r="Q252">
        <f t="shared" si="73"/>
        <v>0</v>
      </c>
    </row>
    <row r="253" spans="1:17" x14ac:dyDescent="0.2">
      <c r="A253" s="5" t="s">
        <v>2051</v>
      </c>
      <c r="B253" t="s">
        <v>1214</v>
      </c>
      <c r="C253" s="82">
        <f t="shared" si="71"/>
        <v>218.40374976175002</v>
      </c>
      <c r="D253">
        <f>H3PO4_valve_size</f>
        <v>0.5</v>
      </c>
      <c r="E253" t="s">
        <v>2645</v>
      </c>
      <c r="F253">
        <f t="shared" si="73"/>
        <v>0</v>
      </c>
      <c r="G253">
        <f t="shared" si="73"/>
        <v>0</v>
      </c>
      <c r="H253">
        <f t="shared" si="73"/>
        <v>0</v>
      </c>
      <c r="I253">
        <f t="shared" si="73"/>
        <v>0</v>
      </c>
      <c r="J253">
        <f t="shared" si="73"/>
        <v>0</v>
      </c>
      <c r="K253">
        <f t="shared" si="73"/>
        <v>0</v>
      </c>
      <c r="L253">
        <f t="shared" si="73"/>
        <v>0</v>
      </c>
      <c r="M253">
        <f t="shared" si="73"/>
        <v>43.739370735000001</v>
      </c>
      <c r="N253">
        <f t="shared" si="73"/>
        <v>186.790998664</v>
      </c>
      <c r="O253">
        <f t="shared" si="73"/>
        <v>114.073407746</v>
      </c>
      <c r="P253">
        <f t="shared" si="73"/>
        <v>48.1</v>
      </c>
      <c r="Q253">
        <f t="shared" si="73"/>
        <v>0</v>
      </c>
    </row>
    <row r="254" spans="1:17" x14ac:dyDescent="0.2">
      <c r="A254" s="5" t="s">
        <v>131</v>
      </c>
      <c r="B254" s="5" t="s">
        <v>137</v>
      </c>
      <c r="C254" s="82" t="str">
        <f t="shared" si="71"/>
        <v>contact vendor</v>
      </c>
      <c r="D254">
        <f>H2O2_valve_size</f>
        <v>0</v>
      </c>
      <c r="E254" t="s">
        <v>2644</v>
      </c>
      <c r="F254">
        <f t="shared" si="73"/>
        <v>0</v>
      </c>
      <c r="G254">
        <f t="shared" si="73"/>
        <v>0</v>
      </c>
      <c r="H254">
        <f t="shared" si="73"/>
        <v>0</v>
      </c>
      <c r="I254">
        <f t="shared" si="73"/>
        <v>0</v>
      </c>
      <c r="J254">
        <f t="shared" si="73"/>
        <v>0</v>
      </c>
      <c r="K254">
        <f t="shared" si="73"/>
        <v>0</v>
      </c>
      <c r="L254">
        <f t="shared" si="73"/>
        <v>0</v>
      </c>
      <c r="M254">
        <f t="shared" si="73"/>
        <v>23.867181313</v>
      </c>
      <c r="N254">
        <f t="shared" si="73"/>
        <v>53.974127154000001</v>
      </c>
      <c r="O254">
        <f t="shared" si="73"/>
        <v>43.165150769999997</v>
      </c>
      <c r="P254">
        <f t="shared" si="73"/>
        <v>12.1</v>
      </c>
      <c r="Q254">
        <f t="shared" si="73"/>
        <v>0</v>
      </c>
    </row>
    <row r="255" spans="1:17" x14ac:dyDescent="0.2">
      <c r="A255" s="5" t="s">
        <v>135</v>
      </c>
      <c r="B255" s="5" t="s">
        <v>136</v>
      </c>
      <c r="C255" s="82" t="str">
        <f t="shared" si="71"/>
        <v>contact vendor</v>
      </c>
      <c r="D255">
        <f>H2O2_valve_size</f>
        <v>0</v>
      </c>
      <c r="E255" t="s">
        <v>2645</v>
      </c>
      <c r="F255">
        <f t="shared" si="73"/>
        <v>0</v>
      </c>
      <c r="G255">
        <f t="shared" si="73"/>
        <v>0</v>
      </c>
      <c r="H255">
        <f t="shared" si="73"/>
        <v>0</v>
      </c>
      <c r="I255">
        <f t="shared" si="73"/>
        <v>0</v>
      </c>
      <c r="J255">
        <f t="shared" si="73"/>
        <v>0</v>
      </c>
      <c r="K255">
        <f t="shared" si="73"/>
        <v>0</v>
      </c>
      <c r="L255">
        <f t="shared" si="73"/>
        <v>0</v>
      </c>
      <c r="M255">
        <f t="shared" si="73"/>
        <v>43.739370735000001</v>
      </c>
      <c r="N255">
        <f t="shared" si="73"/>
        <v>186.790998664</v>
      </c>
      <c r="O255">
        <f t="shared" si="73"/>
        <v>114.073407746</v>
      </c>
      <c r="P255">
        <f t="shared" si="73"/>
        <v>48.1</v>
      </c>
      <c r="Q255">
        <f t="shared" si="73"/>
        <v>0</v>
      </c>
    </row>
    <row r="256" spans="1:17" x14ac:dyDescent="0.2">
      <c r="A256" s="694" t="s">
        <v>4320</v>
      </c>
      <c r="B256" s="694" t="s">
        <v>4323</v>
      </c>
      <c r="C256" s="82">
        <f t="shared" si="71"/>
        <v>76.119009675249998</v>
      </c>
      <c r="D256">
        <f>coag_valve_size</f>
        <v>0.5</v>
      </c>
      <c r="E256" t="s">
        <v>2644</v>
      </c>
      <c r="F256">
        <f t="shared" ref="F256:P259" si="74">VLOOKUP($E256,eq_table_cl,F$4,FALSE)</f>
        <v>0</v>
      </c>
      <c r="G256">
        <f t="shared" si="74"/>
        <v>0</v>
      </c>
      <c r="H256">
        <f t="shared" si="74"/>
        <v>0</v>
      </c>
      <c r="I256">
        <f t="shared" si="74"/>
        <v>0</v>
      </c>
      <c r="J256">
        <f t="shared" si="74"/>
        <v>0</v>
      </c>
      <c r="K256">
        <f t="shared" si="74"/>
        <v>0</v>
      </c>
      <c r="L256">
        <f t="shared" si="74"/>
        <v>0</v>
      </c>
      <c r="M256">
        <f t="shared" si="74"/>
        <v>23.867181313</v>
      </c>
      <c r="N256">
        <f t="shared" si="74"/>
        <v>53.974127154000001</v>
      </c>
      <c r="O256">
        <f t="shared" si="74"/>
        <v>43.165150769999997</v>
      </c>
      <c r="P256">
        <f t="shared" si="74"/>
        <v>12.1</v>
      </c>
    </row>
    <row r="257" spans="1:17" x14ac:dyDescent="0.2">
      <c r="A257" s="5" t="s">
        <v>2935</v>
      </c>
      <c r="B257" s="5" t="s">
        <v>748</v>
      </c>
      <c r="C257" s="82">
        <f t="shared" si="71"/>
        <v>76.119009675249998</v>
      </c>
      <c r="D257" s="58">
        <f xml:space="preserve"> polymer_valve_size</f>
        <v>0.5</v>
      </c>
      <c r="E257" t="s">
        <v>2644</v>
      </c>
      <c r="F257">
        <f t="shared" si="74"/>
        <v>0</v>
      </c>
      <c r="G257">
        <f t="shared" si="74"/>
        <v>0</v>
      </c>
      <c r="H257">
        <f t="shared" si="74"/>
        <v>0</v>
      </c>
      <c r="I257">
        <f t="shared" si="74"/>
        <v>0</v>
      </c>
      <c r="J257">
        <f t="shared" si="74"/>
        <v>0</v>
      </c>
      <c r="K257">
        <f t="shared" si="74"/>
        <v>0</v>
      </c>
      <c r="L257">
        <f t="shared" si="74"/>
        <v>0</v>
      </c>
      <c r="M257">
        <f t="shared" si="74"/>
        <v>23.867181313</v>
      </c>
      <c r="N257">
        <f t="shared" si="74"/>
        <v>53.974127154000001</v>
      </c>
      <c r="O257">
        <f t="shared" si="74"/>
        <v>43.165150769999997</v>
      </c>
      <c r="P257">
        <f t="shared" si="74"/>
        <v>12.1</v>
      </c>
      <c r="Q257">
        <f>VLOOKUP($E257,eq_table_cl,Q$4,FALSE)</f>
        <v>0</v>
      </c>
    </row>
    <row r="258" spans="1:17" x14ac:dyDescent="0.2">
      <c r="A258" s="5" t="s">
        <v>2936</v>
      </c>
      <c r="B258" s="5" t="s">
        <v>749</v>
      </c>
      <c r="C258" s="82">
        <f t="shared" si="71"/>
        <v>218.40374976175002</v>
      </c>
      <c r="D258" s="58">
        <f xml:space="preserve"> polymer_valve_size</f>
        <v>0.5</v>
      </c>
      <c r="E258" t="s">
        <v>2645</v>
      </c>
      <c r="F258">
        <f t="shared" si="74"/>
        <v>0</v>
      </c>
      <c r="G258">
        <f t="shared" si="74"/>
        <v>0</v>
      </c>
      <c r="H258">
        <f t="shared" si="74"/>
        <v>0</v>
      </c>
      <c r="I258">
        <f t="shared" si="74"/>
        <v>0</v>
      </c>
      <c r="J258">
        <f t="shared" si="74"/>
        <v>0</v>
      </c>
      <c r="K258">
        <f t="shared" si="74"/>
        <v>0</v>
      </c>
      <c r="L258">
        <f t="shared" si="74"/>
        <v>0</v>
      </c>
      <c r="M258">
        <f t="shared" si="74"/>
        <v>43.739370735000001</v>
      </c>
      <c r="N258">
        <f t="shared" si="74"/>
        <v>186.790998664</v>
      </c>
      <c r="O258">
        <f t="shared" si="74"/>
        <v>114.073407746</v>
      </c>
      <c r="P258">
        <f t="shared" si="74"/>
        <v>48.1</v>
      </c>
      <c r="Q258">
        <f>VLOOKUP($E258,eq_table_cl,Q$4,FALSE)</f>
        <v>0</v>
      </c>
    </row>
    <row r="259" spans="1:17" x14ac:dyDescent="0.2">
      <c r="A259" s="35" t="s">
        <v>2940</v>
      </c>
      <c r="B259" s="5" t="s">
        <v>750</v>
      </c>
      <c r="C259" s="82" t="str">
        <f>IF(OR(D259&gt;P259,D259&lt;Q259),"contact vendor",F259*D259^G259+H259*LN(D259)+I259+J259*EXP(K259*D259)+L259*D259^3+M259*D259^2+N259*D259+O259)</f>
        <v>contact vendor</v>
      </c>
      <c r="D259" s="58">
        <f xml:space="preserve"> polymer_valve_size</f>
        <v>0.5</v>
      </c>
      <c r="E259" t="s">
        <v>1458</v>
      </c>
      <c r="F259">
        <f t="shared" si="74"/>
        <v>0</v>
      </c>
      <c r="G259">
        <f t="shared" si="74"/>
        <v>0</v>
      </c>
      <c r="H259">
        <f t="shared" si="74"/>
        <v>0</v>
      </c>
      <c r="I259">
        <f t="shared" si="74"/>
        <v>0</v>
      </c>
      <c r="J259">
        <f t="shared" si="74"/>
        <v>0</v>
      </c>
      <c r="K259">
        <f t="shared" si="74"/>
        <v>0</v>
      </c>
      <c r="L259">
        <f t="shared" si="74"/>
        <v>3.240756524</v>
      </c>
      <c r="M259">
        <f t="shared" si="74"/>
        <v>50.118205304</v>
      </c>
      <c r="N259">
        <f t="shared" si="74"/>
        <v>-32.545647099999996</v>
      </c>
      <c r="O259">
        <f t="shared" si="74"/>
        <v>553.63390991000006</v>
      </c>
      <c r="P259">
        <f t="shared" si="74"/>
        <v>24.1</v>
      </c>
      <c r="Q259">
        <f>VLOOKUP($E259,eq_table_cl,Q$4,FALSE)</f>
        <v>2</v>
      </c>
    </row>
    <row r="260" spans="1:17" x14ac:dyDescent="0.2">
      <c r="A260" s="18" t="s">
        <v>3457</v>
      </c>
      <c r="C260" s="10"/>
    </row>
    <row r="261" spans="1:17" x14ac:dyDescent="0.2">
      <c r="A261" s="13" t="s">
        <v>586</v>
      </c>
      <c r="B261" t="s">
        <v>3139</v>
      </c>
      <c r="C261" s="82" t="str">
        <f t="shared" ref="C261:C264" si="75">IF(OR(D261&gt;P261,D261&lt;=Q261),"contact vendor",F261*D261^G261+H261*LN(D261)+I261+J261*EXP(K261*D261)+L261*D261^3+M261*D261^2+N261*D261+O261)</f>
        <v>contact vendor</v>
      </c>
      <c r="D261">
        <f>pump_rating</f>
        <v>0</v>
      </c>
      <c r="E261" t="s">
        <v>3139</v>
      </c>
      <c r="F261">
        <f t="shared" ref="F261:Q264" si="76">VLOOKUP($E261,eq_table_cl,F$4,FALSE)</f>
        <v>0</v>
      </c>
      <c r="G261">
        <f t="shared" si="76"/>
        <v>0</v>
      </c>
      <c r="H261">
        <f t="shared" si="76"/>
        <v>0</v>
      </c>
      <c r="I261">
        <f t="shared" si="76"/>
        <v>0</v>
      </c>
      <c r="J261">
        <f t="shared" si="76"/>
        <v>0</v>
      </c>
      <c r="K261">
        <f t="shared" si="76"/>
        <v>0</v>
      </c>
      <c r="L261">
        <f t="shared" si="76"/>
        <v>0</v>
      </c>
      <c r="M261">
        <f t="shared" si="76"/>
        <v>-6.7002999999999995E-4</v>
      </c>
      <c r="N261">
        <f t="shared" si="76"/>
        <v>14.809014980000001</v>
      </c>
      <c r="O261">
        <f t="shared" si="76"/>
        <v>4093.494684836</v>
      </c>
      <c r="P261">
        <f t="shared" si="76"/>
        <v>10001</v>
      </c>
      <c r="Q261">
        <f t="shared" si="76"/>
        <v>0</v>
      </c>
    </row>
    <row r="262" spans="1:17" x14ac:dyDescent="0.2">
      <c r="A262" s="13" t="s">
        <v>2794</v>
      </c>
      <c r="B262" t="s">
        <v>2795</v>
      </c>
      <c r="C262" s="82" t="str">
        <f t="shared" si="75"/>
        <v>contact vendor</v>
      </c>
      <c r="D262">
        <f>recycle_pump_rating</f>
        <v>0</v>
      </c>
      <c r="E262" t="s">
        <v>3139</v>
      </c>
      <c r="F262">
        <f t="shared" si="76"/>
        <v>0</v>
      </c>
      <c r="G262">
        <f t="shared" si="76"/>
        <v>0</v>
      </c>
      <c r="H262">
        <f t="shared" si="76"/>
        <v>0</v>
      </c>
      <c r="I262">
        <f t="shared" si="76"/>
        <v>0</v>
      </c>
      <c r="J262">
        <f t="shared" si="76"/>
        <v>0</v>
      </c>
      <c r="K262">
        <f t="shared" si="76"/>
        <v>0</v>
      </c>
      <c r="L262">
        <f t="shared" si="76"/>
        <v>0</v>
      </c>
      <c r="M262">
        <f t="shared" si="76"/>
        <v>-6.7002999999999995E-4</v>
      </c>
      <c r="N262">
        <f t="shared" si="76"/>
        <v>14.809014980000001</v>
      </c>
      <c r="O262">
        <f t="shared" si="76"/>
        <v>4093.494684836</v>
      </c>
      <c r="P262">
        <f t="shared" si="76"/>
        <v>10001</v>
      </c>
      <c r="Q262">
        <f t="shared" si="76"/>
        <v>0</v>
      </c>
    </row>
    <row r="263" spans="1:17" x14ac:dyDescent="0.2">
      <c r="A263" s="13" t="s">
        <v>587</v>
      </c>
      <c r="B263" t="s">
        <v>3140</v>
      </c>
      <c r="C263" s="82" t="str">
        <f t="shared" si="75"/>
        <v>contact vendor</v>
      </c>
      <c r="D263">
        <f>back_pump_rating</f>
        <v>0</v>
      </c>
      <c r="E263" t="s">
        <v>2646</v>
      </c>
      <c r="F263">
        <f t="shared" si="76"/>
        <v>0</v>
      </c>
      <c r="G263">
        <f t="shared" si="76"/>
        <v>0</v>
      </c>
      <c r="H263">
        <f t="shared" si="76"/>
        <v>0</v>
      </c>
      <c r="I263">
        <f t="shared" si="76"/>
        <v>0</v>
      </c>
      <c r="J263">
        <f t="shared" si="76"/>
        <v>0</v>
      </c>
      <c r="K263">
        <f t="shared" si="76"/>
        <v>0</v>
      </c>
      <c r="L263">
        <f t="shared" si="76"/>
        <v>0</v>
      </c>
      <c r="M263">
        <f t="shared" si="76"/>
        <v>-6.7002999999999995E-4</v>
      </c>
      <c r="N263">
        <f t="shared" si="76"/>
        <v>14.809014980000001</v>
      </c>
      <c r="O263">
        <f t="shared" si="76"/>
        <v>4093.494684836</v>
      </c>
      <c r="P263">
        <f t="shared" si="76"/>
        <v>10001</v>
      </c>
      <c r="Q263">
        <f t="shared" si="76"/>
        <v>0</v>
      </c>
    </row>
    <row r="264" spans="1:17" x14ac:dyDescent="0.2">
      <c r="A264" s="86" t="s">
        <v>1769</v>
      </c>
      <c r="B264" t="s">
        <v>1770</v>
      </c>
      <c r="C264" s="82">
        <f t="shared" si="75"/>
        <v>4148.6249805490752</v>
      </c>
      <c r="D264">
        <f>res_pump_rating</f>
        <v>3.7233796296296298</v>
      </c>
      <c r="E264" t="s">
        <v>3139</v>
      </c>
      <c r="F264">
        <f t="shared" si="76"/>
        <v>0</v>
      </c>
      <c r="G264">
        <f t="shared" si="76"/>
        <v>0</v>
      </c>
      <c r="H264">
        <f t="shared" si="76"/>
        <v>0</v>
      </c>
      <c r="I264">
        <f t="shared" si="76"/>
        <v>0</v>
      </c>
      <c r="J264">
        <f t="shared" si="76"/>
        <v>0</v>
      </c>
      <c r="K264">
        <f t="shared" si="76"/>
        <v>0</v>
      </c>
      <c r="L264">
        <f t="shared" si="76"/>
        <v>0</v>
      </c>
      <c r="M264">
        <f t="shared" si="76"/>
        <v>-6.7002999999999995E-4</v>
      </c>
      <c r="N264">
        <f t="shared" si="76"/>
        <v>14.809014980000001</v>
      </c>
      <c r="O264">
        <f t="shared" si="76"/>
        <v>4093.494684836</v>
      </c>
      <c r="P264">
        <f t="shared" si="76"/>
        <v>10001</v>
      </c>
      <c r="Q264">
        <f t="shared" si="76"/>
        <v>0</v>
      </c>
    </row>
    <row r="265" spans="1:17" x14ac:dyDescent="0.2">
      <c r="A265" s="86" t="s">
        <v>3202</v>
      </c>
      <c r="C265" s="10"/>
    </row>
    <row r="266" spans="1:17" x14ac:dyDescent="0.2">
      <c r="A266" s="35" t="s">
        <v>1602</v>
      </c>
      <c r="B266" s="5" t="s">
        <v>2066</v>
      </c>
      <c r="C266" s="82">
        <f t="shared" ref="C266:C269" si="77">IF(OR(D266&gt;P266,D266&lt;=Q266),"contact vendor",F266*D266^G266+H266*LN(D266)+I266+J266*EXP(K266*D266)+L266*D266^3+M266*D266^2+N266*D266+O266)</f>
        <v>3019.3059057435044</v>
      </c>
      <c r="D266">
        <f>cm_pump_rating_e_donor</f>
        <v>0.31984857482185275</v>
      </c>
      <c r="E266" s="5" t="s">
        <v>1434</v>
      </c>
      <c r="F266">
        <f t="shared" ref="F266:Q269" si="78">VLOOKUP($E266,eq_table_cl,F$4,FALSE)</f>
        <v>0</v>
      </c>
      <c r="G266">
        <f t="shared" si="78"/>
        <v>0</v>
      </c>
      <c r="H266">
        <f t="shared" si="78"/>
        <v>0</v>
      </c>
      <c r="I266">
        <f t="shared" si="78"/>
        <v>0</v>
      </c>
      <c r="J266">
        <f t="shared" si="78"/>
        <v>0</v>
      </c>
      <c r="K266">
        <f t="shared" si="78"/>
        <v>0</v>
      </c>
      <c r="L266">
        <f t="shared" si="78"/>
        <v>5.8459699999999996E-4</v>
      </c>
      <c r="M266">
        <f t="shared" si="78"/>
        <v>-0.31291286000000001</v>
      </c>
      <c r="N266">
        <f t="shared" si="78"/>
        <v>58.800444323000001</v>
      </c>
      <c r="O266">
        <f t="shared" si="78"/>
        <v>3000.5306602579999</v>
      </c>
      <c r="P266">
        <f t="shared" si="78"/>
        <v>132.01</v>
      </c>
      <c r="Q266">
        <f t="shared" si="78"/>
        <v>0</v>
      </c>
    </row>
    <row r="267" spans="1:17" x14ac:dyDescent="0.2">
      <c r="A267" s="35" t="s">
        <v>1603</v>
      </c>
      <c r="B267" s="5" t="s">
        <v>2104</v>
      </c>
      <c r="C267" s="82">
        <f t="shared" si="77"/>
        <v>3450.2679904815309</v>
      </c>
      <c r="D267">
        <f>cm_pump_rating_e_donor</f>
        <v>0.31984857482185275</v>
      </c>
      <c r="E267" s="5" t="s">
        <v>1435</v>
      </c>
      <c r="F267">
        <f t="shared" si="78"/>
        <v>0</v>
      </c>
      <c r="G267">
        <f t="shared" si="78"/>
        <v>0</v>
      </c>
      <c r="H267">
        <f t="shared" si="78"/>
        <v>0</v>
      </c>
      <c r="I267">
        <f t="shared" si="78"/>
        <v>0</v>
      </c>
      <c r="J267">
        <f t="shared" si="78"/>
        <v>0</v>
      </c>
      <c r="K267">
        <f t="shared" si="78"/>
        <v>0</v>
      </c>
      <c r="L267">
        <f t="shared" si="78"/>
        <v>0</v>
      </c>
      <c r="M267">
        <f t="shared" si="78"/>
        <v>-0.19761578099999999</v>
      </c>
      <c r="N267">
        <f t="shared" si="78"/>
        <v>60.928056216999998</v>
      </c>
      <c r="O267">
        <f t="shared" si="78"/>
        <v>3430.8004552430002</v>
      </c>
      <c r="P267">
        <f t="shared" si="78"/>
        <v>132.01</v>
      </c>
      <c r="Q267">
        <f t="shared" si="78"/>
        <v>0</v>
      </c>
    </row>
    <row r="268" spans="1:17" x14ac:dyDescent="0.2">
      <c r="A268" s="35" t="s">
        <v>1604</v>
      </c>
      <c r="B268" s="5" t="s">
        <v>2067</v>
      </c>
      <c r="C268" s="82">
        <f t="shared" si="77"/>
        <v>1168.2489599445335</v>
      </c>
      <c r="D268">
        <f>cm_pump_rating_e_donor</f>
        <v>0.31984857482185275</v>
      </c>
      <c r="E268" s="5" t="s">
        <v>1436</v>
      </c>
      <c r="F268">
        <f t="shared" si="78"/>
        <v>0</v>
      </c>
      <c r="G268">
        <f t="shared" si="78"/>
        <v>0</v>
      </c>
      <c r="H268">
        <f t="shared" si="78"/>
        <v>0</v>
      </c>
      <c r="I268">
        <f t="shared" si="78"/>
        <v>0</v>
      </c>
      <c r="J268">
        <f t="shared" si="78"/>
        <v>1147.9723958510001</v>
      </c>
      <c r="K268">
        <f t="shared" si="78"/>
        <v>5.4740779000000003E-2</v>
      </c>
      <c r="L268">
        <f t="shared" si="78"/>
        <v>0</v>
      </c>
      <c r="M268">
        <f t="shared" si="78"/>
        <v>0</v>
      </c>
      <c r="N268">
        <f t="shared" si="78"/>
        <v>0</v>
      </c>
      <c r="O268">
        <f t="shared" si="78"/>
        <v>0</v>
      </c>
      <c r="P268">
        <f t="shared" si="78"/>
        <v>21.01</v>
      </c>
      <c r="Q268">
        <f t="shared" si="78"/>
        <v>0</v>
      </c>
    </row>
    <row r="269" spans="1:17" x14ac:dyDescent="0.2">
      <c r="A269" s="35" t="s">
        <v>1605</v>
      </c>
      <c r="B269" s="5" t="s">
        <v>2068</v>
      </c>
      <c r="C269" s="82">
        <f t="shared" si="77"/>
        <v>1963.572499919456</v>
      </c>
      <c r="D269">
        <f>cm_pump_rating_e_donor</f>
        <v>0.31984857482185275</v>
      </c>
      <c r="E269" s="5" t="s">
        <v>1437</v>
      </c>
      <c r="F269">
        <f t="shared" si="78"/>
        <v>2305.9222008940001</v>
      </c>
      <c r="G269">
        <f t="shared" si="78"/>
        <v>0.140989643</v>
      </c>
      <c r="H269">
        <f t="shared" si="78"/>
        <v>0</v>
      </c>
      <c r="I269">
        <f t="shared" si="78"/>
        <v>0</v>
      </c>
      <c r="J269">
        <f t="shared" si="78"/>
        <v>0</v>
      </c>
      <c r="K269">
        <f t="shared" si="78"/>
        <v>0</v>
      </c>
      <c r="L269">
        <f t="shared" si="78"/>
        <v>0</v>
      </c>
      <c r="M269">
        <f t="shared" si="78"/>
        <v>0</v>
      </c>
      <c r="N269">
        <f t="shared" si="78"/>
        <v>0</v>
      </c>
      <c r="O269">
        <f t="shared" si="78"/>
        <v>0</v>
      </c>
      <c r="P269">
        <f t="shared" si="78"/>
        <v>21.01</v>
      </c>
      <c r="Q269">
        <f t="shared" si="78"/>
        <v>0</v>
      </c>
    </row>
    <row r="270" spans="1:17" x14ac:dyDescent="0.2">
      <c r="A270" s="875" t="s">
        <v>2102</v>
      </c>
      <c r="C270" s="10"/>
    </row>
    <row r="271" spans="1:17" x14ac:dyDescent="0.2">
      <c r="A271" s="35" t="s">
        <v>1602</v>
      </c>
      <c r="B271" s="5" t="s">
        <v>2069</v>
      </c>
      <c r="C271" s="82" t="str">
        <f t="shared" ref="C271:C274" si="79">IF(OR(D271&gt;P271,D271&lt;=Q271),"contact vendor",F271*D271^G271+H271*LN(D271)+I271+J271*EXP(K271*D271)+L271*D271^3+M271*D271^2+N271*D271+O271)</f>
        <v>contact vendor</v>
      </c>
      <c r="D271">
        <f>cm_pump_rating_NH4Cl</f>
        <v>0</v>
      </c>
      <c r="E271" s="5" t="s">
        <v>1434</v>
      </c>
      <c r="F271">
        <f t="shared" ref="F271:Q274" si="80">VLOOKUP($E271,eq_table_cl,F$4,FALSE)</f>
        <v>0</v>
      </c>
      <c r="G271">
        <f t="shared" si="80"/>
        <v>0</v>
      </c>
      <c r="H271">
        <f t="shared" si="80"/>
        <v>0</v>
      </c>
      <c r="I271">
        <f t="shared" si="80"/>
        <v>0</v>
      </c>
      <c r="J271">
        <f t="shared" si="80"/>
        <v>0</v>
      </c>
      <c r="K271">
        <f t="shared" si="80"/>
        <v>0</v>
      </c>
      <c r="L271">
        <f t="shared" si="80"/>
        <v>5.8459699999999996E-4</v>
      </c>
      <c r="M271">
        <f t="shared" si="80"/>
        <v>-0.31291286000000001</v>
      </c>
      <c r="N271">
        <f t="shared" si="80"/>
        <v>58.800444323000001</v>
      </c>
      <c r="O271">
        <f t="shared" si="80"/>
        <v>3000.5306602579999</v>
      </c>
      <c r="P271">
        <f t="shared" si="80"/>
        <v>132.01</v>
      </c>
      <c r="Q271">
        <f t="shared" si="80"/>
        <v>0</v>
      </c>
    </row>
    <row r="272" spans="1:17" x14ac:dyDescent="0.2">
      <c r="A272" s="35" t="s">
        <v>1603</v>
      </c>
      <c r="B272" s="5" t="s">
        <v>2070</v>
      </c>
      <c r="C272" s="82" t="str">
        <f t="shared" si="79"/>
        <v>contact vendor</v>
      </c>
      <c r="D272">
        <f>cm_pump_rating_NH4Cl</f>
        <v>0</v>
      </c>
      <c r="E272" s="5" t="s">
        <v>1435</v>
      </c>
      <c r="F272">
        <f t="shared" si="80"/>
        <v>0</v>
      </c>
      <c r="G272">
        <f t="shared" si="80"/>
        <v>0</v>
      </c>
      <c r="H272">
        <f t="shared" si="80"/>
        <v>0</v>
      </c>
      <c r="I272">
        <f t="shared" si="80"/>
        <v>0</v>
      </c>
      <c r="J272">
        <f t="shared" si="80"/>
        <v>0</v>
      </c>
      <c r="K272">
        <f t="shared" si="80"/>
        <v>0</v>
      </c>
      <c r="L272">
        <f t="shared" si="80"/>
        <v>0</v>
      </c>
      <c r="M272">
        <f t="shared" si="80"/>
        <v>-0.19761578099999999</v>
      </c>
      <c r="N272">
        <f t="shared" si="80"/>
        <v>60.928056216999998</v>
      </c>
      <c r="O272">
        <f t="shared" si="80"/>
        <v>3430.8004552430002</v>
      </c>
      <c r="P272">
        <f t="shared" si="80"/>
        <v>132.01</v>
      </c>
      <c r="Q272">
        <f t="shared" si="80"/>
        <v>0</v>
      </c>
    </row>
    <row r="273" spans="1:17" x14ac:dyDescent="0.2">
      <c r="A273" s="35" t="s">
        <v>1604</v>
      </c>
      <c r="B273" s="5" t="s">
        <v>2071</v>
      </c>
      <c r="C273" s="82" t="str">
        <f t="shared" si="79"/>
        <v>contact vendor</v>
      </c>
      <c r="D273">
        <f>cm_pump_rating_NH4Cl</f>
        <v>0</v>
      </c>
      <c r="E273" s="5" t="s">
        <v>1436</v>
      </c>
      <c r="F273">
        <f t="shared" si="80"/>
        <v>0</v>
      </c>
      <c r="G273">
        <f t="shared" si="80"/>
        <v>0</v>
      </c>
      <c r="H273">
        <f t="shared" si="80"/>
        <v>0</v>
      </c>
      <c r="I273">
        <f t="shared" si="80"/>
        <v>0</v>
      </c>
      <c r="J273">
        <f t="shared" si="80"/>
        <v>1147.9723958510001</v>
      </c>
      <c r="K273">
        <f t="shared" si="80"/>
        <v>5.4740779000000003E-2</v>
      </c>
      <c r="L273">
        <f t="shared" si="80"/>
        <v>0</v>
      </c>
      <c r="M273">
        <f t="shared" si="80"/>
        <v>0</v>
      </c>
      <c r="N273">
        <f t="shared" si="80"/>
        <v>0</v>
      </c>
      <c r="O273">
        <f t="shared" si="80"/>
        <v>0</v>
      </c>
      <c r="P273">
        <f t="shared" si="80"/>
        <v>21.01</v>
      </c>
      <c r="Q273">
        <f t="shared" si="80"/>
        <v>0</v>
      </c>
    </row>
    <row r="274" spans="1:17" x14ac:dyDescent="0.2">
      <c r="A274" s="35" t="s">
        <v>1605</v>
      </c>
      <c r="B274" s="5" t="s">
        <v>2072</v>
      </c>
      <c r="C274" s="82" t="str">
        <f t="shared" si="79"/>
        <v>contact vendor</v>
      </c>
      <c r="D274">
        <f>cm_pump_rating_NH4Cl</f>
        <v>0</v>
      </c>
      <c r="E274" s="5" t="s">
        <v>1437</v>
      </c>
      <c r="F274">
        <f t="shared" si="80"/>
        <v>2305.9222008940001</v>
      </c>
      <c r="G274">
        <f t="shared" si="80"/>
        <v>0.140989643</v>
      </c>
      <c r="H274">
        <f t="shared" si="80"/>
        <v>0</v>
      </c>
      <c r="I274">
        <f t="shared" si="80"/>
        <v>0</v>
      </c>
      <c r="J274">
        <f t="shared" si="80"/>
        <v>0</v>
      </c>
      <c r="K274">
        <f t="shared" si="80"/>
        <v>0</v>
      </c>
      <c r="L274">
        <f t="shared" si="80"/>
        <v>0</v>
      </c>
      <c r="M274">
        <f t="shared" si="80"/>
        <v>0</v>
      </c>
      <c r="N274">
        <f t="shared" si="80"/>
        <v>0</v>
      </c>
      <c r="O274">
        <f t="shared" si="80"/>
        <v>0</v>
      </c>
      <c r="P274">
        <f t="shared" si="80"/>
        <v>21.01</v>
      </c>
      <c r="Q274">
        <f t="shared" si="80"/>
        <v>0</v>
      </c>
    </row>
    <row r="275" spans="1:17" x14ac:dyDescent="0.2">
      <c r="A275" s="875" t="s">
        <v>2103</v>
      </c>
      <c r="C275" s="10"/>
    </row>
    <row r="276" spans="1:17" x14ac:dyDescent="0.2">
      <c r="A276" s="35" t="s">
        <v>1602</v>
      </c>
      <c r="B276" s="5" t="s">
        <v>2073</v>
      </c>
      <c r="C276" s="82">
        <f t="shared" ref="C276:C277" si="81">IF(OR(D276&gt;P276,D276&lt;=Q276),"contact vendor",F276*D276^G276+H276*LN(D276)+I276+J276*EXP(K276*D276)+L276*D276^3+M276*D276^2+N276*D276+O276)</f>
        <v>3008.1694310770154</v>
      </c>
      <c r="D276">
        <f>cm_pump_rating_H3PO4</f>
        <v>0.13</v>
      </c>
      <c r="E276" s="5" t="s">
        <v>1434</v>
      </c>
      <c r="F276">
        <f t="shared" ref="F276:Q277" si="82">VLOOKUP($E276,eq_table_cl,F$4,FALSE)</f>
        <v>0</v>
      </c>
      <c r="G276">
        <f t="shared" si="82"/>
        <v>0</v>
      </c>
      <c r="H276">
        <f t="shared" si="82"/>
        <v>0</v>
      </c>
      <c r="I276">
        <f t="shared" si="82"/>
        <v>0</v>
      </c>
      <c r="J276">
        <f t="shared" si="82"/>
        <v>0</v>
      </c>
      <c r="K276">
        <f t="shared" si="82"/>
        <v>0</v>
      </c>
      <c r="L276">
        <f t="shared" si="82"/>
        <v>5.8459699999999996E-4</v>
      </c>
      <c r="M276">
        <f t="shared" si="82"/>
        <v>-0.31291286000000001</v>
      </c>
      <c r="N276">
        <f t="shared" si="82"/>
        <v>58.800444323000001</v>
      </c>
      <c r="O276">
        <f t="shared" si="82"/>
        <v>3000.5306602579999</v>
      </c>
      <c r="P276">
        <f t="shared" si="82"/>
        <v>132.01</v>
      </c>
      <c r="Q276">
        <f t="shared" si="82"/>
        <v>0</v>
      </c>
    </row>
    <row r="277" spans="1:17" x14ac:dyDescent="0.2">
      <c r="A277" s="35" t="s">
        <v>1604</v>
      </c>
      <c r="B277" s="5" t="s">
        <v>2074</v>
      </c>
      <c r="C277" s="82">
        <f t="shared" si="81"/>
        <v>1156.1708500057375</v>
      </c>
      <c r="D277">
        <f>cm_pump_rating_H3PO4</f>
        <v>0.13</v>
      </c>
      <c r="E277" s="5" t="s">
        <v>1436</v>
      </c>
      <c r="F277">
        <f t="shared" si="82"/>
        <v>0</v>
      </c>
      <c r="G277">
        <f t="shared" si="82"/>
        <v>0</v>
      </c>
      <c r="H277">
        <f t="shared" si="82"/>
        <v>0</v>
      </c>
      <c r="I277">
        <f t="shared" si="82"/>
        <v>0</v>
      </c>
      <c r="J277">
        <f t="shared" si="82"/>
        <v>1147.9723958510001</v>
      </c>
      <c r="K277">
        <f t="shared" si="82"/>
        <v>5.4740779000000003E-2</v>
      </c>
      <c r="L277">
        <f t="shared" si="82"/>
        <v>0</v>
      </c>
      <c r="M277">
        <f t="shared" si="82"/>
        <v>0</v>
      </c>
      <c r="N277">
        <f t="shared" si="82"/>
        <v>0</v>
      </c>
      <c r="O277">
        <f t="shared" si="82"/>
        <v>0</v>
      </c>
      <c r="P277">
        <f t="shared" si="82"/>
        <v>21.01</v>
      </c>
      <c r="Q277">
        <f t="shared" si="82"/>
        <v>0</v>
      </c>
    </row>
    <row r="278" spans="1:17" x14ac:dyDescent="0.2">
      <c r="A278" s="875" t="s">
        <v>147</v>
      </c>
      <c r="C278" s="10"/>
    </row>
    <row r="279" spans="1:17" x14ac:dyDescent="0.2">
      <c r="A279" s="35" t="s">
        <v>1602</v>
      </c>
      <c r="B279" s="5" t="s">
        <v>138</v>
      </c>
      <c r="C279" s="82" t="str">
        <f t="shared" ref="C279:C282" si="83">IF(OR(D279&gt;P279,D279&lt;=Q279),"contact vendor",F279*D279^G279+H279*LN(D279)+I279+J279*EXP(K279*D279)+L279*D279^3+M279*D279^2+N279*D279+O279)</f>
        <v>contact vendor</v>
      </c>
      <c r="D279">
        <f>cm_pump_rating_H2O2</f>
        <v>0</v>
      </c>
      <c r="E279" s="5" t="s">
        <v>1434</v>
      </c>
      <c r="F279">
        <f t="shared" ref="F279:Q282" si="84">VLOOKUP($E279,eq_table_cl,F$4,FALSE)</f>
        <v>0</v>
      </c>
      <c r="G279">
        <f t="shared" si="84"/>
        <v>0</v>
      </c>
      <c r="H279">
        <f t="shared" si="84"/>
        <v>0</v>
      </c>
      <c r="I279">
        <f t="shared" si="84"/>
        <v>0</v>
      </c>
      <c r="J279">
        <f t="shared" si="84"/>
        <v>0</v>
      </c>
      <c r="K279">
        <f t="shared" si="84"/>
        <v>0</v>
      </c>
      <c r="L279">
        <f t="shared" si="84"/>
        <v>5.8459699999999996E-4</v>
      </c>
      <c r="M279">
        <f t="shared" si="84"/>
        <v>-0.31291286000000001</v>
      </c>
      <c r="N279">
        <f t="shared" si="84"/>
        <v>58.800444323000001</v>
      </c>
      <c r="O279">
        <f t="shared" si="84"/>
        <v>3000.5306602579999</v>
      </c>
      <c r="P279">
        <f t="shared" si="84"/>
        <v>132.01</v>
      </c>
      <c r="Q279">
        <f t="shared" si="84"/>
        <v>0</v>
      </c>
    </row>
    <row r="280" spans="1:17" x14ac:dyDescent="0.2">
      <c r="A280" s="35" t="s">
        <v>1603</v>
      </c>
      <c r="B280" s="5" t="s">
        <v>139</v>
      </c>
      <c r="C280" s="82" t="str">
        <f t="shared" si="83"/>
        <v>contact vendor</v>
      </c>
      <c r="D280">
        <f>cm_pump_rating_H2O2</f>
        <v>0</v>
      </c>
      <c r="E280" s="5" t="s">
        <v>1435</v>
      </c>
      <c r="F280">
        <f t="shared" si="84"/>
        <v>0</v>
      </c>
      <c r="G280">
        <f t="shared" si="84"/>
        <v>0</v>
      </c>
      <c r="H280">
        <f t="shared" si="84"/>
        <v>0</v>
      </c>
      <c r="I280">
        <f t="shared" si="84"/>
        <v>0</v>
      </c>
      <c r="J280">
        <f t="shared" si="84"/>
        <v>0</v>
      </c>
      <c r="K280">
        <f t="shared" si="84"/>
        <v>0</v>
      </c>
      <c r="L280">
        <f t="shared" si="84"/>
        <v>0</v>
      </c>
      <c r="M280">
        <f t="shared" si="84"/>
        <v>-0.19761578099999999</v>
      </c>
      <c r="N280">
        <f t="shared" si="84"/>
        <v>60.928056216999998</v>
      </c>
      <c r="O280">
        <f t="shared" si="84"/>
        <v>3430.8004552430002</v>
      </c>
      <c r="P280">
        <f t="shared" si="84"/>
        <v>132.01</v>
      </c>
      <c r="Q280">
        <f t="shared" si="84"/>
        <v>0</v>
      </c>
    </row>
    <row r="281" spans="1:17" x14ac:dyDescent="0.2">
      <c r="A281" s="35" t="s">
        <v>1604</v>
      </c>
      <c r="B281" s="5" t="s">
        <v>140</v>
      </c>
      <c r="C281" s="82" t="str">
        <f t="shared" si="83"/>
        <v>contact vendor</v>
      </c>
      <c r="D281">
        <f>cm_pump_rating_H2O2</f>
        <v>0</v>
      </c>
      <c r="E281" s="5" t="s">
        <v>1436</v>
      </c>
      <c r="F281">
        <f t="shared" si="84"/>
        <v>0</v>
      </c>
      <c r="G281">
        <f t="shared" si="84"/>
        <v>0</v>
      </c>
      <c r="H281">
        <f t="shared" si="84"/>
        <v>0</v>
      </c>
      <c r="I281">
        <f t="shared" si="84"/>
        <v>0</v>
      </c>
      <c r="J281">
        <f t="shared" si="84"/>
        <v>1147.9723958510001</v>
      </c>
      <c r="K281">
        <f t="shared" si="84"/>
        <v>5.4740779000000003E-2</v>
      </c>
      <c r="L281">
        <f t="shared" si="84"/>
        <v>0</v>
      </c>
      <c r="M281">
        <f t="shared" si="84"/>
        <v>0</v>
      </c>
      <c r="N281">
        <f t="shared" si="84"/>
        <v>0</v>
      </c>
      <c r="O281">
        <f t="shared" si="84"/>
        <v>0</v>
      </c>
      <c r="P281">
        <f t="shared" si="84"/>
        <v>21.01</v>
      </c>
      <c r="Q281">
        <f t="shared" si="84"/>
        <v>0</v>
      </c>
    </row>
    <row r="282" spans="1:17" x14ac:dyDescent="0.2">
      <c r="A282" s="35" t="s">
        <v>1605</v>
      </c>
      <c r="B282" s="5" t="s">
        <v>141</v>
      </c>
      <c r="C282" s="82" t="str">
        <f t="shared" si="83"/>
        <v>contact vendor</v>
      </c>
      <c r="D282">
        <f>cm_pump_rating_H2O2</f>
        <v>0</v>
      </c>
      <c r="E282" s="5" t="s">
        <v>1437</v>
      </c>
      <c r="F282">
        <f t="shared" si="84"/>
        <v>2305.9222008940001</v>
      </c>
      <c r="G282">
        <f t="shared" si="84"/>
        <v>0.140989643</v>
      </c>
      <c r="H282">
        <f t="shared" si="84"/>
        <v>0</v>
      </c>
      <c r="I282">
        <f t="shared" si="84"/>
        <v>0</v>
      </c>
      <c r="J282">
        <f t="shared" si="84"/>
        <v>0</v>
      </c>
      <c r="K282">
        <f t="shared" si="84"/>
        <v>0</v>
      </c>
      <c r="L282">
        <f t="shared" si="84"/>
        <v>0</v>
      </c>
      <c r="M282">
        <f t="shared" si="84"/>
        <v>0</v>
      </c>
      <c r="N282">
        <f t="shared" si="84"/>
        <v>0</v>
      </c>
      <c r="O282">
        <f t="shared" si="84"/>
        <v>0</v>
      </c>
      <c r="P282">
        <f t="shared" si="84"/>
        <v>21.01</v>
      </c>
      <c r="Q282">
        <f t="shared" si="84"/>
        <v>0</v>
      </c>
    </row>
    <row r="283" spans="1:17" x14ac:dyDescent="0.2">
      <c r="A283" s="875" t="s">
        <v>4328</v>
      </c>
      <c r="C283" s="622"/>
    </row>
    <row r="284" spans="1:17" x14ac:dyDescent="0.2">
      <c r="A284" s="695" t="s">
        <v>1602</v>
      </c>
      <c r="B284" s="694" t="s">
        <v>4329</v>
      </c>
      <c r="C284" s="82">
        <f t="shared" ref="C284:C285" si="85">IF(OR(D284&gt;P284,D284&lt;=Q284),"contact vendor",F284*D284^G284+H284*LN(D284)+I284+J284*EXP(K284*D284)+L284*D284^3+M284*D284^2+N284*D284+O284)</f>
        <v>3008.1694310770154</v>
      </c>
      <c r="D284">
        <f>cm_pump_rating_coag_filt</f>
        <v>0.13</v>
      </c>
      <c r="E284" s="694" t="s">
        <v>1434</v>
      </c>
      <c r="F284">
        <f t="shared" ref="F284:Q285" si="86">VLOOKUP($E284,eq_table_cl,F$4,FALSE)</f>
        <v>0</v>
      </c>
      <c r="G284">
        <f t="shared" si="86"/>
        <v>0</v>
      </c>
      <c r="H284">
        <f t="shared" si="86"/>
        <v>0</v>
      </c>
      <c r="I284">
        <f t="shared" si="86"/>
        <v>0</v>
      </c>
      <c r="J284">
        <f t="shared" si="86"/>
        <v>0</v>
      </c>
      <c r="K284">
        <f t="shared" si="86"/>
        <v>0</v>
      </c>
      <c r="L284">
        <f t="shared" si="86"/>
        <v>5.8459699999999996E-4</v>
      </c>
      <c r="M284">
        <f t="shared" si="86"/>
        <v>-0.31291286000000001</v>
      </c>
      <c r="N284">
        <f t="shared" si="86"/>
        <v>58.800444323000001</v>
      </c>
      <c r="O284">
        <f t="shared" si="86"/>
        <v>3000.5306602579999</v>
      </c>
      <c r="P284">
        <f t="shared" si="86"/>
        <v>132.01</v>
      </c>
      <c r="Q284">
        <f t="shared" si="86"/>
        <v>0</v>
      </c>
    </row>
    <row r="285" spans="1:17" x14ac:dyDescent="0.2">
      <c r="A285" s="695" t="s">
        <v>1604</v>
      </c>
      <c r="B285" s="694" t="s">
        <v>4330</v>
      </c>
      <c r="C285" s="82">
        <f t="shared" si="85"/>
        <v>1156.1708500057375</v>
      </c>
      <c r="D285">
        <f>cm_pump_rating_coag_filt</f>
        <v>0.13</v>
      </c>
      <c r="E285" s="694" t="s">
        <v>1436</v>
      </c>
      <c r="F285">
        <f t="shared" si="86"/>
        <v>0</v>
      </c>
      <c r="G285">
        <f t="shared" si="86"/>
        <v>0</v>
      </c>
      <c r="H285">
        <f t="shared" si="86"/>
        <v>0</v>
      </c>
      <c r="I285">
        <f t="shared" si="86"/>
        <v>0</v>
      </c>
      <c r="J285">
        <f t="shared" si="86"/>
        <v>1147.9723958510001</v>
      </c>
      <c r="K285">
        <f t="shared" si="86"/>
        <v>5.4740779000000003E-2</v>
      </c>
      <c r="L285">
        <f t="shared" si="86"/>
        <v>0</v>
      </c>
      <c r="M285">
        <f t="shared" si="86"/>
        <v>0</v>
      </c>
      <c r="N285">
        <f t="shared" si="86"/>
        <v>0</v>
      </c>
      <c r="O285">
        <f t="shared" si="86"/>
        <v>0</v>
      </c>
      <c r="P285">
        <f t="shared" si="86"/>
        <v>21.01</v>
      </c>
      <c r="Q285">
        <f t="shared" si="86"/>
        <v>0</v>
      </c>
    </row>
    <row r="286" spans="1:17" x14ac:dyDescent="0.2">
      <c r="A286" s="875" t="s">
        <v>4327</v>
      </c>
      <c r="C286" s="622"/>
    </row>
    <row r="287" spans="1:17" x14ac:dyDescent="0.2">
      <c r="A287" s="695" t="s">
        <v>1602</v>
      </c>
      <c r="B287" s="694" t="s">
        <v>4324</v>
      </c>
      <c r="C287" s="82" t="str">
        <f t="shared" ref="C287:C288" si="87">IF(OR(D287&gt;P287,D287&lt;=Q287),"contact vendor",F287*D287^G287+H287*LN(D287)+I287+J287*EXP(K287*D287)+L287*D287^3+M287*D287^2+N287*D287+O287)</f>
        <v>contact vendor</v>
      </c>
      <c r="D287">
        <f>cm_pump_rating_coag</f>
        <v>0</v>
      </c>
      <c r="E287" s="694" t="s">
        <v>1434</v>
      </c>
      <c r="F287">
        <f t="shared" ref="F287:Q288" si="88">VLOOKUP($E287,eq_table_cl,F$4,FALSE)</f>
        <v>0</v>
      </c>
      <c r="G287">
        <f t="shared" si="88"/>
        <v>0</v>
      </c>
      <c r="H287">
        <f t="shared" si="88"/>
        <v>0</v>
      </c>
      <c r="I287">
        <f t="shared" si="88"/>
        <v>0</v>
      </c>
      <c r="J287">
        <f t="shared" si="88"/>
        <v>0</v>
      </c>
      <c r="K287">
        <f t="shared" si="88"/>
        <v>0</v>
      </c>
      <c r="L287">
        <f t="shared" si="88"/>
        <v>5.8459699999999996E-4</v>
      </c>
      <c r="M287">
        <f t="shared" si="88"/>
        <v>-0.31291286000000001</v>
      </c>
      <c r="N287">
        <f t="shared" si="88"/>
        <v>58.800444323000001</v>
      </c>
      <c r="O287">
        <f t="shared" si="88"/>
        <v>3000.5306602579999</v>
      </c>
      <c r="P287">
        <f t="shared" si="88"/>
        <v>132.01</v>
      </c>
      <c r="Q287">
        <f t="shared" si="88"/>
        <v>0</v>
      </c>
    </row>
    <row r="288" spans="1:17" x14ac:dyDescent="0.2">
      <c r="A288" s="695" t="s">
        <v>1604</v>
      </c>
      <c r="B288" s="694" t="s">
        <v>4325</v>
      </c>
      <c r="C288" s="82" t="str">
        <f t="shared" si="87"/>
        <v>contact vendor</v>
      </c>
      <c r="D288">
        <f>cm_pump_rating_coag</f>
        <v>0</v>
      </c>
      <c r="E288" s="694" t="s">
        <v>1436</v>
      </c>
      <c r="F288">
        <f t="shared" si="88"/>
        <v>0</v>
      </c>
      <c r="G288">
        <f t="shared" si="88"/>
        <v>0</v>
      </c>
      <c r="H288">
        <f t="shared" si="88"/>
        <v>0</v>
      </c>
      <c r="I288">
        <f t="shared" si="88"/>
        <v>0</v>
      </c>
      <c r="J288">
        <f t="shared" si="88"/>
        <v>1147.9723958510001</v>
      </c>
      <c r="K288">
        <f t="shared" si="88"/>
        <v>5.4740779000000003E-2</v>
      </c>
      <c r="L288">
        <f t="shared" si="88"/>
        <v>0</v>
      </c>
      <c r="M288">
        <f t="shared" si="88"/>
        <v>0</v>
      </c>
      <c r="N288">
        <f t="shared" si="88"/>
        <v>0</v>
      </c>
      <c r="O288">
        <f t="shared" si="88"/>
        <v>0</v>
      </c>
      <c r="P288">
        <f t="shared" si="88"/>
        <v>21.01</v>
      </c>
      <c r="Q288">
        <f t="shared" si="88"/>
        <v>0</v>
      </c>
    </row>
    <row r="289" spans="1:17" x14ac:dyDescent="0.2">
      <c r="A289" s="875" t="s">
        <v>2922</v>
      </c>
      <c r="C289" s="10"/>
    </row>
    <row r="290" spans="1:17" x14ac:dyDescent="0.2">
      <c r="A290" s="35" t="s">
        <v>1602</v>
      </c>
      <c r="B290" s="5" t="s">
        <v>2924</v>
      </c>
      <c r="C290" s="82">
        <f t="shared" ref="C290:C293" si="89">IF(OR(D290&gt;P290,D290&lt;=Q290),"contact vendor",F290*D290^G290+H290*LN(D290)+I290+J290*EXP(K290*D290)+L290*D290^3+M290*D290^2+N290*D290+O290)</f>
        <v>3079.1072108380549</v>
      </c>
      <c r="D290">
        <f>cm_pump_rating_polymer</f>
        <v>1.3459419642857142</v>
      </c>
      <c r="E290" s="5" t="s">
        <v>1434</v>
      </c>
      <c r="F290">
        <f t="shared" ref="F290:Q293" si="90">VLOOKUP($E290,eq_table_cl,F$4,FALSE)</f>
        <v>0</v>
      </c>
      <c r="G290">
        <f t="shared" si="90"/>
        <v>0</v>
      </c>
      <c r="H290">
        <f t="shared" si="90"/>
        <v>0</v>
      </c>
      <c r="I290">
        <f t="shared" si="90"/>
        <v>0</v>
      </c>
      <c r="J290">
        <f t="shared" si="90"/>
        <v>0</v>
      </c>
      <c r="K290">
        <f t="shared" si="90"/>
        <v>0</v>
      </c>
      <c r="L290">
        <f t="shared" si="90"/>
        <v>5.8459699999999996E-4</v>
      </c>
      <c r="M290">
        <f t="shared" si="90"/>
        <v>-0.31291286000000001</v>
      </c>
      <c r="N290">
        <f t="shared" si="90"/>
        <v>58.800444323000001</v>
      </c>
      <c r="O290">
        <f t="shared" si="90"/>
        <v>3000.5306602579999</v>
      </c>
      <c r="P290">
        <f t="shared" si="90"/>
        <v>132.01</v>
      </c>
      <c r="Q290">
        <f t="shared" si="90"/>
        <v>0</v>
      </c>
    </row>
    <row r="291" spans="1:17" x14ac:dyDescent="0.2">
      <c r="A291" s="35" t="s">
        <v>1603</v>
      </c>
      <c r="B291" s="5" t="s">
        <v>2925</v>
      </c>
      <c r="C291" s="82">
        <f t="shared" si="89"/>
        <v>3512.4480901088009</v>
      </c>
      <c r="D291">
        <f>cm_pump_rating_polymer</f>
        <v>1.3459419642857142</v>
      </c>
      <c r="E291" s="5" t="s">
        <v>1435</v>
      </c>
      <c r="F291">
        <f t="shared" si="90"/>
        <v>0</v>
      </c>
      <c r="G291">
        <f t="shared" si="90"/>
        <v>0</v>
      </c>
      <c r="H291">
        <f t="shared" si="90"/>
        <v>0</v>
      </c>
      <c r="I291">
        <f t="shared" si="90"/>
        <v>0</v>
      </c>
      <c r="J291">
        <f t="shared" si="90"/>
        <v>0</v>
      </c>
      <c r="K291">
        <f t="shared" si="90"/>
        <v>0</v>
      </c>
      <c r="L291">
        <f t="shared" si="90"/>
        <v>0</v>
      </c>
      <c r="M291">
        <f t="shared" si="90"/>
        <v>-0.19761578099999999</v>
      </c>
      <c r="N291">
        <f t="shared" si="90"/>
        <v>60.928056216999998</v>
      </c>
      <c r="O291">
        <f t="shared" si="90"/>
        <v>3430.8004552430002</v>
      </c>
      <c r="P291">
        <f t="shared" si="90"/>
        <v>132.01</v>
      </c>
      <c r="Q291">
        <f t="shared" si="90"/>
        <v>0</v>
      </c>
    </row>
    <row r="292" spans="1:17" x14ac:dyDescent="0.2">
      <c r="A292" s="35" t="s">
        <v>1604</v>
      </c>
      <c r="B292" s="5" t="s">
        <v>2926</v>
      </c>
      <c r="C292" s="82">
        <f t="shared" si="89"/>
        <v>1235.7464047032797</v>
      </c>
      <c r="D292">
        <f>cm_pump_rating_polymer</f>
        <v>1.3459419642857142</v>
      </c>
      <c r="E292" s="5" t="s">
        <v>1436</v>
      </c>
      <c r="F292">
        <f t="shared" si="90"/>
        <v>0</v>
      </c>
      <c r="G292">
        <f t="shared" si="90"/>
        <v>0</v>
      </c>
      <c r="H292">
        <f t="shared" si="90"/>
        <v>0</v>
      </c>
      <c r="I292">
        <f t="shared" si="90"/>
        <v>0</v>
      </c>
      <c r="J292">
        <f t="shared" si="90"/>
        <v>1147.9723958510001</v>
      </c>
      <c r="K292">
        <f t="shared" si="90"/>
        <v>5.4740779000000003E-2</v>
      </c>
      <c r="L292">
        <f t="shared" si="90"/>
        <v>0</v>
      </c>
      <c r="M292">
        <f t="shared" si="90"/>
        <v>0</v>
      </c>
      <c r="N292">
        <f t="shared" si="90"/>
        <v>0</v>
      </c>
      <c r="O292">
        <f t="shared" si="90"/>
        <v>0</v>
      </c>
      <c r="P292">
        <f t="shared" si="90"/>
        <v>21.01</v>
      </c>
      <c r="Q292">
        <f t="shared" si="90"/>
        <v>0</v>
      </c>
    </row>
    <row r="293" spans="1:17" x14ac:dyDescent="0.2">
      <c r="A293" s="35" t="s">
        <v>1605</v>
      </c>
      <c r="B293" s="5" t="s">
        <v>2927</v>
      </c>
      <c r="C293" s="82">
        <f t="shared" si="89"/>
        <v>2404.5622648563713</v>
      </c>
      <c r="D293">
        <f>cm_pump_rating_polymer</f>
        <v>1.3459419642857142</v>
      </c>
      <c r="E293" s="5" t="s">
        <v>1437</v>
      </c>
      <c r="F293">
        <f t="shared" si="90"/>
        <v>2305.9222008940001</v>
      </c>
      <c r="G293">
        <f t="shared" si="90"/>
        <v>0.140989643</v>
      </c>
      <c r="H293">
        <f t="shared" si="90"/>
        <v>0</v>
      </c>
      <c r="I293">
        <f t="shared" si="90"/>
        <v>0</v>
      </c>
      <c r="J293">
        <f t="shared" si="90"/>
        <v>0</v>
      </c>
      <c r="K293">
        <f t="shared" si="90"/>
        <v>0</v>
      </c>
      <c r="L293">
        <f t="shared" si="90"/>
        <v>0</v>
      </c>
      <c r="M293">
        <f t="shared" si="90"/>
        <v>0</v>
      </c>
      <c r="N293">
        <f t="shared" si="90"/>
        <v>0</v>
      </c>
      <c r="O293">
        <f t="shared" si="90"/>
        <v>0</v>
      </c>
      <c r="P293">
        <f t="shared" si="90"/>
        <v>21.01</v>
      </c>
      <c r="Q293">
        <f t="shared" si="90"/>
        <v>0</v>
      </c>
    </row>
    <row r="294" spans="1:17" s="5" customFormat="1" x14ac:dyDescent="0.2">
      <c r="A294" s="44" t="s">
        <v>3450</v>
      </c>
      <c r="C294" s="414"/>
      <c r="F294"/>
      <c r="G294"/>
      <c r="H294"/>
      <c r="I294"/>
      <c r="J294"/>
      <c r="K294"/>
      <c r="L294"/>
      <c r="M294"/>
      <c r="N294"/>
      <c r="O294"/>
      <c r="P294"/>
      <c r="Q294"/>
    </row>
    <row r="295" spans="1:17" s="5" customFormat="1" x14ac:dyDescent="0.2">
      <c r="A295" s="35" t="s">
        <v>2208</v>
      </c>
      <c r="B295" s="5" t="s">
        <v>3456</v>
      </c>
      <c r="C295" s="82">
        <f t="shared" ref="C295:C297" si="91">IF(OR(D295&gt;P295,D295&lt;=Q295),"contact vendor",F295*D295^G295+H295*LN(D295)+I295+J295*EXP(K295*D295)+L295*D295^3+M295*D295^2+N295*D295+O295)</f>
        <v>14280.352460707296</v>
      </c>
      <c r="D295" s="5">
        <f>design_air_flow</f>
        <v>100.53096491487338</v>
      </c>
      <c r="E295" s="5" t="s">
        <v>3456</v>
      </c>
      <c r="F295">
        <f t="shared" ref="F295:Q297" si="92">VLOOKUP($E295,eq_table_cl,F$4,FALSE)</f>
        <v>0</v>
      </c>
      <c r="G295">
        <f t="shared" si="92"/>
        <v>0</v>
      </c>
      <c r="H295">
        <f t="shared" si="92"/>
        <v>0</v>
      </c>
      <c r="I295">
        <f t="shared" si="92"/>
        <v>0</v>
      </c>
      <c r="J295">
        <f t="shared" si="92"/>
        <v>0</v>
      </c>
      <c r="K295">
        <f t="shared" si="92"/>
        <v>0</v>
      </c>
      <c r="L295">
        <f t="shared" si="92"/>
        <v>0</v>
      </c>
      <c r="M295">
        <f t="shared" si="92"/>
        <v>-1.863331E-3</v>
      </c>
      <c r="N295">
        <f t="shared" si="92"/>
        <v>32.708272098999998</v>
      </c>
      <c r="O295">
        <f t="shared" si="92"/>
        <v>11010.990013891</v>
      </c>
      <c r="P295">
        <f t="shared" si="92"/>
        <v>5001</v>
      </c>
      <c r="Q295">
        <f t="shared" si="92"/>
        <v>0</v>
      </c>
    </row>
    <row r="296" spans="1:17" s="5" customFormat="1" x14ac:dyDescent="0.2">
      <c r="A296" s="35" t="s">
        <v>2209</v>
      </c>
      <c r="B296" s="5" t="s">
        <v>2210</v>
      </c>
      <c r="C296" s="82" t="str">
        <f t="shared" si="91"/>
        <v>contact vendor</v>
      </c>
      <c r="D296" s="5">
        <f>design_air_flow_bio</f>
        <v>0</v>
      </c>
      <c r="E296" s="5" t="s">
        <v>3456</v>
      </c>
      <c r="F296">
        <f t="shared" si="92"/>
        <v>0</v>
      </c>
      <c r="G296">
        <f t="shared" si="92"/>
        <v>0</v>
      </c>
      <c r="H296">
        <f t="shared" si="92"/>
        <v>0</v>
      </c>
      <c r="I296">
        <f t="shared" si="92"/>
        <v>0</v>
      </c>
      <c r="J296">
        <f t="shared" si="92"/>
        <v>0</v>
      </c>
      <c r="K296">
        <f t="shared" si="92"/>
        <v>0</v>
      </c>
      <c r="L296">
        <f t="shared" si="92"/>
        <v>0</v>
      </c>
      <c r="M296">
        <f t="shared" si="92"/>
        <v>-1.863331E-3</v>
      </c>
      <c r="N296">
        <f t="shared" si="92"/>
        <v>32.708272098999998</v>
      </c>
      <c r="O296">
        <f t="shared" si="92"/>
        <v>11010.990013891</v>
      </c>
      <c r="P296">
        <f t="shared" si="92"/>
        <v>5001</v>
      </c>
      <c r="Q296">
        <f t="shared" si="92"/>
        <v>0</v>
      </c>
    </row>
    <row r="297" spans="1:17" s="5" customFormat="1" x14ac:dyDescent="0.2">
      <c r="A297" s="35" t="s">
        <v>2797</v>
      </c>
      <c r="B297" s="5" t="s">
        <v>2950</v>
      </c>
      <c r="C297" s="82">
        <f t="shared" si="91"/>
        <v>11194.007105229774</v>
      </c>
      <c r="D297" s="5">
        <f>design_air_flow_aeration</f>
        <v>5.5972222222222232</v>
      </c>
      <c r="E297" s="5" t="s">
        <v>3456</v>
      </c>
      <c r="F297">
        <f t="shared" si="92"/>
        <v>0</v>
      </c>
      <c r="G297">
        <f t="shared" si="92"/>
        <v>0</v>
      </c>
      <c r="H297">
        <f t="shared" si="92"/>
        <v>0</v>
      </c>
      <c r="I297">
        <f t="shared" si="92"/>
        <v>0</v>
      </c>
      <c r="J297">
        <f t="shared" si="92"/>
        <v>0</v>
      </c>
      <c r="K297">
        <f t="shared" si="92"/>
        <v>0</v>
      </c>
      <c r="L297">
        <f t="shared" si="92"/>
        <v>0</v>
      </c>
      <c r="M297">
        <f t="shared" si="92"/>
        <v>-1.863331E-3</v>
      </c>
      <c r="N297">
        <f t="shared" si="92"/>
        <v>32.708272098999998</v>
      </c>
      <c r="O297">
        <f t="shared" si="92"/>
        <v>11010.990013891</v>
      </c>
      <c r="P297">
        <f t="shared" si="92"/>
        <v>5001</v>
      </c>
      <c r="Q297">
        <f t="shared" si="92"/>
        <v>0</v>
      </c>
    </row>
    <row r="298" spans="1:17" x14ac:dyDescent="0.2">
      <c r="A298" s="18" t="s">
        <v>588</v>
      </c>
      <c r="C298" s="10"/>
    </row>
    <row r="299" spans="1:17" x14ac:dyDescent="0.2">
      <c r="A299" s="44" t="s">
        <v>961</v>
      </c>
      <c r="C299" s="10"/>
    </row>
    <row r="300" spans="1:17" x14ac:dyDescent="0.2">
      <c r="A300" s="35" t="s">
        <v>1523</v>
      </c>
      <c r="B300" t="s">
        <v>2629</v>
      </c>
      <c r="C300" s="10"/>
    </row>
    <row r="301" spans="1:17" x14ac:dyDescent="0.2">
      <c r="A301" s="35" t="s">
        <v>1524</v>
      </c>
      <c r="B301" s="5" t="s">
        <v>963</v>
      </c>
      <c r="C301" s="82" t="str">
        <f t="shared" ref="C301:C302" si="93">IF(OR(D301&gt;P301,D301&lt;=Q301),"contact vendor",F301*D301^G301+H301*LN(D301)+I301+J301*EXP(K301*D301)+L301*D301^3+M301*D301^2+N301*D301+O301)</f>
        <v>contact vendor</v>
      </c>
      <c r="D301">
        <f>e_donor_cmix_size</f>
        <v>0</v>
      </c>
      <c r="E301" t="s">
        <v>3178</v>
      </c>
      <c r="F301">
        <f t="shared" ref="F301:Q302" si="94">VLOOKUP($E301,eq_table_cl,F$4,FALSE)</f>
        <v>3220.9800634899998</v>
      </c>
      <c r="G301">
        <f t="shared" si="94"/>
        <v>0.14804462199999999</v>
      </c>
      <c r="H301">
        <f t="shared" si="94"/>
        <v>0</v>
      </c>
      <c r="I301">
        <f t="shared" si="94"/>
        <v>0</v>
      </c>
      <c r="J301">
        <f t="shared" si="94"/>
        <v>0</v>
      </c>
      <c r="K301">
        <f t="shared" si="94"/>
        <v>0</v>
      </c>
      <c r="L301">
        <f t="shared" si="94"/>
        <v>0</v>
      </c>
      <c r="M301">
        <f t="shared" si="94"/>
        <v>0</v>
      </c>
      <c r="N301">
        <f t="shared" si="94"/>
        <v>0</v>
      </c>
      <c r="O301">
        <f t="shared" si="94"/>
        <v>0</v>
      </c>
      <c r="P301">
        <f t="shared" si="94"/>
        <v>4.0999999999999996</v>
      </c>
      <c r="Q301">
        <f t="shared" si="94"/>
        <v>0</v>
      </c>
    </row>
    <row r="302" spans="1:17" x14ac:dyDescent="0.2">
      <c r="A302" s="5" t="s">
        <v>2532</v>
      </c>
      <c r="B302" s="5" t="s">
        <v>964</v>
      </c>
      <c r="C302" s="82" t="str">
        <f t="shared" si="93"/>
        <v>contact vendor</v>
      </c>
      <c r="D302">
        <f>e_donor_cmix_size</f>
        <v>0</v>
      </c>
      <c r="E302" t="s">
        <v>2534</v>
      </c>
      <c r="F302">
        <f t="shared" si="94"/>
        <v>0</v>
      </c>
      <c r="G302">
        <f t="shared" si="94"/>
        <v>0</v>
      </c>
      <c r="H302">
        <f t="shared" si="94"/>
        <v>0</v>
      </c>
      <c r="I302">
        <f t="shared" si="94"/>
        <v>0</v>
      </c>
      <c r="J302">
        <f t="shared" si="94"/>
        <v>0</v>
      </c>
      <c r="K302">
        <f t="shared" si="94"/>
        <v>0</v>
      </c>
      <c r="L302">
        <f t="shared" si="94"/>
        <v>0</v>
      </c>
      <c r="M302">
        <f t="shared" si="94"/>
        <v>0</v>
      </c>
      <c r="N302">
        <f t="shared" si="94"/>
        <v>1053.0249738949999</v>
      </c>
      <c r="O302">
        <f t="shared" si="94"/>
        <v>4010.0161733059999</v>
      </c>
      <c r="P302">
        <f t="shared" si="94"/>
        <v>110</v>
      </c>
      <c r="Q302">
        <f t="shared" si="94"/>
        <v>0</v>
      </c>
    </row>
    <row r="303" spans="1:17" x14ac:dyDescent="0.2">
      <c r="A303" s="44" t="s">
        <v>962</v>
      </c>
      <c r="C303" s="10"/>
    </row>
    <row r="304" spans="1:17" x14ac:dyDescent="0.2">
      <c r="A304" s="35" t="s">
        <v>1523</v>
      </c>
      <c r="B304" t="s">
        <v>2629</v>
      </c>
      <c r="C304" s="10"/>
    </row>
    <row r="305" spans="1:17" x14ac:dyDescent="0.2">
      <c r="A305" s="35" t="s">
        <v>1524</v>
      </c>
      <c r="B305" s="5" t="s">
        <v>965</v>
      </c>
      <c r="C305" s="82" t="str">
        <f t="shared" ref="C305:C306" si="95">IF(OR(D305&gt;P305,D305&lt;=Q305),"contact vendor",F305*D305^G305+H305*LN(D305)+I305+J305*EXP(K305*D305)+L305*D305^3+M305*D305^2+N305*D305+O305)</f>
        <v>contact vendor</v>
      </c>
      <c r="D305">
        <f>e_donor_dmix_size</f>
        <v>0</v>
      </c>
      <c r="E305" t="s">
        <v>3178</v>
      </c>
      <c r="F305">
        <f t="shared" ref="F305:Q306" si="96">VLOOKUP($E305,eq_table_cl,F$4,FALSE)</f>
        <v>3220.9800634899998</v>
      </c>
      <c r="G305">
        <f t="shared" si="96"/>
        <v>0.14804462199999999</v>
      </c>
      <c r="H305">
        <f t="shared" si="96"/>
        <v>0</v>
      </c>
      <c r="I305">
        <f t="shared" si="96"/>
        <v>0</v>
      </c>
      <c r="J305">
        <f t="shared" si="96"/>
        <v>0</v>
      </c>
      <c r="K305">
        <f t="shared" si="96"/>
        <v>0</v>
      </c>
      <c r="L305">
        <f t="shared" si="96"/>
        <v>0</v>
      </c>
      <c r="M305">
        <f t="shared" si="96"/>
        <v>0</v>
      </c>
      <c r="N305">
        <f t="shared" si="96"/>
        <v>0</v>
      </c>
      <c r="O305">
        <f t="shared" si="96"/>
        <v>0</v>
      </c>
      <c r="P305">
        <f t="shared" si="96"/>
        <v>4.0999999999999996</v>
      </c>
      <c r="Q305">
        <f t="shared" si="96"/>
        <v>0</v>
      </c>
    </row>
    <row r="306" spans="1:17" x14ac:dyDescent="0.2">
      <c r="A306" s="5" t="s">
        <v>2532</v>
      </c>
      <c r="B306" s="5" t="s">
        <v>966</v>
      </c>
      <c r="C306" s="82" t="str">
        <f t="shared" si="95"/>
        <v>contact vendor</v>
      </c>
      <c r="D306">
        <f>e_donor_dmix_size</f>
        <v>0</v>
      </c>
      <c r="E306" t="s">
        <v>2534</v>
      </c>
      <c r="F306">
        <f t="shared" si="96"/>
        <v>0</v>
      </c>
      <c r="G306">
        <f t="shared" si="96"/>
        <v>0</v>
      </c>
      <c r="H306">
        <f t="shared" si="96"/>
        <v>0</v>
      </c>
      <c r="I306">
        <f t="shared" si="96"/>
        <v>0</v>
      </c>
      <c r="J306">
        <f t="shared" si="96"/>
        <v>0</v>
      </c>
      <c r="K306">
        <f t="shared" si="96"/>
        <v>0</v>
      </c>
      <c r="L306">
        <f t="shared" si="96"/>
        <v>0</v>
      </c>
      <c r="M306">
        <f t="shared" si="96"/>
        <v>0</v>
      </c>
      <c r="N306">
        <f t="shared" si="96"/>
        <v>1053.0249738949999</v>
      </c>
      <c r="O306">
        <f t="shared" si="96"/>
        <v>4010.0161733059999</v>
      </c>
      <c r="P306">
        <f t="shared" si="96"/>
        <v>110</v>
      </c>
      <c r="Q306">
        <f t="shared" si="96"/>
        <v>0</v>
      </c>
    </row>
    <row r="307" spans="1:17" x14ac:dyDescent="0.2">
      <c r="A307" s="44" t="s">
        <v>967</v>
      </c>
      <c r="C307" s="10"/>
    </row>
    <row r="308" spans="1:17" x14ac:dyDescent="0.2">
      <c r="A308" s="35" t="s">
        <v>1523</v>
      </c>
      <c r="B308" t="s">
        <v>2629</v>
      </c>
      <c r="C308" s="10"/>
    </row>
    <row r="309" spans="1:17" x14ac:dyDescent="0.2">
      <c r="A309" s="35" t="s">
        <v>1524</v>
      </c>
      <c r="B309" s="5" t="s">
        <v>969</v>
      </c>
      <c r="C309" s="82" t="str">
        <f t="shared" ref="C309:C310" si="97">IF(OR(D309&gt;P309,D309&lt;=Q309),"contact vendor",F309*D309^G309+H309*LN(D309)+I309+J309*EXP(K309*D309)+L309*D309^3+M309*D309^2+N309*D309+O309)</f>
        <v>contact vendor</v>
      </c>
      <c r="D309">
        <f>NH4Cl_cmix_size</f>
        <v>0</v>
      </c>
      <c r="E309" t="s">
        <v>3178</v>
      </c>
      <c r="F309">
        <f t="shared" ref="F309:Q310" si="98">VLOOKUP($E309,eq_table_cl,F$4,FALSE)</f>
        <v>3220.9800634899998</v>
      </c>
      <c r="G309">
        <f t="shared" si="98"/>
        <v>0.14804462199999999</v>
      </c>
      <c r="H309">
        <f t="shared" si="98"/>
        <v>0</v>
      </c>
      <c r="I309">
        <f t="shared" si="98"/>
        <v>0</v>
      </c>
      <c r="J309">
        <f t="shared" si="98"/>
        <v>0</v>
      </c>
      <c r="K309">
        <f t="shared" si="98"/>
        <v>0</v>
      </c>
      <c r="L309">
        <f t="shared" si="98"/>
        <v>0</v>
      </c>
      <c r="M309">
        <f t="shared" si="98"/>
        <v>0</v>
      </c>
      <c r="N309">
        <f t="shared" si="98"/>
        <v>0</v>
      </c>
      <c r="O309">
        <f t="shared" si="98"/>
        <v>0</v>
      </c>
      <c r="P309">
        <f t="shared" si="98"/>
        <v>4.0999999999999996</v>
      </c>
      <c r="Q309">
        <f t="shared" si="98"/>
        <v>0</v>
      </c>
    </row>
    <row r="310" spans="1:17" x14ac:dyDescent="0.2">
      <c r="A310" s="5" t="s">
        <v>2532</v>
      </c>
      <c r="B310" s="5" t="s">
        <v>970</v>
      </c>
      <c r="C310" s="82" t="str">
        <f t="shared" si="97"/>
        <v>contact vendor</v>
      </c>
      <c r="D310">
        <f>NH4Cl_cmix_size</f>
        <v>0</v>
      </c>
      <c r="E310" t="s">
        <v>2534</v>
      </c>
      <c r="F310">
        <f t="shared" si="98"/>
        <v>0</v>
      </c>
      <c r="G310">
        <f t="shared" si="98"/>
        <v>0</v>
      </c>
      <c r="H310">
        <f t="shared" si="98"/>
        <v>0</v>
      </c>
      <c r="I310">
        <f t="shared" si="98"/>
        <v>0</v>
      </c>
      <c r="J310">
        <f t="shared" si="98"/>
        <v>0</v>
      </c>
      <c r="K310">
        <f t="shared" si="98"/>
        <v>0</v>
      </c>
      <c r="L310">
        <f t="shared" si="98"/>
        <v>0</v>
      </c>
      <c r="M310">
        <f t="shared" si="98"/>
        <v>0</v>
      </c>
      <c r="N310">
        <f t="shared" si="98"/>
        <v>1053.0249738949999</v>
      </c>
      <c r="O310">
        <f t="shared" si="98"/>
        <v>4010.0161733059999</v>
      </c>
      <c r="P310">
        <f t="shared" si="98"/>
        <v>110</v>
      </c>
      <c r="Q310">
        <f t="shared" si="98"/>
        <v>0</v>
      </c>
    </row>
    <row r="311" spans="1:17" x14ac:dyDescent="0.2">
      <c r="A311" s="44" t="s">
        <v>968</v>
      </c>
      <c r="C311" s="10"/>
    </row>
    <row r="312" spans="1:17" x14ac:dyDescent="0.2">
      <c r="A312" s="35" t="s">
        <v>1523</v>
      </c>
      <c r="B312" t="s">
        <v>2629</v>
      </c>
      <c r="C312" s="10"/>
    </row>
    <row r="313" spans="1:17" x14ac:dyDescent="0.2">
      <c r="A313" s="35" t="s">
        <v>1524</v>
      </c>
      <c r="B313" s="5" t="s">
        <v>971</v>
      </c>
      <c r="C313" s="82" t="str">
        <f t="shared" ref="C313:C314" si="99">IF(OR(D313&gt;P313,D313&lt;=Q313),"contact vendor",F313*D313^G313+H313*LN(D313)+I313+J313*EXP(K313*D313)+L313*D313^3+M313*D313^2+N313*D313+O313)</f>
        <v>contact vendor</v>
      </c>
      <c r="D313">
        <f>NH4Cl_dmix_size</f>
        <v>0</v>
      </c>
      <c r="E313" t="s">
        <v>3178</v>
      </c>
      <c r="F313">
        <f t="shared" ref="F313:Q314" si="100">VLOOKUP($E313,eq_table_cl,F$4,FALSE)</f>
        <v>3220.9800634899998</v>
      </c>
      <c r="G313">
        <f t="shared" si="100"/>
        <v>0.14804462199999999</v>
      </c>
      <c r="H313">
        <f t="shared" si="100"/>
        <v>0</v>
      </c>
      <c r="I313">
        <f t="shared" si="100"/>
        <v>0</v>
      </c>
      <c r="J313">
        <f t="shared" si="100"/>
        <v>0</v>
      </c>
      <c r="K313">
        <f t="shared" si="100"/>
        <v>0</v>
      </c>
      <c r="L313">
        <f t="shared" si="100"/>
        <v>0</v>
      </c>
      <c r="M313">
        <f t="shared" si="100"/>
        <v>0</v>
      </c>
      <c r="N313">
        <f t="shared" si="100"/>
        <v>0</v>
      </c>
      <c r="O313">
        <f t="shared" si="100"/>
        <v>0</v>
      </c>
      <c r="P313">
        <f t="shared" si="100"/>
        <v>4.0999999999999996</v>
      </c>
      <c r="Q313">
        <f t="shared" si="100"/>
        <v>0</v>
      </c>
    </row>
    <row r="314" spans="1:17" x14ac:dyDescent="0.2">
      <c r="A314" s="5" t="s">
        <v>2532</v>
      </c>
      <c r="B314" s="5" t="s">
        <v>972</v>
      </c>
      <c r="C314" s="82" t="str">
        <f t="shared" si="99"/>
        <v>contact vendor</v>
      </c>
      <c r="D314">
        <f>NH4Cl_dmix_size</f>
        <v>0</v>
      </c>
      <c r="E314" t="s">
        <v>2534</v>
      </c>
      <c r="F314">
        <f t="shared" si="100"/>
        <v>0</v>
      </c>
      <c r="G314">
        <f t="shared" si="100"/>
        <v>0</v>
      </c>
      <c r="H314">
        <f t="shared" si="100"/>
        <v>0</v>
      </c>
      <c r="I314">
        <f t="shared" si="100"/>
        <v>0</v>
      </c>
      <c r="J314">
        <f t="shared" si="100"/>
        <v>0</v>
      </c>
      <c r="K314">
        <f t="shared" si="100"/>
        <v>0</v>
      </c>
      <c r="L314">
        <f t="shared" si="100"/>
        <v>0</v>
      </c>
      <c r="M314">
        <f t="shared" si="100"/>
        <v>0</v>
      </c>
      <c r="N314">
        <f t="shared" si="100"/>
        <v>1053.0249738949999</v>
      </c>
      <c r="O314">
        <f t="shared" si="100"/>
        <v>4010.0161733059999</v>
      </c>
      <c r="P314">
        <f t="shared" si="100"/>
        <v>110</v>
      </c>
      <c r="Q314">
        <f t="shared" si="100"/>
        <v>0</v>
      </c>
    </row>
    <row r="315" spans="1:17" x14ac:dyDescent="0.2">
      <c r="A315" s="44" t="s">
        <v>973</v>
      </c>
      <c r="C315" s="10"/>
    </row>
    <row r="316" spans="1:17" x14ac:dyDescent="0.2">
      <c r="A316" s="35" t="s">
        <v>1523</v>
      </c>
      <c r="B316" t="s">
        <v>2629</v>
      </c>
      <c r="C316" s="10"/>
    </row>
    <row r="317" spans="1:17" x14ac:dyDescent="0.2">
      <c r="A317" s="35" t="s">
        <v>1524</v>
      </c>
      <c r="B317" s="5" t="s">
        <v>975</v>
      </c>
      <c r="C317" s="82" t="str">
        <f t="shared" ref="C317:C318" si="101">IF(OR(D317&gt;P317,D317&lt;=Q317),"contact vendor",F317*D317^G317+H317*LN(D317)+I317+J317*EXP(K317*D317)+L317*D317^3+M317*D317^2+N317*D317+O317)</f>
        <v>contact vendor</v>
      </c>
      <c r="D317">
        <f>H3PO4_cmix_size</f>
        <v>0</v>
      </c>
      <c r="E317" t="s">
        <v>3178</v>
      </c>
      <c r="F317">
        <f t="shared" ref="F317:Q318" si="102">VLOOKUP($E317,eq_table_cl,F$4,FALSE)</f>
        <v>3220.9800634899998</v>
      </c>
      <c r="G317">
        <f t="shared" si="102"/>
        <v>0.14804462199999999</v>
      </c>
      <c r="H317">
        <f t="shared" si="102"/>
        <v>0</v>
      </c>
      <c r="I317">
        <f t="shared" si="102"/>
        <v>0</v>
      </c>
      <c r="J317">
        <f t="shared" si="102"/>
        <v>0</v>
      </c>
      <c r="K317">
        <f t="shared" si="102"/>
        <v>0</v>
      </c>
      <c r="L317">
        <f t="shared" si="102"/>
        <v>0</v>
      </c>
      <c r="M317">
        <f t="shared" si="102"/>
        <v>0</v>
      </c>
      <c r="N317">
        <f t="shared" si="102"/>
        <v>0</v>
      </c>
      <c r="O317">
        <f t="shared" si="102"/>
        <v>0</v>
      </c>
      <c r="P317">
        <f t="shared" si="102"/>
        <v>4.0999999999999996</v>
      </c>
      <c r="Q317">
        <f t="shared" si="102"/>
        <v>0</v>
      </c>
    </row>
    <row r="318" spans="1:17" x14ac:dyDescent="0.2">
      <c r="A318" s="5" t="s">
        <v>2532</v>
      </c>
      <c r="B318" s="5" t="s">
        <v>976</v>
      </c>
      <c r="C318" s="82" t="str">
        <f t="shared" si="101"/>
        <v>contact vendor</v>
      </c>
      <c r="D318">
        <f>H3PO4_cmix_size</f>
        <v>0</v>
      </c>
      <c r="E318" t="s">
        <v>2534</v>
      </c>
      <c r="F318">
        <f t="shared" si="102"/>
        <v>0</v>
      </c>
      <c r="G318">
        <f t="shared" si="102"/>
        <v>0</v>
      </c>
      <c r="H318">
        <f t="shared" si="102"/>
        <v>0</v>
      </c>
      <c r="I318">
        <f t="shared" si="102"/>
        <v>0</v>
      </c>
      <c r="J318">
        <f t="shared" si="102"/>
        <v>0</v>
      </c>
      <c r="K318">
        <f t="shared" si="102"/>
        <v>0</v>
      </c>
      <c r="L318">
        <f t="shared" si="102"/>
        <v>0</v>
      </c>
      <c r="M318">
        <f t="shared" si="102"/>
        <v>0</v>
      </c>
      <c r="N318">
        <f t="shared" si="102"/>
        <v>1053.0249738949999</v>
      </c>
      <c r="O318">
        <f t="shared" si="102"/>
        <v>4010.0161733059999</v>
      </c>
      <c r="P318">
        <f t="shared" si="102"/>
        <v>110</v>
      </c>
      <c r="Q318">
        <f t="shared" si="102"/>
        <v>0</v>
      </c>
    </row>
    <row r="319" spans="1:17" x14ac:dyDescent="0.2">
      <c r="A319" s="44" t="s">
        <v>974</v>
      </c>
      <c r="C319" s="10"/>
    </row>
    <row r="320" spans="1:17" x14ac:dyDescent="0.2">
      <c r="A320" s="35" t="s">
        <v>1523</v>
      </c>
      <c r="B320" t="s">
        <v>2629</v>
      </c>
      <c r="C320" s="10"/>
    </row>
    <row r="321" spans="1:17" ht="12.6" customHeight="1" x14ac:dyDescent="0.2">
      <c r="A321" s="35" t="s">
        <v>1524</v>
      </c>
      <c r="B321" s="5" t="s">
        <v>977</v>
      </c>
      <c r="C321" s="82" t="str">
        <f t="shared" ref="C321:C322" si="103">IF(OR(D321&gt;P321,D321&lt;=Q321),"contact vendor",F321*D321^G321+H321*LN(D321)+I321+J321*EXP(K321*D321)+L321*D321^3+M321*D321^2+N321*D321+O321)</f>
        <v>contact vendor</v>
      </c>
      <c r="D321">
        <f>H3PO4_dmix_size</f>
        <v>0</v>
      </c>
      <c r="E321" t="s">
        <v>3178</v>
      </c>
      <c r="F321">
        <f t="shared" ref="F321:Q322" si="104">VLOOKUP($E321,eq_table_cl,F$4,FALSE)</f>
        <v>3220.9800634899998</v>
      </c>
      <c r="G321">
        <f t="shared" si="104"/>
        <v>0.14804462199999999</v>
      </c>
      <c r="H321">
        <f t="shared" si="104"/>
        <v>0</v>
      </c>
      <c r="I321">
        <f t="shared" si="104"/>
        <v>0</v>
      </c>
      <c r="J321">
        <f t="shared" si="104"/>
        <v>0</v>
      </c>
      <c r="K321">
        <f t="shared" si="104"/>
        <v>0</v>
      </c>
      <c r="L321">
        <f t="shared" si="104"/>
        <v>0</v>
      </c>
      <c r="M321">
        <f t="shared" si="104"/>
        <v>0</v>
      </c>
      <c r="N321">
        <f t="shared" si="104"/>
        <v>0</v>
      </c>
      <c r="O321">
        <f t="shared" si="104"/>
        <v>0</v>
      </c>
      <c r="P321">
        <f t="shared" si="104"/>
        <v>4.0999999999999996</v>
      </c>
      <c r="Q321">
        <f t="shared" si="104"/>
        <v>0</v>
      </c>
    </row>
    <row r="322" spans="1:17" x14ac:dyDescent="0.2">
      <c r="A322" s="5" t="s">
        <v>2532</v>
      </c>
      <c r="B322" s="5" t="s">
        <v>978</v>
      </c>
      <c r="C322" s="82" t="str">
        <f t="shared" si="103"/>
        <v>contact vendor</v>
      </c>
      <c r="D322">
        <f>H3PO4_dmix_size</f>
        <v>0</v>
      </c>
      <c r="E322" t="s">
        <v>2534</v>
      </c>
      <c r="F322">
        <f t="shared" si="104"/>
        <v>0</v>
      </c>
      <c r="G322">
        <f t="shared" si="104"/>
        <v>0</v>
      </c>
      <c r="H322">
        <f t="shared" si="104"/>
        <v>0</v>
      </c>
      <c r="I322">
        <f t="shared" si="104"/>
        <v>0</v>
      </c>
      <c r="J322">
        <f t="shared" si="104"/>
        <v>0</v>
      </c>
      <c r="K322">
        <f t="shared" si="104"/>
        <v>0</v>
      </c>
      <c r="L322">
        <f t="shared" si="104"/>
        <v>0</v>
      </c>
      <c r="M322">
        <f t="shared" si="104"/>
        <v>0</v>
      </c>
      <c r="N322">
        <f t="shared" si="104"/>
        <v>1053.0249738949999</v>
      </c>
      <c r="O322">
        <f t="shared" si="104"/>
        <v>4010.0161733059999</v>
      </c>
      <c r="P322">
        <f t="shared" si="104"/>
        <v>110</v>
      </c>
      <c r="Q322">
        <f t="shared" si="104"/>
        <v>0</v>
      </c>
    </row>
    <row r="323" spans="1:17" x14ac:dyDescent="0.2">
      <c r="A323" s="44" t="s">
        <v>979</v>
      </c>
      <c r="C323" s="10"/>
    </row>
    <row r="324" spans="1:17" x14ac:dyDescent="0.2">
      <c r="A324" s="35" t="s">
        <v>1523</v>
      </c>
      <c r="B324" t="s">
        <v>2629</v>
      </c>
      <c r="C324" s="10"/>
    </row>
    <row r="325" spans="1:17" x14ac:dyDescent="0.2">
      <c r="A325" s="35" t="s">
        <v>1524</v>
      </c>
      <c r="B325" s="5" t="s">
        <v>981</v>
      </c>
      <c r="C325" s="82" t="str">
        <f t="shared" ref="C325:C326" si="105">IF(OR(D325&gt;P325,D325&lt;=Q325),"contact vendor",F325*D325^G325+H325*LN(D325)+I325+J325*EXP(K325*D325)+L325*D325^3+M325*D325^2+N325*D325+O325)</f>
        <v>contact vendor</v>
      </c>
      <c r="D325">
        <f>H2O2_cmix_size</f>
        <v>0</v>
      </c>
      <c r="E325" t="s">
        <v>3178</v>
      </c>
      <c r="F325">
        <f t="shared" ref="F325:Q326" si="106">VLOOKUP($E325,eq_table_cl,F$4,FALSE)</f>
        <v>3220.9800634899998</v>
      </c>
      <c r="G325">
        <f t="shared" si="106"/>
        <v>0.14804462199999999</v>
      </c>
      <c r="H325">
        <f t="shared" si="106"/>
        <v>0</v>
      </c>
      <c r="I325">
        <f t="shared" si="106"/>
        <v>0</v>
      </c>
      <c r="J325">
        <f t="shared" si="106"/>
        <v>0</v>
      </c>
      <c r="K325">
        <f t="shared" si="106"/>
        <v>0</v>
      </c>
      <c r="L325">
        <f t="shared" si="106"/>
        <v>0</v>
      </c>
      <c r="M325">
        <f t="shared" si="106"/>
        <v>0</v>
      </c>
      <c r="N325">
        <f t="shared" si="106"/>
        <v>0</v>
      </c>
      <c r="O325">
        <f t="shared" si="106"/>
        <v>0</v>
      </c>
      <c r="P325">
        <f t="shared" si="106"/>
        <v>4.0999999999999996</v>
      </c>
      <c r="Q325">
        <f t="shared" si="106"/>
        <v>0</v>
      </c>
    </row>
    <row r="326" spans="1:17" x14ac:dyDescent="0.2">
      <c r="A326" s="5" t="s">
        <v>2532</v>
      </c>
      <c r="B326" s="5" t="s">
        <v>982</v>
      </c>
      <c r="C326" s="82" t="str">
        <f t="shared" si="105"/>
        <v>contact vendor</v>
      </c>
      <c r="D326">
        <f>H2O2_cmix_size</f>
        <v>0</v>
      </c>
      <c r="E326" t="s">
        <v>2534</v>
      </c>
      <c r="F326">
        <f t="shared" si="106"/>
        <v>0</v>
      </c>
      <c r="G326">
        <f t="shared" si="106"/>
        <v>0</v>
      </c>
      <c r="H326">
        <f t="shared" si="106"/>
        <v>0</v>
      </c>
      <c r="I326">
        <f t="shared" si="106"/>
        <v>0</v>
      </c>
      <c r="J326">
        <f t="shared" si="106"/>
        <v>0</v>
      </c>
      <c r="K326">
        <f t="shared" si="106"/>
        <v>0</v>
      </c>
      <c r="L326">
        <f t="shared" si="106"/>
        <v>0</v>
      </c>
      <c r="M326">
        <f t="shared" si="106"/>
        <v>0</v>
      </c>
      <c r="N326">
        <f t="shared" si="106"/>
        <v>1053.0249738949999</v>
      </c>
      <c r="O326">
        <f t="shared" si="106"/>
        <v>4010.0161733059999</v>
      </c>
      <c r="P326">
        <f t="shared" si="106"/>
        <v>110</v>
      </c>
      <c r="Q326">
        <f t="shared" si="106"/>
        <v>0</v>
      </c>
    </row>
    <row r="327" spans="1:17" x14ac:dyDescent="0.2">
      <c r="A327" s="44" t="s">
        <v>980</v>
      </c>
      <c r="C327" s="10"/>
    </row>
    <row r="328" spans="1:17" x14ac:dyDescent="0.2">
      <c r="A328" s="35" t="s">
        <v>1523</v>
      </c>
      <c r="B328" t="s">
        <v>2629</v>
      </c>
      <c r="C328" s="10"/>
    </row>
    <row r="329" spans="1:17" ht="12.6" customHeight="1" x14ac:dyDescent="0.2">
      <c r="A329" s="35" t="s">
        <v>1524</v>
      </c>
      <c r="B329" s="5" t="s">
        <v>983</v>
      </c>
      <c r="C329" s="82" t="str">
        <f t="shared" ref="C329:C330" si="107">IF(OR(D329&gt;P329,D329&lt;=Q329),"contact vendor",F329*D329^G329+H329*LN(D329)+I329+J329*EXP(K329*D329)+L329*D329^3+M329*D329^2+N329*D329+O329)</f>
        <v>contact vendor</v>
      </c>
      <c r="D329">
        <f>H2O2_dmix_size</f>
        <v>0</v>
      </c>
      <c r="E329" t="s">
        <v>3178</v>
      </c>
      <c r="F329">
        <f t="shared" ref="F329:Q330" si="108">VLOOKUP($E329,eq_table_cl,F$4,FALSE)</f>
        <v>3220.9800634899998</v>
      </c>
      <c r="G329">
        <f t="shared" si="108"/>
        <v>0.14804462199999999</v>
      </c>
      <c r="H329">
        <f t="shared" si="108"/>
        <v>0</v>
      </c>
      <c r="I329">
        <f t="shared" si="108"/>
        <v>0</v>
      </c>
      <c r="J329">
        <f t="shared" si="108"/>
        <v>0</v>
      </c>
      <c r="K329">
        <f t="shared" si="108"/>
        <v>0</v>
      </c>
      <c r="L329">
        <f t="shared" si="108"/>
        <v>0</v>
      </c>
      <c r="M329">
        <f t="shared" si="108"/>
        <v>0</v>
      </c>
      <c r="N329">
        <f t="shared" si="108"/>
        <v>0</v>
      </c>
      <c r="O329">
        <f t="shared" si="108"/>
        <v>0</v>
      </c>
      <c r="P329">
        <f t="shared" si="108"/>
        <v>4.0999999999999996</v>
      </c>
      <c r="Q329">
        <f t="shared" si="108"/>
        <v>0</v>
      </c>
    </row>
    <row r="330" spans="1:17" x14ac:dyDescent="0.2">
      <c r="A330" s="5" t="s">
        <v>2532</v>
      </c>
      <c r="B330" s="5" t="s">
        <v>984</v>
      </c>
      <c r="C330" s="82" t="str">
        <f t="shared" si="107"/>
        <v>contact vendor</v>
      </c>
      <c r="D330">
        <f>H2O2_dmix_size</f>
        <v>0</v>
      </c>
      <c r="E330" t="s">
        <v>2534</v>
      </c>
      <c r="F330">
        <f t="shared" si="108"/>
        <v>0</v>
      </c>
      <c r="G330">
        <f t="shared" si="108"/>
        <v>0</v>
      </c>
      <c r="H330">
        <f t="shared" si="108"/>
        <v>0</v>
      </c>
      <c r="I330">
        <f t="shared" si="108"/>
        <v>0</v>
      </c>
      <c r="J330">
        <f t="shared" si="108"/>
        <v>0</v>
      </c>
      <c r="K330">
        <f t="shared" si="108"/>
        <v>0</v>
      </c>
      <c r="L330">
        <f t="shared" si="108"/>
        <v>0</v>
      </c>
      <c r="M330">
        <f t="shared" si="108"/>
        <v>0</v>
      </c>
      <c r="N330">
        <f t="shared" si="108"/>
        <v>1053.0249738949999</v>
      </c>
      <c r="O330">
        <f t="shared" si="108"/>
        <v>4010.0161733059999</v>
      </c>
      <c r="P330">
        <f t="shared" si="108"/>
        <v>110</v>
      </c>
      <c r="Q330">
        <f t="shared" si="108"/>
        <v>0</v>
      </c>
    </row>
    <row r="331" spans="1:17" x14ac:dyDescent="0.2">
      <c r="A331" s="44" t="s">
        <v>1769</v>
      </c>
      <c r="C331" s="10"/>
    </row>
    <row r="332" spans="1:17" x14ac:dyDescent="0.2">
      <c r="A332" s="35" t="s">
        <v>1523</v>
      </c>
      <c r="B332" t="s">
        <v>2629</v>
      </c>
      <c r="C332" s="10"/>
    </row>
    <row r="333" spans="1:17" x14ac:dyDescent="0.2">
      <c r="A333" s="35" t="s">
        <v>1524</v>
      </c>
      <c r="B333" t="s">
        <v>1835</v>
      </c>
      <c r="C333" s="82">
        <f t="shared" ref="C333:C334" si="109">IF(OR(D333&gt;P333,D333&lt;=Q333),"contact vendor",F333*D333^G333+H333*LN(D333)+I333+J333*EXP(K333*D333)+L333*D333^3+M333*D333^2+N333*D333+O333)</f>
        <v>3313.880831716886</v>
      </c>
      <c r="D333">
        <f>hmix_size</f>
        <v>1.2117500000000001</v>
      </c>
      <c r="E333" t="s">
        <v>3178</v>
      </c>
      <c r="F333">
        <f t="shared" ref="F333:Q334" si="110">VLOOKUP($E333,eq_table_cl,F$4,FALSE)</f>
        <v>3220.9800634899998</v>
      </c>
      <c r="G333">
        <f t="shared" si="110"/>
        <v>0.14804462199999999</v>
      </c>
      <c r="H333">
        <f t="shared" si="110"/>
        <v>0</v>
      </c>
      <c r="I333">
        <f t="shared" si="110"/>
        <v>0</v>
      </c>
      <c r="J333">
        <f t="shared" si="110"/>
        <v>0</v>
      </c>
      <c r="K333">
        <f t="shared" si="110"/>
        <v>0</v>
      </c>
      <c r="L333">
        <f t="shared" si="110"/>
        <v>0</v>
      </c>
      <c r="M333">
        <f t="shared" si="110"/>
        <v>0</v>
      </c>
      <c r="N333">
        <f t="shared" si="110"/>
        <v>0</v>
      </c>
      <c r="O333">
        <f t="shared" si="110"/>
        <v>0</v>
      </c>
      <c r="P333">
        <f t="shared" si="110"/>
        <v>4.0999999999999996</v>
      </c>
      <c r="Q333">
        <f t="shared" si="110"/>
        <v>0</v>
      </c>
    </row>
    <row r="334" spans="1:17" x14ac:dyDescent="0.2">
      <c r="A334" s="5" t="s">
        <v>2532</v>
      </c>
      <c r="B334" t="s">
        <v>2533</v>
      </c>
      <c r="C334" s="82">
        <f t="shared" si="109"/>
        <v>5286.0191854232662</v>
      </c>
      <c r="D334">
        <f>hmix_size</f>
        <v>1.2117500000000001</v>
      </c>
      <c r="E334" t="s">
        <v>2534</v>
      </c>
      <c r="F334">
        <f t="shared" si="110"/>
        <v>0</v>
      </c>
      <c r="G334">
        <f t="shared" si="110"/>
        <v>0</v>
      </c>
      <c r="H334">
        <f t="shared" si="110"/>
        <v>0</v>
      </c>
      <c r="I334">
        <f t="shared" si="110"/>
        <v>0</v>
      </c>
      <c r="J334">
        <f t="shared" si="110"/>
        <v>0</v>
      </c>
      <c r="K334">
        <f t="shared" si="110"/>
        <v>0</v>
      </c>
      <c r="L334">
        <f t="shared" si="110"/>
        <v>0</v>
      </c>
      <c r="M334">
        <f t="shared" si="110"/>
        <v>0</v>
      </c>
      <c r="N334">
        <f t="shared" si="110"/>
        <v>1053.0249738949999</v>
      </c>
      <c r="O334">
        <f t="shared" si="110"/>
        <v>4010.0161733059999</v>
      </c>
      <c r="P334">
        <f t="shared" si="110"/>
        <v>110</v>
      </c>
      <c r="Q334">
        <f t="shared" si="110"/>
        <v>0</v>
      </c>
    </row>
    <row r="335" spans="1:17" x14ac:dyDescent="0.2">
      <c r="A335" s="13" t="s">
        <v>154</v>
      </c>
    </row>
    <row r="336" spans="1:17" x14ac:dyDescent="0.2">
      <c r="A336" s="694" t="s">
        <v>3955</v>
      </c>
      <c r="B336" s="823" t="s">
        <v>4023</v>
      </c>
      <c r="C336" s="82" t="str">
        <f t="shared" ref="C336:C337" si="111">IF(OR(D336&gt;P336,D336&lt;=Q336),"contact vendor",F336*D336^G336+H336*LN(D336)+I336+J336*EXP(K336*D336)+L336*D336^3+M336*D336^2+N336*D336+O336)</f>
        <v>contact vendor</v>
      </c>
      <c r="D336">
        <f>mixer_size</f>
        <v>0</v>
      </c>
      <c r="E336" s="694" t="s">
        <v>4023</v>
      </c>
      <c r="F336">
        <f t="shared" ref="F336:Q337" si="112">VLOOKUP($E336,eq_table_cl,F$4,FALSE)</f>
        <v>0</v>
      </c>
      <c r="G336">
        <f t="shared" si="112"/>
        <v>0</v>
      </c>
      <c r="H336">
        <f t="shared" si="112"/>
        <v>0</v>
      </c>
      <c r="I336">
        <f t="shared" si="112"/>
        <v>0</v>
      </c>
      <c r="J336">
        <f t="shared" si="112"/>
        <v>0</v>
      </c>
      <c r="K336">
        <f t="shared" si="112"/>
        <v>0</v>
      </c>
      <c r="L336">
        <f t="shared" si="112"/>
        <v>-6.3409859129999999</v>
      </c>
      <c r="M336">
        <f t="shared" si="112"/>
        <v>74.018844450000003</v>
      </c>
      <c r="N336">
        <f t="shared" si="112"/>
        <v>18.864168258999999</v>
      </c>
      <c r="O336">
        <f t="shared" si="112"/>
        <v>382.26834678300003</v>
      </c>
      <c r="P336">
        <f t="shared" si="112"/>
        <v>6.1</v>
      </c>
      <c r="Q336">
        <f t="shared" si="112"/>
        <v>0</v>
      </c>
    </row>
    <row r="337" spans="1:17" x14ac:dyDescent="0.2">
      <c r="A337" s="694" t="s">
        <v>1421</v>
      </c>
      <c r="B337" s="823" t="s">
        <v>155</v>
      </c>
      <c r="C337" s="82" t="str">
        <f t="shared" si="111"/>
        <v>contact vendor</v>
      </c>
      <c r="D337">
        <f>mixer_size</f>
        <v>0</v>
      </c>
      <c r="E337" t="s">
        <v>155</v>
      </c>
      <c r="F337">
        <f t="shared" si="112"/>
        <v>0</v>
      </c>
      <c r="G337">
        <f t="shared" si="112"/>
        <v>0</v>
      </c>
      <c r="H337">
        <f t="shared" si="112"/>
        <v>0</v>
      </c>
      <c r="I337">
        <f t="shared" si="112"/>
        <v>0</v>
      </c>
      <c r="J337">
        <f t="shared" si="112"/>
        <v>0</v>
      </c>
      <c r="K337">
        <f t="shared" si="112"/>
        <v>0</v>
      </c>
      <c r="L337">
        <f t="shared" si="112"/>
        <v>0.89436999900000003</v>
      </c>
      <c r="M337">
        <f t="shared" si="112"/>
        <v>-7.5688345879999996</v>
      </c>
      <c r="N337">
        <f t="shared" si="112"/>
        <v>587.64299956599996</v>
      </c>
      <c r="O337">
        <f t="shared" si="112"/>
        <v>846.02694751900003</v>
      </c>
      <c r="P337">
        <f t="shared" si="112"/>
        <v>42.1</v>
      </c>
      <c r="Q337">
        <f t="shared" si="112"/>
        <v>0</v>
      </c>
    </row>
    <row r="338" spans="1:17" x14ac:dyDescent="0.2">
      <c r="A338" s="874" t="s">
        <v>4331</v>
      </c>
      <c r="C338" s="622"/>
    </row>
    <row r="339" spans="1:17" x14ac:dyDescent="0.2">
      <c r="A339" s="695" t="s">
        <v>1523</v>
      </c>
      <c r="B339" t="s">
        <v>2629</v>
      </c>
    </row>
    <row r="340" spans="1:17" x14ac:dyDescent="0.2">
      <c r="A340" s="695" t="s">
        <v>1524</v>
      </c>
      <c r="B340" s="694" t="s">
        <v>4332</v>
      </c>
      <c r="C340" s="82" t="str">
        <f t="shared" ref="C340:C341" si="113">IF(OR(D340&gt;P340,D340&lt;=Q340),"contact vendor",F340*D340^G340+H340*LN(D340)+I340+J340*EXP(K340*D340)+L340*D340^3+M340*D340^2+N340*D340+O340)</f>
        <v>contact vendor</v>
      </c>
      <c r="D340">
        <f>coag_cmix_size</f>
        <v>0</v>
      </c>
      <c r="E340" t="s">
        <v>3178</v>
      </c>
      <c r="F340">
        <f t="shared" ref="F340:Q341" si="114">VLOOKUP($E340,eq_table_cl,F$4,FALSE)</f>
        <v>3220.9800634899998</v>
      </c>
      <c r="G340">
        <f t="shared" si="114"/>
        <v>0.14804462199999999</v>
      </c>
      <c r="H340">
        <f t="shared" si="114"/>
        <v>0</v>
      </c>
      <c r="I340">
        <f t="shared" si="114"/>
        <v>0</v>
      </c>
      <c r="J340">
        <f t="shared" si="114"/>
        <v>0</v>
      </c>
      <c r="K340">
        <f t="shared" si="114"/>
        <v>0</v>
      </c>
      <c r="L340">
        <f t="shared" si="114"/>
        <v>0</v>
      </c>
      <c r="M340">
        <f t="shared" si="114"/>
        <v>0</v>
      </c>
      <c r="N340">
        <f t="shared" si="114"/>
        <v>0</v>
      </c>
      <c r="O340">
        <f t="shared" si="114"/>
        <v>0</v>
      </c>
      <c r="P340">
        <f t="shared" si="114"/>
        <v>4.0999999999999996</v>
      </c>
      <c r="Q340">
        <f t="shared" si="114"/>
        <v>0</v>
      </c>
    </row>
    <row r="341" spans="1:17" x14ac:dyDescent="0.2">
      <c r="A341" s="694" t="s">
        <v>2532</v>
      </c>
      <c r="B341" s="694" t="s">
        <v>4333</v>
      </c>
      <c r="C341" s="82" t="str">
        <f t="shared" si="113"/>
        <v>contact vendor</v>
      </c>
      <c r="D341">
        <f>coag_cmix_size</f>
        <v>0</v>
      </c>
      <c r="E341" t="s">
        <v>2534</v>
      </c>
      <c r="F341">
        <f t="shared" si="114"/>
        <v>0</v>
      </c>
      <c r="G341">
        <f t="shared" si="114"/>
        <v>0</v>
      </c>
      <c r="H341">
        <f t="shared" si="114"/>
        <v>0</v>
      </c>
      <c r="I341">
        <f t="shared" si="114"/>
        <v>0</v>
      </c>
      <c r="J341">
        <f t="shared" si="114"/>
        <v>0</v>
      </c>
      <c r="K341">
        <f t="shared" si="114"/>
        <v>0</v>
      </c>
      <c r="L341">
        <f t="shared" si="114"/>
        <v>0</v>
      </c>
      <c r="M341">
        <f t="shared" si="114"/>
        <v>0</v>
      </c>
      <c r="N341">
        <f t="shared" si="114"/>
        <v>1053.0249738949999</v>
      </c>
      <c r="O341">
        <f t="shared" si="114"/>
        <v>4010.0161733059999</v>
      </c>
      <c r="P341">
        <f t="shared" si="114"/>
        <v>110</v>
      </c>
      <c r="Q341">
        <f t="shared" si="114"/>
        <v>0</v>
      </c>
    </row>
    <row r="342" spans="1:17" x14ac:dyDescent="0.2">
      <c r="A342" s="874" t="s">
        <v>4334</v>
      </c>
      <c r="C342" s="622"/>
    </row>
    <row r="343" spans="1:17" x14ac:dyDescent="0.2">
      <c r="A343" s="695" t="s">
        <v>1523</v>
      </c>
      <c r="B343" t="s">
        <v>2629</v>
      </c>
    </row>
    <row r="344" spans="1:17" x14ac:dyDescent="0.2">
      <c r="A344" s="695" t="s">
        <v>1524</v>
      </c>
      <c r="B344" s="694" t="s">
        <v>4335</v>
      </c>
      <c r="C344" s="82" t="str">
        <f t="shared" ref="C344:C345" si="115">IF(OR(D344&gt;P344,D344&lt;=Q344),"contact vendor",F344*D344^G344+H344*LN(D344)+I344+J344*EXP(K344*D344)+L344*D344^3+M344*D344^2+N344*D344+O344)</f>
        <v>contact vendor</v>
      </c>
      <c r="D344">
        <f>coag_dmix_size</f>
        <v>0</v>
      </c>
      <c r="E344" t="s">
        <v>3178</v>
      </c>
      <c r="F344">
        <f t="shared" ref="F344:Q345" si="116">VLOOKUP($E344,eq_table_cl,F$4,FALSE)</f>
        <v>3220.9800634899998</v>
      </c>
      <c r="G344">
        <f t="shared" si="116"/>
        <v>0.14804462199999999</v>
      </c>
      <c r="H344">
        <f t="shared" si="116"/>
        <v>0</v>
      </c>
      <c r="I344">
        <f t="shared" si="116"/>
        <v>0</v>
      </c>
      <c r="J344">
        <f t="shared" si="116"/>
        <v>0</v>
      </c>
      <c r="K344">
        <f t="shared" si="116"/>
        <v>0</v>
      </c>
      <c r="L344">
        <f t="shared" si="116"/>
        <v>0</v>
      </c>
      <c r="M344">
        <f t="shared" si="116"/>
        <v>0</v>
      </c>
      <c r="N344">
        <f t="shared" si="116"/>
        <v>0</v>
      </c>
      <c r="O344">
        <f t="shared" si="116"/>
        <v>0</v>
      </c>
      <c r="P344">
        <f t="shared" si="116"/>
        <v>4.0999999999999996</v>
      </c>
      <c r="Q344">
        <f t="shared" si="116"/>
        <v>0</v>
      </c>
    </row>
    <row r="345" spans="1:17" x14ac:dyDescent="0.2">
      <c r="A345" s="694" t="s">
        <v>2532</v>
      </c>
      <c r="B345" s="694" t="s">
        <v>4336</v>
      </c>
      <c r="C345" s="82" t="str">
        <f t="shared" si="115"/>
        <v>contact vendor</v>
      </c>
      <c r="D345">
        <f>coag_dmix_size</f>
        <v>0</v>
      </c>
      <c r="E345" t="s">
        <v>2534</v>
      </c>
      <c r="F345">
        <f t="shared" si="116"/>
        <v>0</v>
      </c>
      <c r="G345">
        <f t="shared" si="116"/>
        <v>0</v>
      </c>
      <c r="H345">
        <f t="shared" si="116"/>
        <v>0</v>
      </c>
      <c r="I345">
        <f t="shared" si="116"/>
        <v>0</v>
      </c>
      <c r="J345">
        <f t="shared" si="116"/>
        <v>0</v>
      </c>
      <c r="K345">
        <f t="shared" si="116"/>
        <v>0</v>
      </c>
      <c r="L345">
        <f t="shared" si="116"/>
        <v>0</v>
      </c>
      <c r="M345">
        <f t="shared" si="116"/>
        <v>0</v>
      </c>
      <c r="N345">
        <f t="shared" si="116"/>
        <v>1053.0249738949999</v>
      </c>
      <c r="O345">
        <f t="shared" si="116"/>
        <v>4010.0161733059999</v>
      </c>
      <c r="P345">
        <f t="shared" si="116"/>
        <v>110</v>
      </c>
      <c r="Q345">
        <f t="shared" si="116"/>
        <v>0</v>
      </c>
    </row>
    <row r="346" spans="1:17" x14ac:dyDescent="0.2">
      <c r="A346" s="44" t="s">
        <v>2946</v>
      </c>
      <c r="C346" s="10"/>
    </row>
    <row r="347" spans="1:17" x14ac:dyDescent="0.2">
      <c r="A347" s="35" t="s">
        <v>1523</v>
      </c>
      <c r="B347" t="s">
        <v>2629</v>
      </c>
      <c r="C347" s="10"/>
    </row>
    <row r="348" spans="1:17" x14ac:dyDescent="0.2">
      <c r="A348" s="35" t="s">
        <v>1524</v>
      </c>
      <c r="B348" s="5" t="s">
        <v>2947</v>
      </c>
      <c r="C348" s="82" t="str">
        <f t="shared" ref="C348:C349" si="117">IF(OR(D348&gt;P348,D348&lt;=Q348),"contact vendor",F348*D348^G348+H348*LN(D348)+I348+J348*EXP(K348*D348)+L348*D348^3+M348*D348^2+N348*D348+O348)</f>
        <v>contact vendor</v>
      </c>
      <c r="D348">
        <f>polymer_cmix_size</f>
        <v>0</v>
      </c>
      <c r="E348" s="694" t="s">
        <v>3178</v>
      </c>
      <c r="F348">
        <f t="shared" ref="F348:Q349" si="118">VLOOKUP($E348,eq_table_cl,F$4,FALSE)</f>
        <v>3220.9800634899998</v>
      </c>
      <c r="G348">
        <f t="shared" si="118"/>
        <v>0.14804462199999999</v>
      </c>
      <c r="H348">
        <f t="shared" si="118"/>
        <v>0</v>
      </c>
      <c r="I348">
        <f t="shared" si="118"/>
        <v>0</v>
      </c>
      <c r="J348">
        <f t="shared" si="118"/>
        <v>0</v>
      </c>
      <c r="K348">
        <f t="shared" si="118"/>
        <v>0</v>
      </c>
      <c r="L348">
        <f t="shared" si="118"/>
        <v>0</v>
      </c>
      <c r="M348">
        <f t="shared" si="118"/>
        <v>0</v>
      </c>
      <c r="N348">
        <f t="shared" si="118"/>
        <v>0</v>
      </c>
      <c r="O348">
        <f t="shared" si="118"/>
        <v>0</v>
      </c>
      <c r="P348">
        <f t="shared" si="118"/>
        <v>4.0999999999999996</v>
      </c>
      <c r="Q348">
        <f t="shared" si="118"/>
        <v>0</v>
      </c>
    </row>
    <row r="349" spans="1:17" x14ac:dyDescent="0.2">
      <c r="A349" s="5" t="s">
        <v>2532</v>
      </c>
      <c r="B349" s="5" t="s">
        <v>2948</v>
      </c>
      <c r="C349" s="82" t="str">
        <f t="shared" si="117"/>
        <v>contact vendor</v>
      </c>
      <c r="D349">
        <f>polymer_cmix_size</f>
        <v>0</v>
      </c>
      <c r="E349" t="s">
        <v>2534</v>
      </c>
      <c r="F349">
        <f t="shared" si="118"/>
        <v>0</v>
      </c>
      <c r="G349">
        <f t="shared" si="118"/>
        <v>0</v>
      </c>
      <c r="H349">
        <f t="shared" si="118"/>
        <v>0</v>
      </c>
      <c r="I349">
        <f t="shared" si="118"/>
        <v>0</v>
      </c>
      <c r="J349">
        <f t="shared" si="118"/>
        <v>0</v>
      </c>
      <c r="K349">
        <f t="shared" si="118"/>
        <v>0</v>
      </c>
      <c r="L349">
        <f t="shared" si="118"/>
        <v>0</v>
      </c>
      <c r="M349">
        <f t="shared" si="118"/>
        <v>0</v>
      </c>
      <c r="N349">
        <f t="shared" si="118"/>
        <v>1053.0249738949999</v>
      </c>
      <c r="O349">
        <f t="shared" si="118"/>
        <v>4010.0161733059999</v>
      </c>
      <c r="P349">
        <f t="shared" si="118"/>
        <v>110</v>
      </c>
      <c r="Q349">
        <f t="shared" si="118"/>
        <v>0</v>
      </c>
    </row>
    <row r="350" spans="1:17" x14ac:dyDescent="0.2">
      <c r="A350" s="44" t="s">
        <v>375</v>
      </c>
      <c r="C350" s="10"/>
    </row>
    <row r="351" spans="1:17" x14ac:dyDescent="0.2">
      <c r="A351" s="35" t="s">
        <v>1523</v>
      </c>
      <c r="B351" t="s">
        <v>2629</v>
      </c>
      <c r="C351" s="10"/>
    </row>
    <row r="352" spans="1:17" x14ac:dyDescent="0.2">
      <c r="A352" s="35" t="s">
        <v>1524</v>
      </c>
      <c r="B352" s="5" t="s">
        <v>378</v>
      </c>
      <c r="C352" s="82">
        <f t="shared" ref="C352:C353" si="119">IF(OR(D352&gt;P352,D352&lt;=Q352),"contact vendor",F352*D352^G352+H352*LN(D352)+I352+J352*EXP(K352*D352)+L352*D352^3+M352*D352^2+N352*D352+O352)</f>
        <v>2737.4916359821514</v>
      </c>
      <c r="D352">
        <f>mix_size</f>
        <v>0.33333333333333331</v>
      </c>
      <c r="E352" t="s">
        <v>3178</v>
      </c>
      <c r="F352">
        <f t="shared" ref="F352:Q353" si="120">VLOOKUP($E352,eq_table_cl,F$4,FALSE)</f>
        <v>3220.9800634899998</v>
      </c>
      <c r="G352">
        <f t="shared" si="120"/>
        <v>0.14804462199999999</v>
      </c>
      <c r="H352">
        <f t="shared" si="120"/>
        <v>0</v>
      </c>
      <c r="I352">
        <f t="shared" si="120"/>
        <v>0</v>
      </c>
      <c r="J352">
        <f t="shared" si="120"/>
        <v>0</v>
      </c>
      <c r="K352">
        <f t="shared" si="120"/>
        <v>0</v>
      </c>
      <c r="L352">
        <f t="shared" si="120"/>
        <v>0</v>
      </c>
      <c r="M352">
        <f t="shared" si="120"/>
        <v>0</v>
      </c>
      <c r="N352">
        <f t="shared" si="120"/>
        <v>0</v>
      </c>
      <c r="O352">
        <f t="shared" si="120"/>
        <v>0</v>
      </c>
      <c r="P352">
        <f t="shared" si="120"/>
        <v>4.0999999999999996</v>
      </c>
      <c r="Q352">
        <f t="shared" si="120"/>
        <v>0</v>
      </c>
    </row>
    <row r="353" spans="1:17" x14ac:dyDescent="0.2">
      <c r="A353" s="5" t="s">
        <v>2532</v>
      </c>
      <c r="B353" s="5" t="s">
        <v>379</v>
      </c>
      <c r="C353" s="82">
        <f t="shared" si="119"/>
        <v>4361.0244979376666</v>
      </c>
      <c r="D353">
        <f>mix_size</f>
        <v>0.33333333333333331</v>
      </c>
      <c r="E353" t="s">
        <v>2534</v>
      </c>
      <c r="F353">
        <f t="shared" si="120"/>
        <v>0</v>
      </c>
      <c r="G353">
        <f t="shared" si="120"/>
        <v>0</v>
      </c>
      <c r="H353">
        <f t="shared" si="120"/>
        <v>0</v>
      </c>
      <c r="I353">
        <f t="shared" si="120"/>
        <v>0</v>
      </c>
      <c r="J353">
        <f t="shared" si="120"/>
        <v>0</v>
      </c>
      <c r="K353">
        <f t="shared" si="120"/>
        <v>0</v>
      </c>
      <c r="L353">
        <f t="shared" si="120"/>
        <v>0</v>
      </c>
      <c r="M353">
        <f t="shared" si="120"/>
        <v>0</v>
      </c>
      <c r="N353">
        <f t="shared" si="120"/>
        <v>1053.0249738949999</v>
      </c>
      <c r="O353">
        <f t="shared" si="120"/>
        <v>4010.0161733059999</v>
      </c>
      <c r="P353">
        <f t="shared" si="120"/>
        <v>110</v>
      </c>
      <c r="Q353">
        <f t="shared" si="120"/>
        <v>0</v>
      </c>
    </row>
    <row r="354" spans="1:17" x14ac:dyDescent="0.2">
      <c r="A354" s="43" t="s">
        <v>847</v>
      </c>
      <c r="C354" s="10"/>
    </row>
    <row r="355" spans="1:17" x14ac:dyDescent="0.2">
      <c r="A355" s="13" t="s">
        <v>1298</v>
      </c>
      <c r="B355" t="s">
        <v>1299</v>
      </c>
      <c r="C355" s="82">
        <f>IF(OR(D355&gt;P355,D355&lt;=Q355),"contact vendor",F355*D355^G355+H355*LN(D355)+I355+J355*EXP(K355*D355)+L355*D355^3+M355*D355^2+N355*D355+O355)</f>
        <v>1786.9435534610118</v>
      </c>
      <c r="D355">
        <f>res_transfer_rate</f>
        <v>281.21539530188329</v>
      </c>
      <c r="E355" t="s">
        <v>1300</v>
      </c>
      <c r="F355">
        <f t="shared" ref="F355:Q356" si="121">VLOOKUP($E355,eq_table_cl,F$4,FALSE)</f>
        <v>0</v>
      </c>
      <c r="G355">
        <f t="shared" si="121"/>
        <v>0</v>
      </c>
      <c r="H355">
        <f t="shared" si="121"/>
        <v>0</v>
      </c>
      <c r="I355">
        <f t="shared" si="121"/>
        <v>0</v>
      </c>
      <c r="J355">
        <f t="shared" si="121"/>
        <v>0</v>
      </c>
      <c r="K355">
        <f t="shared" si="121"/>
        <v>0</v>
      </c>
      <c r="L355">
        <f t="shared" si="121"/>
        <v>0</v>
      </c>
      <c r="M355">
        <f t="shared" si="121"/>
        <v>-5.3099999999999998E-7</v>
      </c>
      <c r="N355">
        <f t="shared" si="121"/>
        <v>0.21637999499999999</v>
      </c>
      <c r="O355">
        <f t="shared" si="121"/>
        <v>1726.1361602259999</v>
      </c>
      <c r="P355">
        <f t="shared" si="121"/>
        <v>108290</v>
      </c>
      <c r="Q355">
        <f t="shared" si="121"/>
        <v>0</v>
      </c>
    </row>
    <row r="356" spans="1:17" x14ac:dyDescent="0.2">
      <c r="A356" s="13" t="s">
        <v>1301</v>
      </c>
      <c r="B356" t="s">
        <v>1302</v>
      </c>
      <c r="C356" s="10">
        <f>IF(OR(D356&gt;P356,D356&lt;Q356),"contact vendor",F356*D356^G356+H356*LN(D356)+I356+J356*EXP(K356*D356)+L356*D356^3+M356*D356^2+N356*D356+O356)</f>
        <v>1483.4664433435</v>
      </c>
      <c r="D356">
        <f>res_eductor_size</f>
        <v>1.5</v>
      </c>
      <c r="E356" t="s">
        <v>1303</v>
      </c>
      <c r="F356">
        <f t="shared" si="121"/>
        <v>0</v>
      </c>
      <c r="G356">
        <f t="shared" si="121"/>
        <v>0</v>
      </c>
      <c r="H356">
        <f t="shared" si="121"/>
        <v>0</v>
      </c>
      <c r="I356">
        <f t="shared" si="121"/>
        <v>0</v>
      </c>
      <c r="J356">
        <f t="shared" si="121"/>
        <v>0</v>
      </c>
      <c r="K356">
        <f t="shared" si="121"/>
        <v>0</v>
      </c>
      <c r="L356">
        <f t="shared" si="121"/>
        <v>0</v>
      </c>
      <c r="M356">
        <f t="shared" si="121"/>
        <v>22.470786887999999</v>
      </c>
      <c r="N356">
        <f t="shared" si="121"/>
        <v>2229.8918400309999</v>
      </c>
      <c r="O356">
        <f t="shared" si="121"/>
        <v>-1911.930587201</v>
      </c>
      <c r="P356">
        <f t="shared" si="121"/>
        <v>8.1</v>
      </c>
      <c r="Q356">
        <f t="shared" si="121"/>
        <v>1.5</v>
      </c>
    </row>
    <row r="357" spans="1:17" x14ac:dyDescent="0.2">
      <c r="A357" s="18" t="s">
        <v>3173</v>
      </c>
      <c r="C357" s="10"/>
    </row>
    <row r="358" spans="1:17" x14ac:dyDescent="0.2">
      <c r="A358" s="86" t="s">
        <v>4427</v>
      </c>
    </row>
    <row r="359" spans="1:17" x14ac:dyDescent="0.2">
      <c r="A359" s="5" t="s">
        <v>2661</v>
      </c>
      <c r="B359" t="s">
        <v>3179</v>
      </c>
      <c r="C359" s="82">
        <f t="shared" ref="C359:C362" si="122">IF(OR(D359&gt;P359,D359&lt;=Q359),"contact vendor",F359*D359^G359+H359*LN(D359)+I359+J359*EXP(K359*D359)+L359*D359^3+M359*D359^2+N359*D359+O359)</f>
        <v>2203.6046942759999</v>
      </c>
      <c r="D359">
        <f>in_meter_size</f>
        <v>3</v>
      </c>
      <c r="E359" t="s">
        <v>3180</v>
      </c>
      <c r="F359">
        <f t="shared" ref="F359:Q362" si="123">VLOOKUP($E359,eq_table_cl,F$4,FALSE)</f>
        <v>0</v>
      </c>
      <c r="G359">
        <f t="shared" si="123"/>
        <v>0</v>
      </c>
      <c r="H359">
        <f t="shared" si="123"/>
        <v>0</v>
      </c>
      <c r="I359">
        <f t="shared" si="123"/>
        <v>0</v>
      </c>
      <c r="J359">
        <f t="shared" si="123"/>
        <v>0</v>
      </c>
      <c r="K359">
        <f t="shared" si="123"/>
        <v>0</v>
      </c>
      <c r="L359">
        <f t="shared" si="123"/>
        <v>0.290528801</v>
      </c>
      <c r="M359">
        <f t="shared" si="123"/>
        <v>-20.141018838000001</v>
      </c>
      <c r="N359">
        <f t="shared" si="123"/>
        <v>567.62280550399998</v>
      </c>
      <c r="O359">
        <f t="shared" si="123"/>
        <v>674.16116967899995</v>
      </c>
      <c r="P359">
        <f t="shared" si="123"/>
        <v>60.1</v>
      </c>
      <c r="Q359">
        <f t="shared" si="123"/>
        <v>0</v>
      </c>
    </row>
    <row r="360" spans="1:17" x14ac:dyDescent="0.2">
      <c r="A360" s="5" t="s">
        <v>2662</v>
      </c>
      <c r="B360" t="s">
        <v>2663</v>
      </c>
      <c r="C360" s="82">
        <f t="shared" si="122"/>
        <v>3122.730677218</v>
      </c>
      <c r="D360">
        <f>in_meter_size</f>
        <v>3</v>
      </c>
      <c r="E360" t="s">
        <v>2664</v>
      </c>
      <c r="F360">
        <f t="shared" si="123"/>
        <v>0</v>
      </c>
      <c r="G360">
        <f t="shared" si="123"/>
        <v>0</v>
      </c>
      <c r="H360">
        <f t="shared" si="123"/>
        <v>0</v>
      </c>
      <c r="I360">
        <f t="shared" si="123"/>
        <v>0</v>
      </c>
      <c r="J360">
        <f t="shared" si="123"/>
        <v>0</v>
      </c>
      <c r="K360">
        <f t="shared" si="123"/>
        <v>0</v>
      </c>
      <c r="L360">
        <f t="shared" si="123"/>
        <v>0.48667437299999999</v>
      </c>
      <c r="M360">
        <f t="shared" si="123"/>
        <v>-19.177375645000001</v>
      </c>
      <c r="N360">
        <f t="shared" si="123"/>
        <v>593.88035160699997</v>
      </c>
      <c r="O360">
        <f t="shared" si="123"/>
        <v>1500.545795131</v>
      </c>
      <c r="P360">
        <f t="shared" si="123"/>
        <v>36.1</v>
      </c>
      <c r="Q360">
        <f t="shared" si="123"/>
        <v>0</v>
      </c>
    </row>
    <row r="361" spans="1:17" x14ac:dyDescent="0.2">
      <c r="A361" s="5" t="s">
        <v>2665</v>
      </c>
      <c r="B361" t="s">
        <v>2666</v>
      </c>
      <c r="C361" s="82">
        <f t="shared" si="122"/>
        <v>2480.700382304</v>
      </c>
      <c r="D361">
        <f>in_meter_size</f>
        <v>3</v>
      </c>
      <c r="E361" t="s">
        <v>2667</v>
      </c>
      <c r="F361">
        <f t="shared" si="123"/>
        <v>0</v>
      </c>
      <c r="G361">
        <f t="shared" si="123"/>
        <v>0</v>
      </c>
      <c r="H361">
        <f t="shared" si="123"/>
        <v>0</v>
      </c>
      <c r="I361">
        <f t="shared" si="123"/>
        <v>0</v>
      </c>
      <c r="J361">
        <f t="shared" si="123"/>
        <v>0</v>
      </c>
      <c r="K361">
        <f t="shared" si="123"/>
        <v>0</v>
      </c>
      <c r="L361">
        <f t="shared" si="123"/>
        <v>-8.9659137E-2</v>
      </c>
      <c r="M361">
        <f t="shared" si="123"/>
        <v>7.3814192910000003</v>
      </c>
      <c r="N361">
        <f t="shared" si="123"/>
        <v>135.40877886999999</v>
      </c>
      <c r="O361">
        <f t="shared" si="123"/>
        <v>2010.462068774</v>
      </c>
      <c r="P361">
        <f t="shared" si="123"/>
        <v>48.1</v>
      </c>
      <c r="Q361">
        <f t="shared" si="123"/>
        <v>0</v>
      </c>
    </row>
    <row r="362" spans="1:17" x14ac:dyDescent="0.2">
      <c r="A362" s="5" t="s">
        <v>2668</v>
      </c>
      <c r="B362" t="s">
        <v>2669</v>
      </c>
      <c r="C362" s="82">
        <f t="shared" si="122"/>
        <v>4604.1410479860006</v>
      </c>
      <c r="D362">
        <f>in_meter_size</f>
        <v>3</v>
      </c>
      <c r="E362" t="s">
        <v>2670</v>
      </c>
      <c r="F362">
        <f t="shared" si="123"/>
        <v>0</v>
      </c>
      <c r="G362">
        <f t="shared" si="123"/>
        <v>0</v>
      </c>
      <c r="H362">
        <f t="shared" si="123"/>
        <v>0</v>
      </c>
      <c r="I362">
        <f t="shared" si="123"/>
        <v>0</v>
      </c>
      <c r="J362">
        <f t="shared" si="123"/>
        <v>0</v>
      </c>
      <c r="K362">
        <f t="shared" si="123"/>
        <v>0</v>
      </c>
      <c r="L362">
        <f t="shared" si="123"/>
        <v>8.7416773000000003E-2</v>
      </c>
      <c r="M362">
        <f t="shared" si="123"/>
        <v>3.727367106</v>
      </c>
      <c r="N362">
        <f t="shared" si="123"/>
        <v>488.19409208000002</v>
      </c>
      <c r="O362">
        <f t="shared" si="123"/>
        <v>3103.652214921</v>
      </c>
      <c r="P362">
        <f t="shared" si="123"/>
        <v>36.1</v>
      </c>
      <c r="Q362">
        <f t="shared" si="123"/>
        <v>0</v>
      </c>
    </row>
    <row r="363" spans="1:17" x14ac:dyDescent="0.2">
      <c r="A363" s="86" t="s">
        <v>2671</v>
      </c>
    </row>
    <row r="364" spans="1:17" x14ac:dyDescent="0.2">
      <c r="A364" s="5" t="s">
        <v>2661</v>
      </c>
      <c r="B364" t="s">
        <v>3181</v>
      </c>
      <c r="C364" s="82">
        <f t="shared" ref="C364:C367" si="124">IF(OR(D364&gt;P364,D364&lt;=Q364),"contact vendor",F364*D364^G364+H364*LN(D364)+I364+J364*EXP(K364*D364)+L364*D364^3+M364*D364^2+N364*D364+O364)</f>
        <v>1731.1669357430001</v>
      </c>
      <c r="D364">
        <f>proc_meter_size</f>
        <v>2</v>
      </c>
      <c r="E364" t="s">
        <v>3180</v>
      </c>
      <c r="F364">
        <f t="shared" ref="F364:Q367" si="125">VLOOKUP($E364,eq_table_cl,F$4,FALSE)</f>
        <v>0</v>
      </c>
      <c r="G364">
        <f t="shared" si="125"/>
        <v>0</v>
      </c>
      <c r="H364">
        <f t="shared" si="125"/>
        <v>0</v>
      </c>
      <c r="I364">
        <f t="shared" si="125"/>
        <v>0</v>
      </c>
      <c r="J364">
        <f t="shared" si="125"/>
        <v>0</v>
      </c>
      <c r="K364">
        <f t="shared" si="125"/>
        <v>0</v>
      </c>
      <c r="L364">
        <f t="shared" si="125"/>
        <v>0.290528801</v>
      </c>
      <c r="M364">
        <f t="shared" si="125"/>
        <v>-20.141018838000001</v>
      </c>
      <c r="N364">
        <f t="shared" si="125"/>
        <v>567.62280550399998</v>
      </c>
      <c r="O364">
        <f t="shared" si="125"/>
        <v>674.16116967899995</v>
      </c>
      <c r="P364">
        <f t="shared" si="125"/>
        <v>60.1</v>
      </c>
      <c r="Q364">
        <f t="shared" si="125"/>
        <v>0</v>
      </c>
    </row>
    <row r="365" spans="1:17" x14ac:dyDescent="0.2">
      <c r="A365" s="5" t="s">
        <v>2662</v>
      </c>
      <c r="B365" t="s">
        <v>2672</v>
      </c>
      <c r="C365" s="82">
        <f t="shared" si="124"/>
        <v>2615.4903907489997</v>
      </c>
      <c r="D365">
        <f>proc_meter_size</f>
        <v>2</v>
      </c>
      <c r="E365" t="s">
        <v>2664</v>
      </c>
      <c r="F365">
        <f t="shared" si="125"/>
        <v>0</v>
      </c>
      <c r="G365">
        <f t="shared" si="125"/>
        <v>0</v>
      </c>
      <c r="H365">
        <f t="shared" si="125"/>
        <v>0</v>
      </c>
      <c r="I365">
        <f t="shared" si="125"/>
        <v>0</v>
      </c>
      <c r="J365">
        <f t="shared" si="125"/>
        <v>0</v>
      </c>
      <c r="K365">
        <f t="shared" si="125"/>
        <v>0</v>
      </c>
      <c r="L365">
        <f t="shared" si="125"/>
        <v>0.48667437299999999</v>
      </c>
      <c r="M365">
        <f t="shared" si="125"/>
        <v>-19.177375645000001</v>
      </c>
      <c r="N365">
        <f t="shared" si="125"/>
        <v>593.88035160699997</v>
      </c>
      <c r="O365">
        <f t="shared" si="125"/>
        <v>1500.545795131</v>
      </c>
      <c r="P365">
        <f t="shared" si="125"/>
        <v>36.1</v>
      </c>
      <c r="Q365">
        <f t="shared" si="125"/>
        <v>0</v>
      </c>
    </row>
    <row r="366" spans="1:17" x14ac:dyDescent="0.2">
      <c r="A366" s="5" t="s">
        <v>2665</v>
      </c>
      <c r="B366" t="s">
        <v>2673</v>
      </c>
      <c r="C366" s="82">
        <f t="shared" si="124"/>
        <v>2310.0880305820001</v>
      </c>
      <c r="D366">
        <f>proc_meter_size</f>
        <v>2</v>
      </c>
      <c r="E366" t="s">
        <v>2667</v>
      </c>
      <c r="F366">
        <f t="shared" si="125"/>
        <v>0</v>
      </c>
      <c r="G366">
        <f t="shared" si="125"/>
        <v>0</v>
      </c>
      <c r="H366">
        <f t="shared" si="125"/>
        <v>0</v>
      </c>
      <c r="I366">
        <f t="shared" si="125"/>
        <v>0</v>
      </c>
      <c r="J366">
        <f t="shared" si="125"/>
        <v>0</v>
      </c>
      <c r="K366">
        <f t="shared" si="125"/>
        <v>0</v>
      </c>
      <c r="L366">
        <f t="shared" si="125"/>
        <v>-8.9659137E-2</v>
      </c>
      <c r="M366">
        <f t="shared" si="125"/>
        <v>7.3814192910000003</v>
      </c>
      <c r="N366">
        <f t="shared" si="125"/>
        <v>135.40877886999999</v>
      </c>
      <c r="O366">
        <f t="shared" si="125"/>
        <v>2010.462068774</v>
      </c>
      <c r="P366">
        <f t="shared" si="125"/>
        <v>48.1</v>
      </c>
      <c r="Q366">
        <f t="shared" si="125"/>
        <v>0</v>
      </c>
    </row>
    <row r="367" spans="1:17" x14ac:dyDescent="0.2">
      <c r="A367" s="5" t="s">
        <v>2668</v>
      </c>
      <c r="B367" t="s">
        <v>2674</v>
      </c>
      <c r="C367" s="82">
        <f t="shared" si="124"/>
        <v>4095.6492016890002</v>
      </c>
      <c r="D367">
        <f>proc_meter_size</f>
        <v>2</v>
      </c>
      <c r="E367" t="s">
        <v>2670</v>
      </c>
      <c r="F367">
        <f t="shared" si="125"/>
        <v>0</v>
      </c>
      <c r="G367">
        <f t="shared" si="125"/>
        <v>0</v>
      </c>
      <c r="H367">
        <f t="shared" si="125"/>
        <v>0</v>
      </c>
      <c r="I367">
        <f t="shared" si="125"/>
        <v>0</v>
      </c>
      <c r="J367">
        <f t="shared" si="125"/>
        <v>0</v>
      </c>
      <c r="K367">
        <f t="shared" si="125"/>
        <v>0</v>
      </c>
      <c r="L367">
        <f t="shared" si="125"/>
        <v>8.7416773000000003E-2</v>
      </c>
      <c r="M367">
        <f t="shared" si="125"/>
        <v>3.727367106</v>
      </c>
      <c r="N367">
        <f t="shared" si="125"/>
        <v>488.19409208000002</v>
      </c>
      <c r="O367">
        <f t="shared" si="125"/>
        <v>3103.652214921</v>
      </c>
      <c r="P367">
        <f t="shared" si="125"/>
        <v>36.1</v>
      </c>
      <c r="Q367">
        <f t="shared" si="125"/>
        <v>0</v>
      </c>
    </row>
    <row r="368" spans="1:17" x14ac:dyDescent="0.2">
      <c r="A368" s="86" t="s">
        <v>2675</v>
      </c>
      <c r="C368" s="10"/>
    </row>
    <row r="369" spans="1:17" x14ac:dyDescent="0.2">
      <c r="A369" s="5" t="s">
        <v>2661</v>
      </c>
      <c r="B369" t="s">
        <v>3141</v>
      </c>
      <c r="C369" s="82">
        <f t="shared" ref="C369:C372" si="126">IF(OR(D369&gt;P369,D369&lt;=Q369),"contact vendor",F369*D369^G369+H369*LN(D369)+I369+J369*EXP(K369*D369)+L369*D369^3+M369*D369^2+N369*D369+O369)</f>
        <v>2640.9899335509999</v>
      </c>
      <c r="D369">
        <f>back_meter_size</f>
        <v>4</v>
      </c>
      <c r="E369" t="s">
        <v>3180</v>
      </c>
      <c r="F369">
        <f t="shared" ref="F369:Q372" si="127">VLOOKUP($E369,eq_table_cl,F$4,FALSE)</f>
        <v>0</v>
      </c>
      <c r="G369">
        <f t="shared" si="127"/>
        <v>0</v>
      </c>
      <c r="H369">
        <f t="shared" si="127"/>
        <v>0</v>
      </c>
      <c r="I369">
        <f t="shared" si="127"/>
        <v>0</v>
      </c>
      <c r="J369">
        <f t="shared" si="127"/>
        <v>0</v>
      </c>
      <c r="K369">
        <f t="shared" si="127"/>
        <v>0</v>
      </c>
      <c r="L369">
        <f t="shared" si="127"/>
        <v>0.290528801</v>
      </c>
      <c r="M369">
        <f t="shared" si="127"/>
        <v>-20.141018838000001</v>
      </c>
      <c r="N369">
        <f t="shared" si="127"/>
        <v>567.62280550399998</v>
      </c>
      <c r="O369">
        <f t="shared" si="127"/>
        <v>674.16116967899995</v>
      </c>
      <c r="P369">
        <f t="shared" si="127"/>
        <v>60.1</v>
      </c>
      <c r="Q369">
        <f t="shared" si="127"/>
        <v>0</v>
      </c>
    </row>
    <row r="370" spans="1:17" x14ac:dyDescent="0.2">
      <c r="A370" s="5" t="s">
        <v>2662</v>
      </c>
      <c r="B370" t="s">
        <v>2676</v>
      </c>
      <c r="C370" s="82">
        <f t="shared" si="126"/>
        <v>3600.3763511109996</v>
      </c>
      <c r="D370">
        <f>back_meter_size</f>
        <v>4</v>
      </c>
      <c r="E370" t="s">
        <v>2664</v>
      </c>
      <c r="F370">
        <f t="shared" si="127"/>
        <v>0</v>
      </c>
      <c r="G370">
        <f t="shared" si="127"/>
        <v>0</v>
      </c>
      <c r="H370">
        <f t="shared" si="127"/>
        <v>0</v>
      </c>
      <c r="I370">
        <f t="shared" si="127"/>
        <v>0</v>
      </c>
      <c r="J370">
        <f t="shared" si="127"/>
        <v>0</v>
      </c>
      <c r="K370">
        <f t="shared" si="127"/>
        <v>0</v>
      </c>
      <c r="L370">
        <f t="shared" si="127"/>
        <v>0.48667437299999999</v>
      </c>
      <c r="M370">
        <f t="shared" si="127"/>
        <v>-19.177375645000001</v>
      </c>
      <c r="N370">
        <f t="shared" si="127"/>
        <v>593.88035160699997</v>
      </c>
      <c r="O370">
        <f t="shared" si="127"/>
        <v>1500.545795131</v>
      </c>
      <c r="P370">
        <f t="shared" si="127"/>
        <v>36.1</v>
      </c>
      <c r="Q370">
        <f t="shared" si="127"/>
        <v>0</v>
      </c>
    </row>
    <row r="371" spans="1:17" x14ac:dyDescent="0.2">
      <c r="A371" s="5" t="s">
        <v>2665</v>
      </c>
      <c r="B371" t="s">
        <v>2677</v>
      </c>
      <c r="C371" s="82">
        <f t="shared" si="126"/>
        <v>2664.4617081420001</v>
      </c>
      <c r="D371">
        <f>back_meter_size</f>
        <v>4</v>
      </c>
      <c r="E371" t="s">
        <v>2667</v>
      </c>
      <c r="F371">
        <f t="shared" si="127"/>
        <v>0</v>
      </c>
      <c r="G371">
        <f t="shared" si="127"/>
        <v>0</v>
      </c>
      <c r="H371">
        <f t="shared" si="127"/>
        <v>0</v>
      </c>
      <c r="I371">
        <f t="shared" si="127"/>
        <v>0</v>
      </c>
      <c r="J371">
        <f t="shared" si="127"/>
        <v>0</v>
      </c>
      <c r="K371">
        <f t="shared" si="127"/>
        <v>0</v>
      </c>
      <c r="L371">
        <f t="shared" si="127"/>
        <v>-8.9659137E-2</v>
      </c>
      <c r="M371">
        <f t="shared" si="127"/>
        <v>7.3814192910000003</v>
      </c>
      <c r="N371">
        <f t="shared" si="127"/>
        <v>135.40877886999999</v>
      </c>
      <c r="O371">
        <f t="shared" si="127"/>
        <v>2010.462068774</v>
      </c>
      <c r="P371">
        <f t="shared" si="127"/>
        <v>48.1</v>
      </c>
      <c r="Q371">
        <f t="shared" si="127"/>
        <v>0</v>
      </c>
    </row>
    <row r="372" spans="1:17" x14ac:dyDescent="0.2">
      <c r="A372" s="5" t="s">
        <v>2668</v>
      </c>
      <c r="B372" t="s">
        <v>2678</v>
      </c>
      <c r="C372" s="82">
        <f t="shared" si="126"/>
        <v>5121.6611304090002</v>
      </c>
      <c r="D372">
        <f>back_meter_size</f>
        <v>4</v>
      </c>
      <c r="E372" t="s">
        <v>2670</v>
      </c>
      <c r="F372">
        <f t="shared" si="127"/>
        <v>0</v>
      </c>
      <c r="G372">
        <f t="shared" si="127"/>
        <v>0</v>
      </c>
      <c r="H372">
        <f t="shared" si="127"/>
        <v>0</v>
      </c>
      <c r="I372">
        <f t="shared" si="127"/>
        <v>0</v>
      </c>
      <c r="J372">
        <f t="shared" si="127"/>
        <v>0</v>
      </c>
      <c r="K372">
        <f t="shared" si="127"/>
        <v>0</v>
      </c>
      <c r="L372">
        <f t="shared" si="127"/>
        <v>8.7416773000000003E-2</v>
      </c>
      <c r="M372">
        <f t="shared" si="127"/>
        <v>3.727367106</v>
      </c>
      <c r="N372">
        <f t="shared" si="127"/>
        <v>488.19409208000002</v>
      </c>
      <c r="O372">
        <f t="shared" si="127"/>
        <v>3103.652214921</v>
      </c>
      <c r="P372">
        <f t="shared" si="127"/>
        <v>36.1</v>
      </c>
      <c r="Q372">
        <f t="shared" si="127"/>
        <v>0</v>
      </c>
    </row>
    <row r="373" spans="1:17" x14ac:dyDescent="0.2">
      <c r="A373" s="86" t="s">
        <v>2679</v>
      </c>
    </row>
    <row r="374" spans="1:17" x14ac:dyDescent="0.2">
      <c r="A374" s="5" t="s">
        <v>2661</v>
      </c>
      <c r="B374" t="s">
        <v>1771</v>
      </c>
      <c r="C374" s="82">
        <f t="shared" ref="C374:C377" si="128">IF(OR(D374&gt;P374,D374&lt;=Q374),"contact vendor",F374*D374^G374+H374*LN(D374)+I374+J374*EXP(K374*D374)+L374*D374^3+M374*D374^2+N374*D374+O374)</f>
        <v>1221.9334851459998</v>
      </c>
      <c r="D374">
        <f>res_meter_size</f>
        <v>1</v>
      </c>
      <c r="E374" t="s">
        <v>3180</v>
      </c>
      <c r="F374">
        <f t="shared" ref="F374:Q377" si="129">VLOOKUP($E374,eq_table_cl,F$4,FALSE)</f>
        <v>0</v>
      </c>
      <c r="G374">
        <f t="shared" si="129"/>
        <v>0</v>
      </c>
      <c r="H374">
        <f t="shared" si="129"/>
        <v>0</v>
      </c>
      <c r="I374">
        <f t="shared" si="129"/>
        <v>0</v>
      </c>
      <c r="J374">
        <f t="shared" si="129"/>
        <v>0</v>
      </c>
      <c r="K374">
        <f t="shared" si="129"/>
        <v>0</v>
      </c>
      <c r="L374">
        <f t="shared" si="129"/>
        <v>0.290528801</v>
      </c>
      <c r="M374">
        <f t="shared" si="129"/>
        <v>-20.141018838000001</v>
      </c>
      <c r="N374">
        <f t="shared" si="129"/>
        <v>567.62280550399998</v>
      </c>
      <c r="O374">
        <f t="shared" si="129"/>
        <v>674.16116967899995</v>
      </c>
      <c r="P374">
        <f t="shared" si="129"/>
        <v>60.1</v>
      </c>
      <c r="Q374">
        <f t="shared" si="129"/>
        <v>0</v>
      </c>
    </row>
    <row r="375" spans="1:17" x14ac:dyDescent="0.2">
      <c r="A375" s="5" t="s">
        <v>2662</v>
      </c>
      <c r="B375" t="s">
        <v>2680</v>
      </c>
      <c r="C375" s="82">
        <f t="shared" si="128"/>
        <v>2075.7354454659999</v>
      </c>
      <c r="D375">
        <f>res_meter_size</f>
        <v>1</v>
      </c>
      <c r="E375" t="s">
        <v>2664</v>
      </c>
      <c r="F375">
        <f t="shared" si="129"/>
        <v>0</v>
      </c>
      <c r="G375">
        <f t="shared" si="129"/>
        <v>0</v>
      </c>
      <c r="H375">
        <f t="shared" si="129"/>
        <v>0</v>
      </c>
      <c r="I375">
        <f t="shared" si="129"/>
        <v>0</v>
      </c>
      <c r="J375">
        <f t="shared" si="129"/>
        <v>0</v>
      </c>
      <c r="K375">
        <f t="shared" si="129"/>
        <v>0</v>
      </c>
      <c r="L375">
        <f t="shared" si="129"/>
        <v>0.48667437299999999</v>
      </c>
      <c r="M375">
        <f t="shared" si="129"/>
        <v>-19.177375645000001</v>
      </c>
      <c r="N375">
        <f t="shared" si="129"/>
        <v>593.88035160699997</v>
      </c>
      <c r="O375">
        <f t="shared" si="129"/>
        <v>1500.545795131</v>
      </c>
      <c r="P375">
        <f t="shared" si="129"/>
        <v>36.1</v>
      </c>
      <c r="Q375">
        <f t="shared" si="129"/>
        <v>0</v>
      </c>
    </row>
    <row r="376" spans="1:17" x14ac:dyDescent="0.2">
      <c r="A376" s="5" t="s">
        <v>2665</v>
      </c>
      <c r="B376" t="s">
        <v>2681</v>
      </c>
      <c r="C376" s="82">
        <f t="shared" si="128"/>
        <v>2153.162607798</v>
      </c>
      <c r="D376">
        <f>res_meter_size</f>
        <v>1</v>
      </c>
      <c r="E376" t="s">
        <v>2667</v>
      </c>
      <c r="F376">
        <f t="shared" si="129"/>
        <v>0</v>
      </c>
      <c r="G376">
        <f t="shared" si="129"/>
        <v>0</v>
      </c>
      <c r="H376">
        <f t="shared" si="129"/>
        <v>0</v>
      </c>
      <c r="I376">
        <f t="shared" si="129"/>
        <v>0</v>
      </c>
      <c r="J376">
        <f t="shared" si="129"/>
        <v>0</v>
      </c>
      <c r="K376">
        <f t="shared" si="129"/>
        <v>0</v>
      </c>
      <c r="L376">
        <f t="shared" si="129"/>
        <v>-8.9659137E-2</v>
      </c>
      <c r="M376">
        <f t="shared" si="129"/>
        <v>7.3814192910000003</v>
      </c>
      <c r="N376">
        <f t="shared" si="129"/>
        <v>135.40877886999999</v>
      </c>
      <c r="O376">
        <f t="shared" si="129"/>
        <v>2010.462068774</v>
      </c>
      <c r="P376">
        <f t="shared" si="129"/>
        <v>48.1</v>
      </c>
      <c r="Q376">
        <f t="shared" si="129"/>
        <v>0</v>
      </c>
    </row>
    <row r="377" spans="1:17" x14ac:dyDescent="0.2">
      <c r="A377" s="5" t="s">
        <v>2668</v>
      </c>
      <c r="B377" t="s">
        <v>2682</v>
      </c>
      <c r="C377" s="82">
        <f t="shared" si="128"/>
        <v>3595.6610908799998</v>
      </c>
      <c r="D377">
        <f>res_meter_size</f>
        <v>1</v>
      </c>
      <c r="E377" t="s">
        <v>2670</v>
      </c>
      <c r="F377">
        <f t="shared" si="129"/>
        <v>0</v>
      </c>
      <c r="G377">
        <f t="shared" si="129"/>
        <v>0</v>
      </c>
      <c r="H377">
        <f t="shared" si="129"/>
        <v>0</v>
      </c>
      <c r="I377">
        <f t="shared" si="129"/>
        <v>0</v>
      </c>
      <c r="J377">
        <f t="shared" si="129"/>
        <v>0</v>
      </c>
      <c r="K377">
        <f t="shared" si="129"/>
        <v>0</v>
      </c>
      <c r="L377">
        <f t="shared" si="129"/>
        <v>8.7416773000000003E-2</v>
      </c>
      <c r="M377">
        <f t="shared" si="129"/>
        <v>3.727367106</v>
      </c>
      <c r="N377">
        <f t="shared" si="129"/>
        <v>488.19409208000002</v>
      </c>
      <c r="O377">
        <f t="shared" si="129"/>
        <v>3103.652214921</v>
      </c>
      <c r="P377">
        <f t="shared" si="129"/>
        <v>36.1</v>
      </c>
      <c r="Q377">
        <f t="shared" si="129"/>
        <v>0</v>
      </c>
    </row>
    <row r="378" spans="1:17" x14ac:dyDescent="0.2">
      <c r="A378" s="18" t="s">
        <v>762</v>
      </c>
      <c r="C378" s="10"/>
    </row>
    <row r="379" spans="1:17" x14ac:dyDescent="0.2">
      <c r="A379" s="86" t="s">
        <v>760</v>
      </c>
      <c r="C379" s="10"/>
    </row>
    <row r="380" spans="1:17" x14ac:dyDescent="0.2">
      <c r="A380" s="87" t="s">
        <v>651</v>
      </c>
      <c r="B380" t="s">
        <v>2629</v>
      </c>
      <c r="C380" s="10"/>
    </row>
    <row r="381" spans="1:17" x14ac:dyDescent="0.2">
      <c r="A381" s="5" t="s">
        <v>1292</v>
      </c>
      <c r="B381" t="s">
        <v>790</v>
      </c>
      <c r="C381" s="82" t="str">
        <f t="shared" ref="C381:C384" si="130">IF(OR(D381&gt;P381,D381&lt;=Q381),"contact vendor",F381*D381^G381+H381*LN(D381)+I381+J381*EXP(K381*D381)+L381*D381^3+M381*D381^2+N381*D381+O381)</f>
        <v>contact vendor</v>
      </c>
      <c r="D381">
        <f>thick_tank_volume</f>
        <v>0</v>
      </c>
      <c r="E381" t="s">
        <v>2630</v>
      </c>
      <c r="F381">
        <f t="shared" ref="F381:Q381" si="131">VLOOKUP($E381,eq_table_cl,F$4,FALSE)</f>
        <v>308.93713092600001</v>
      </c>
      <c r="G381">
        <f t="shared" si="131"/>
        <v>0.50146757099999995</v>
      </c>
      <c r="H381">
        <f t="shared" si="131"/>
        <v>0</v>
      </c>
      <c r="I381">
        <f t="shared" si="131"/>
        <v>0</v>
      </c>
      <c r="J381">
        <f t="shared" si="131"/>
        <v>0</v>
      </c>
      <c r="K381">
        <f t="shared" si="131"/>
        <v>0</v>
      </c>
      <c r="L381">
        <f t="shared" si="131"/>
        <v>0</v>
      </c>
      <c r="M381">
        <f t="shared" si="131"/>
        <v>0</v>
      </c>
      <c r="N381">
        <f t="shared" si="131"/>
        <v>0</v>
      </c>
      <c r="O381">
        <f t="shared" si="131"/>
        <v>0</v>
      </c>
      <c r="P381">
        <f t="shared" si="131"/>
        <v>289001</v>
      </c>
      <c r="Q381">
        <f t="shared" si="131"/>
        <v>0</v>
      </c>
    </row>
    <row r="382" spans="1:17" x14ac:dyDescent="0.2">
      <c r="A382" s="5" t="s">
        <v>772</v>
      </c>
      <c r="B382" t="s">
        <v>2629</v>
      </c>
      <c r="C382" s="82"/>
    </row>
    <row r="383" spans="1:17" x14ac:dyDescent="0.2">
      <c r="A383" s="685" t="s">
        <v>727</v>
      </c>
      <c r="C383" s="82"/>
    </row>
    <row r="384" spans="1:17" x14ac:dyDescent="0.2">
      <c r="A384" s="5" t="s">
        <v>677</v>
      </c>
      <c r="B384" t="s">
        <v>791</v>
      </c>
      <c r="C384" s="82" t="str">
        <f t="shared" si="130"/>
        <v>contact vendor</v>
      </c>
      <c r="D384">
        <f>belt_press_size</f>
        <v>0</v>
      </c>
      <c r="E384" t="s">
        <v>791</v>
      </c>
      <c r="F384">
        <f t="shared" ref="F384:Q384" si="132">VLOOKUP($E384,eq_table_cl,F$4,FALSE)</f>
        <v>0</v>
      </c>
      <c r="G384">
        <f t="shared" si="132"/>
        <v>0</v>
      </c>
      <c r="H384">
        <f t="shared" si="132"/>
        <v>0</v>
      </c>
      <c r="I384">
        <f t="shared" si="132"/>
        <v>0</v>
      </c>
      <c r="J384">
        <f t="shared" si="132"/>
        <v>0</v>
      </c>
      <c r="K384">
        <f t="shared" si="132"/>
        <v>0</v>
      </c>
      <c r="L384">
        <f t="shared" si="132"/>
        <v>0</v>
      </c>
      <c r="M384">
        <f t="shared" si="132"/>
        <v>0</v>
      </c>
      <c r="N384">
        <f t="shared" si="132"/>
        <v>121547.574387607</v>
      </c>
      <c r="O384">
        <f t="shared" si="132"/>
        <v>34130.141015863002</v>
      </c>
      <c r="P384">
        <f t="shared" si="132"/>
        <v>3.1</v>
      </c>
      <c r="Q384">
        <f t="shared" si="132"/>
        <v>0</v>
      </c>
    </row>
    <row r="385" spans="1:17" x14ac:dyDescent="0.2">
      <c r="A385" s="5"/>
      <c r="C385" s="10"/>
    </row>
    <row r="386" spans="1:17" x14ac:dyDescent="0.2">
      <c r="A386" s="18" t="s">
        <v>3761</v>
      </c>
      <c r="C386" s="10"/>
    </row>
    <row r="387" spans="1:17" x14ac:dyDescent="0.2">
      <c r="A387" s="44" t="s">
        <v>2778</v>
      </c>
      <c r="B387" s="5" t="s">
        <v>3763</v>
      </c>
      <c r="C387" s="82">
        <f t="shared" ref="C387:C388" si="133">IF(OR(D387&gt;P387,D387&lt;=Q387),"contact vendor",F387*D387^G387+H387*LN(D387)+I387+J387*EXP(K387*D387)+L387*D387^3+M387*D387^2+N387*D387+O387)</f>
        <v>2.096676479329342</v>
      </c>
      <c r="D387">
        <f>IF(media_loss&gt;P387,P387,media_loss)</f>
        <v>418.46014145816048</v>
      </c>
      <c r="E387" t="s">
        <v>3760</v>
      </c>
      <c r="F387">
        <f t="shared" ref="F387:Q388" si="134">VLOOKUP($E387,eq_table_cl,F$4,FALSE)</f>
        <v>0</v>
      </c>
      <c r="G387">
        <f t="shared" si="134"/>
        <v>0</v>
      </c>
      <c r="H387">
        <f t="shared" si="134"/>
        <v>0</v>
      </c>
      <c r="I387">
        <f t="shared" si="134"/>
        <v>0</v>
      </c>
      <c r="J387">
        <f t="shared" si="134"/>
        <v>2.101628083</v>
      </c>
      <c r="K387">
        <f t="shared" si="134"/>
        <v>-5.6370000000000004E-6</v>
      </c>
      <c r="L387">
        <f t="shared" si="134"/>
        <v>0</v>
      </c>
      <c r="M387">
        <f t="shared" si="134"/>
        <v>0</v>
      </c>
      <c r="N387">
        <f t="shared" si="134"/>
        <v>0</v>
      </c>
      <c r="O387">
        <f t="shared" si="134"/>
        <v>0</v>
      </c>
      <c r="P387">
        <f t="shared" si="134"/>
        <v>40000</v>
      </c>
      <c r="Q387">
        <f t="shared" si="134"/>
        <v>0</v>
      </c>
    </row>
    <row r="388" spans="1:17" x14ac:dyDescent="0.2">
      <c r="A388" s="44" t="s">
        <v>3762</v>
      </c>
      <c r="B388" s="5" t="s">
        <v>3764</v>
      </c>
      <c r="C388" s="82" t="str">
        <f t="shared" si="133"/>
        <v>contact vendor</v>
      </c>
      <c r="D388">
        <f>IF(filter_media_loss&gt;P388,P388,filter_media_loss)</f>
        <v>0</v>
      </c>
      <c r="E388" t="s">
        <v>3760</v>
      </c>
      <c r="F388">
        <f t="shared" si="134"/>
        <v>0</v>
      </c>
      <c r="G388">
        <f t="shared" si="134"/>
        <v>0</v>
      </c>
      <c r="H388">
        <f t="shared" si="134"/>
        <v>0</v>
      </c>
      <c r="I388">
        <f t="shared" si="134"/>
        <v>0</v>
      </c>
      <c r="J388">
        <f t="shared" si="134"/>
        <v>2.101628083</v>
      </c>
      <c r="K388">
        <f t="shared" si="134"/>
        <v>-5.6370000000000004E-6</v>
      </c>
      <c r="L388">
        <f t="shared" si="134"/>
        <v>0</v>
      </c>
      <c r="M388">
        <f t="shared" si="134"/>
        <v>0</v>
      </c>
      <c r="N388">
        <f t="shared" si="134"/>
        <v>0</v>
      </c>
      <c r="O388">
        <f t="shared" si="134"/>
        <v>0</v>
      </c>
      <c r="P388">
        <f t="shared" si="134"/>
        <v>40000</v>
      </c>
      <c r="Q388">
        <f t="shared" si="134"/>
        <v>0</v>
      </c>
    </row>
    <row r="389" spans="1:17" x14ac:dyDescent="0.2">
      <c r="A389" s="5"/>
      <c r="C389" s="10"/>
    </row>
    <row r="390" spans="1:17" x14ac:dyDescent="0.2">
      <c r="A390" s="18" t="s">
        <v>1089</v>
      </c>
      <c r="C390" s="622" t="str">
        <f t="shared" ref="C390:C415" si="135">IF(LEN($E390)=0,"",IF(OR(D390&gt;P390,D390&lt;Q390),"contact vendor",F390*D390^G390+H390*LN(D390)+I390+J390*EXP(K390*D390)+L390*D390^3+M390*D390^2+N390*D390+O390))</f>
        <v/>
      </c>
      <c r="F390" t="str">
        <f t="shared" ref="F390:Q391" si="136">IF(LEN($E390)=0,"",VLOOKUP($E390,eq_table_cl,F$8,FALSE))</f>
        <v/>
      </c>
      <c r="G390" t="str">
        <f t="shared" si="136"/>
        <v/>
      </c>
      <c r="H390" t="str">
        <f t="shared" si="136"/>
        <v/>
      </c>
      <c r="I390" t="str">
        <f t="shared" si="136"/>
        <v/>
      </c>
      <c r="J390" t="str">
        <f t="shared" si="136"/>
        <v/>
      </c>
      <c r="K390" t="str">
        <f t="shared" si="136"/>
        <v/>
      </c>
      <c r="L390" t="str">
        <f t="shared" si="136"/>
        <v/>
      </c>
      <c r="M390" t="str">
        <f t="shared" si="136"/>
        <v/>
      </c>
      <c r="N390" t="str">
        <f t="shared" si="136"/>
        <v/>
      </c>
      <c r="O390" t="str">
        <f t="shared" si="136"/>
        <v/>
      </c>
      <c r="P390" t="str">
        <f t="shared" si="136"/>
        <v/>
      </c>
      <c r="Q390" t="str">
        <f t="shared" si="136"/>
        <v/>
      </c>
    </row>
    <row r="391" spans="1:17" x14ac:dyDescent="0.2">
      <c r="A391" s="86" t="s">
        <v>3652</v>
      </c>
      <c r="C391" s="622" t="str">
        <f t="shared" si="135"/>
        <v/>
      </c>
      <c r="F391" t="str">
        <f t="shared" si="136"/>
        <v/>
      </c>
      <c r="G391" t="str">
        <f t="shared" si="136"/>
        <v/>
      </c>
      <c r="H391" t="str">
        <f t="shared" si="136"/>
        <v/>
      </c>
      <c r="I391" t="str">
        <f t="shared" si="136"/>
        <v/>
      </c>
      <c r="J391" t="str">
        <f t="shared" si="136"/>
        <v/>
      </c>
      <c r="K391" t="str">
        <f t="shared" si="136"/>
        <v/>
      </c>
      <c r="L391" t="str">
        <f t="shared" si="136"/>
        <v/>
      </c>
      <c r="M391" t="str">
        <f t="shared" si="136"/>
        <v/>
      </c>
      <c r="N391" t="str">
        <f t="shared" si="136"/>
        <v/>
      </c>
      <c r="O391" t="str">
        <f t="shared" si="136"/>
        <v/>
      </c>
      <c r="P391" t="str">
        <f t="shared" si="136"/>
        <v/>
      </c>
      <c r="Q391" t="str">
        <f t="shared" si="136"/>
        <v/>
      </c>
    </row>
    <row r="392" spans="1:17" x14ac:dyDescent="0.2">
      <c r="A392" t="s">
        <v>1090</v>
      </c>
      <c r="B392" t="s">
        <v>1091</v>
      </c>
      <c r="C392" s="622">
        <f t="shared" si="135"/>
        <v>91.517881062029574</v>
      </c>
      <c r="D392">
        <f>build1_fp</f>
        <v>450</v>
      </c>
      <c r="E392" t="s">
        <v>1092</v>
      </c>
      <c r="F392">
        <f t="shared" ref="F392:Q394" si="137">VLOOKUP($E392,eq_table_cl,F$4,FALSE)</f>
        <v>163.72087260199999</v>
      </c>
      <c r="G392">
        <f t="shared" si="137"/>
        <v>-9.5204622000000003E-2</v>
      </c>
      <c r="H392">
        <f t="shared" si="137"/>
        <v>0</v>
      </c>
      <c r="I392">
        <f t="shared" si="137"/>
        <v>0</v>
      </c>
      <c r="J392">
        <f t="shared" si="137"/>
        <v>0</v>
      </c>
      <c r="K392">
        <f t="shared" si="137"/>
        <v>0</v>
      </c>
      <c r="L392">
        <f t="shared" si="137"/>
        <v>0</v>
      </c>
      <c r="M392">
        <f t="shared" si="137"/>
        <v>0</v>
      </c>
      <c r="N392">
        <f t="shared" si="137"/>
        <v>0</v>
      </c>
      <c r="O392">
        <f t="shared" si="137"/>
        <v>0</v>
      </c>
      <c r="P392">
        <f t="shared" si="137"/>
        <v>200000.1</v>
      </c>
      <c r="Q392">
        <f t="shared" si="137"/>
        <v>0</v>
      </c>
    </row>
    <row r="393" spans="1:17" x14ac:dyDescent="0.2">
      <c r="A393" t="s">
        <v>1093</v>
      </c>
      <c r="B393" t="s">
        <v>1094</v>
      </c>
      <c r="C393" s="622">
        <f t="shared" si="135"/>
        <v>109.99011882243035</v>
      </c>
      <c r="D393">
        <f>build1_fp</f>
        <v>450</v>
      </c>
      <c r="E393" t="s">
        <v>1095</v>
      </c>
      <c r="F393">
        <f t="shared" si="137"/>
        <v>198.02119383900001</v>
      </c>
      <c r="G393">
        <f t="shared" si="137"/>
        <v>-9.6244836E-2</v>
      </c>
      <c r="H393">
        <f t="shared" si="137"/>
        <v>0</v>
      </c>
      <c r="I393">
        <f t="shared" si="137"/>
        <v>0</v>
      </c>
      <c r="J393">
        <f t="shared" si="137"/>
        <v>0</v>
      </c>
      <c r="K393">
        <f t="shared" si="137"/>
        <v>0</v>
      </c>
      <c r="L393">
        <f t="shared" si="137"/>
        <v>0</v>
      </c>
      <c r="M393">
        <f t="shared" si="137"/>
        <v>0</v>
      </c>
      <c r="N393">
        <f t="shared" si="137"/>
        <v>0</v>
      </c>
      <c r="O393">
        <f t="shared" si="137"/>
        <v>0</v>
      </c>
      <c r="P393">
        <f t="shared" si="137"/>
        <v>200000.1</v>
      </c>
      <c r="Q393">
        <f t="shared" si="137"/>
        <v>0</v>
      </c>
    </row>
    <row r="394" spans="1:17" x14ac:dyDescent="0.2">
      <c r="A394" t="s">
        <v>1096</v>
      </c>
      <c r="B394" t="s">
        <v>1097</v>
      </c>
      <c r="C394" s="622">
        <f t="shared" si="135"/>
        <v>164.14609671117458</v>
      </c>
      <c r="D394">
        <f>build1_fp</f>
        <v>450</v>
      </c>
      <c r="E394" t="s">
        <v>1098</v>
      </c>
      <c r="F394">
        <f t="shared" si="137"/>
        <v>378.41221851</v>
      </c>
      <c r="G394">
        <f t="shared" si="137"/>
        <v>-0.13671524199999999</v>
      </c>
      <c r="H394">
        <f t="shared" si="137"/>
        <v>0</v>
      </c>
      <c r="I394">
        <f t="shared" si="137"/>
        <v>0</v>
      </c>
      <c r="J394">
        <f t="shared" si="137"/>
        <v>0</v>
      </c>
      <c r="K394">
        <f t="shared" si="137"/>
        <v>0</v>
      </c>
      <c r="L394">
        <f t="shared" si="137"/>
        <v>0</v>
      </c>
      <c r="M394">
        <f t="shared" si="137"/>
        <v>0</v>
      </c>
      <c r="N394">
        <f t="shared" si="137"/>
        <v>0</v>
      </c>
      <c r="O394">
        <f t="shared" si="137"/>
        <v>0</v>
      </c>
      <c r="P394">
        <f t="shared" si="137"/>
        <v>200000.1</v>
      </c>
      <c r="Q394">
        <f t="shared" si="137"/>
        <v>0</v>
      </c>
    </row>
    <row r="395" spans="1:17" x14ac:dyDescent="0.2">
      <c r="A395" s="86" t="s">
        <v>1099</v>
      </c>
      <c r="C395" s="622" t="str">
        <f t="shared" si="135"/>
        <v/>
      </c>
      <c r="F395" t="str">
        <f t="shared" ref="F395:Q395" si="138">IF(LEN($E395)=0,"",VLOOKUP($E395,eq_table_cl,F$8,FALSE))</f>
        <v/>
      </c>
      <c r="G395" t="str">
        <f t="shared" si="138"/>
        <v/>
      </c>
      <c r="H395" t="str">
        <f t="shared" si="138"/>
        <v/>
      </c>
      <c r="I395" t="str">
        <f t="shared" si="138"/>
        <v/>
      </c>
      <c r="J395" t="str">
        <f t="shared" si="138"/>
        <v/>
      </c>
      <c r="K395" t="str">
        <f t="shared" si="138"/>
        <v/>
      </c>
      <c r="L395" t="str">
        <f t="shared" si="138"/>
        <v/>
      </c>
      <c r="M395" t="str">
        <f t="shared" si="138"/>
        <v/>
      </c>
      <c r="N395" t="str">
        <f t="shared" si="138"/>
        <v/>
      </c>
      <c r="O395" t="str">
        <f t="shared" si="138"/>
        <v/>
      </c>
      <c r="P395" t="str">
        <f t="shared" si="138"/>
        <v/>
      </c>
      <c r="Q395" t="str">
        <f t="shared" si="138"/>
        <v/>
      </c>
    </row>
    <row r="396" spans="1:17" x14ac:dyDescent="0.2">
      <c r="A396" t="s">
        <v>3629</v>
      </c>
      <c r="B396" t="s">
        <v>1100</v>
      </c>
      <c r="C396" s="622">
        <f t="shared" si="135"/>
        <v>5925.8798363935894</v>
      </c>
      <c r="D396">
        <f>build1_heat_mbh/build1_zones</f>
        <v>8.4758983058301975</v>
      </c>
      <c r="E396" t="s">
        <v>1101</v>
      </c>
      <c r="F396">
        <f t="shared" ref="F396:Q400" si="139">VLOOKUP($E396,eq_table_cl,F$4,FALSE)</f>
        <v>1144.4973268870001</v>
      </c>
      <c r="G396">
        <f t="shared" si="139"/>
        <v>0.76939132899999996</v>
      </c>
      <c r="H396">
        <f t="shared" si="139"/>
        <v>0</v>
      </c>
      <c r="I396">
        <f t="shared" si="139"/>
        <v>0</v>
      </c>
      <c r="J396">
        <f t="shared" si="139"/>
        <v>0</v>
      </c>
      <c r="K396">
        <f t="shared" si="139"/>
        <v>0</v>
      </c>
      <c r="L396">
        <f t="shared" si="139"/>
        <v>0</v>
      </c>
      <c r="M396">
        <f t="shared" si="139"/>
        <v>0</v>
      </c>
      <c r="N396">
        <f t="shared" si="139"/>
        <v>0</v>
      </c>
      <c r="O396">
        <f t="shared" si="139"/>
        <v>0</v>
      </c>
      <c r="P396">
        <f t="shared" si="139"/>
        <v>6148.1</v>
      </c>
      <c r="Q396">
        <f t="shared" si="139"/>
        <v>0</v>
      </c>
    </row>
    <row r="397" spans="1:17" x14ac:dyDescent="0.2">
      <c r="A397" t="s">
        <v>3631</v>
      </c>
      <c r="B397" t="s">
        <v>1102</v>
      </c>
      <c r="C397" s="622">
        <f t="shared" si="135"/>
        <v>4401.8254200690899</v>
      </c>
      <c r="D397">
        <f>build1_heat_mbh/build1_zones</f>
        <v>8.4758983058301975</v>
      </c>
      <c r="E397" t="s">
        <v>1103</v>
      </c>
      <c r="F397">
        <f t="shared" si="139"/>
        <v>884.952743048</v>
      </c>
      <c r="G397">
        <f t="shared" si="139"/>
        <v>0.75061779799999995</v>
      </c>
      <c r="H397">
        <f t="shared" si="139"/>
        <v>0</v>
      </c>
      <c r="I397">
        <f t="shared" si="139"/>
        <v>0</v>
      </c>
      <c r="J397">
        <f t="shared" si="139"/>
        <v>0</v>
      </c>
      <c r="K397">
        <f t="shared" si="139"/>
        <v>0</v>
      </c>
      <c r="L397">
        <f t="shared" si="139"/>
        <v>0</v>
      </c>
      <c r="M397">
        <f t="shared" si="139"/>
        <v>0</v>
      </c>
      <c r="N397">
        <f t="shared" si="139"/>
        <v>0</v>
      </c>
      <c r="O397">
        <f t="shared" si="139"/>
        <v>0</v>
      </c>
      <c r="P397">
        <f t="shared" si="139"/>
        <v>5032.1000000000004</v>
      </c>
      <c r="Q397">
        <f t="shared" si="139"/>
        <v>0</v>
      </c>
    </row>
    <row r="398" spans="1:17" x14ac:dyDescent="0.2">
      <c r="A398" t="s">
        <v>3634</v>
      </c>
      <c r="B398" t="s">
        <v>1104</v>
      </c>
      <c r="C398" s="622">
        <f t="shared" si="135"/>
        <v>4401.8254200690899</v>
      </c>
      <c r="D398">
        <f>build1_heat_mbh/build1_zones</f>
        <v>8.4758983058301975</v>
      </c>
      <c r="E398" t="s">
        <v>1105</v>
      </c>
      <c r="F398">
        <f t="shared" si="139"/>
        <v>884.952743048</v>
      </c>
      <c r="G398">
        <f t="shared" si="139"/>
        <v>0.75061779799999995</v>
      </c>
      <c r="H398">
        <f t="shared" si="139"/>
        <v>0</v>
      </c>
      <c r="I398">
        <f t="shared" si="139"/>
        <v>0</v>
      </c>
      <c r="J398">
        <f t="shared" si="139"/>
        <v>0</v>
      </c>
      <c r="K398">
        <f t="shared" si="139"/>
        <v>0</v>
      </c>
      <c r="L398">
        <f t="shared" si="139"/>
        <v>0</v>
      </c>
      <c r="M398">
        <f t="shared" si="139"/>
        <v>0</v>
      </c>
      <c r="N398">
        <f t="shared" si="139"/>
        <v>0</v>
      </c>
      <c r="O398">
        <f t="shared" si="139"/>
        <v>0</v>
      </c>
      <c r="P398">
        <f t="shared" si="139"/>
        <v>5032.1000000000004</v>
      </c>
      <c r="Q398">
        <f t="shared" si="139"/>
        <v>0</v>
      </c>
    </row>
    <row r="399" spans="1:17" x14ac:dyDescent="0.2">
      <c r="A399" t="s">
        <v>3521</v>
      </c>
      <c r="B399" t="s">
        <v>1106</v>
      </c>
      <c r="C399" s="622">
        <f t="shared" si="135"/>
        <v>5380.6881330483639</v>
      </c>
      <c r="D399">
        <f>build1_heat_mbh/build1_zones</f>
        <v>8.4758983058301975</v>
      </c>
      <c r="E399" t="s">
        <v>1107</v>
      </c>
      <c r="F399">
        <f t="shared" si="139"/>
        <v>1161.335000027</v>
      </c>
      <c r="G399">
        <f t="shared" si="139"/>
        <v>0.71739984700000003</v>
      </c>
      <c r="H399">
        <f t="shared" si="139"/>
        <v>0</v>
      </c>
      <c r="I399">
        <f t="shared" si="139"/>
        <v>0</v>
      </c>
      <c r="J399">
        <f t="shared" si="139"/>
        <v>0</v>
      </c>
      <c r="K399">
        <f t="shared" si="139"/>
        <v>0</v>
      </c>
      <c r="L399">
        <f t="shared" si="139"/>
        <v>0</v>
      </c>
      <c r="M399">
        <f t="shared" si="139"/>
        <v>0</v>
      </c>
      <c r="N399">
        <f t="shared" si="139"/>
        <v>0</v>
      </c>
      <c r="O399">
        <f t="shared" si="139"/>
        <v>0</v>
      </c>
      <c r="P399">
        <f t="shared" si="139"/>
        <v>3350.1</v>
      </c>
      <c r="Q399">
        <f t="shared" si="139"/>
        <v>0</v>
      </c>
    </row>
    <row r="400" spans="1:17" x14ac:dyDescent="0.2">
      <c r="A400" t="s">
        <v>3522</v>
      </c>
      <c r="B400" t="s">
        <v>1108</v>
      </c>
      <c r="C400" s="622">
        <f t="shared" si="135"/>
        <v>5380.6881330483639</v>
      </c>
      <c r="D400">
        <f>build1_heat_mbh/build1_zones</f>
        <v>8.4758983058301975</v>
      </c>
      <c r="E400" t="s">
        <v>1109</v>
      </c>
      <c r="F400">
        <f t="shared" si="139"/>
        <v>1161.335000027</v>
      </c>
      <c r="G400">
        <f t="shared" si="139"/>
        <v>0.71739984700000003</v>
      </c>
      <c r="H400">
        <f t="shared" si="139"/>
        <v>0</v>
      </c>
      <c r="I400">
        <f t="shared" si="139"/>
        <v>0</v>
      </c>
      <c r="J400">
        <f t="shared" si="139"/>
        <v>0</v>
      </c>
      <c r="K400">
        <f t="shared" si="139"/>
        <v>0</v>
      </c>
      <c r="L400">
        <f t="shared" si="139"/>
        <v>0</v>
      </c>
      <c r="M400">
        <f t="shared" si="139"/>
        <v>0</v>
      </c>
      <c r="N400">
        <f t="shared" si="139"/>
        <v>0</v>
      </c>
      <c r="O400">
        <f t="shared" si="139"/>
        <v>0</v>
      </c>
      <c r="P400">
        <f t="shared" si="139"/>
        <v>3350.1</v>
      </c>
      <c r="Q400">
        <f t="shared" si="139"/>
        <v>0</v>
      </c>
    </row>
    <row r="401" spans="1:17" x14ac:dyDescent="0.2">
      <c r="A401" s="86" t="s">
        <v>1110</v>
      </c>
      <c r="C401" s="622" t="str">
        <f t="shared" si="135"/>
        <v/>
      </c>
      <c r="F401" t="str">
        <f t="shared" ref="F401:Q401" si="140">IF(LEN($E401)=0,"",VLOOKUP($E401,eq_table_cl,F$8,FALSE))</f>
        <v/>
      </c>
      <c r="G401" t="str">
        <f t="shared" si="140"/>
        <v/>
      </c>
      <c r="H401" t="str">
        <f t="shared" si="140"/>
        <v/>
      </c>
      <c r="I401" t="str">
        <f t="shared" si="140"/>
        <v/>
      </c>
      <c r="J401" t="str">
        <f t="shared" si="140"/>
        <v/>
      </c>
      <c r="K401" t="str">
        <f t="shared" si="140"/>
        <v/>
      </c>
      <c r="L401" t="str">
        <f t="shared" si="140"/>
        <v/>
      </c>
      <c r="M401" t="str">
        <f t="shared" si="140"/>
        <v/>
      </c>
      <c r="N401" t="str">
        <f t="shared" si="140"/>
        <v/>
      </c>
      <c r="O401" t="str">
        <f t="shared" si="140"/>
        <v/>
      </c>
      <c r="P401" t="str">
        <f t="shared" si="140"/>
        <v/>
      </c>
      <c r="Q401" t="str">
        <f t="shared" si="140"/>
        <v/>
      </c>
    </row>
    <row r="402" spans="1:17" x14ac:dyDescent="0.2">
      <c r="A402" t="s">
        <v>1111</v>
      </c>
      <c r="B402" t="s">
        <v>1112</v>
      </c>
      <c r="C402" s="622">
        <f>IF(LEN($E402)=0,"",IF(OR(D402&gt;P402,D402&lt;Q402),"contact vendor",F402*D402^G402+H402*LN(D402)+I402+J402*EXP(K402*D402)+L402*D402^3+M402*D402^2+N402*D402+O402))</f>
        <v>1164.4012906020453</v>
      </c>
      <c r="D402">
        <f>build1_cooling_tons/build1_zones</f>
        <v>0.50665890629586652</v>
      </c>
      <c r="E402" t="s">
        <v>1113</v>
      </c>
      <c r="F402">
        <f t="shared" ref="F402:Q404" si="141">VLOOKUP($E402,eq_table_cl,F$4,FALSE)</f>
        <v>2490.0166433280001</v>
      </c>
      <c r="G402">
        <f t="shared" si="141"/>
        <v>1.117904172</v>
      </c>
      <c r="H402">
        <f t="shared" si="141"/>
        <v>0</v>
      </c>
      <c r="I402">
        <f t="shared" si="141"/>
        <v>0</v>
      </c>
      <c r="J402">
        <f t="shared" si="141"/>
        <v>0</v>
      </c>
      <c r="K402">
        <f t="shared" si="141"/>
        <v>0</v>
      </c>
      <c r="L402">
        <f t="shared" si="141"/>
        <v>0</v>
      </c>
      <c r="M402">
        <f t="shared" si="141"/>
        <v>0</v>
      </c>
      <c r="N402">
        <f t="shared" si="141"/>
        <v>0</v>
      </c>
      <c r="O402">
        <f t="shared" si="141"/>
        <v>0</v>
      </c>
      <c r="P402">
        <f t="shared" si="141"/>
        <v>113.33</v>
      </c>
      <c r="Q402">
        <f t="shared" si="141"/>
        <v>0</v>
      </c>
    </row>
    <row r="403" spans="1:17" x14ac:dyDescent="0.2">
      <c r="A403" s="694" t="s">
        <v>4494</v>
      </c>
      <c r="B403" s="694" t="s">
        <v>4493</v>
      </c>
      <c r="C403" s="622">
        <f t="shared" si="135"/>
        <v>2499.1240724034501</v>
      </c>
      <c r="D403">
        <f>build1_cooling_tons/build1_zones</f>
        <v>0.50665890629586652</v>
      </c>
      <c r="E403" s="694" t="s">
        <v>4498</v>
      </c>
      <c r="F403">
        <f t="shared" si="141"/>
        <v>3571.6003625200001</v>
      </c>
      <c r="G403">
        <f t="shared" si="141"/>
        <v>0.52517194700000003</v>
      </c>
      <c r="H403">
        <f t="shared" si="141"/>
        <v>0</v>
      </c>
      <c r="I403">
        <f t="shared" si="141"/>
        <v>0</v>
      </c>
      <c r="J403">
        <f t="shared" si="141"/>
        <v>0</v>
      </c>
      <c r="K403">
        <f t="shared" si="141"/>
        <v>0</v>
      </c>
      <c r="L403">
        <f t="shared" si="141"/>
        <v>0</v>
      </c>
      <c r="M403">
        <f t="shared" si="141"/>
        <v>0</v>
      </c>
      <c r="N403">
        <f t="shared" si="141"/>
        <v>0</v>
      </c>
      <c r="O403">
        <f t="shared" si="141"/>
        <v>0</v>
      </c>
      <c r="P403">
        <f t="shared" si="141"/>
        <v>12</v>
      </c>
      <c r="Q403">
        <f t="shared" si="141"/>
        <v>0</v>
      </c>
    </row>
    <row r="404" spans="1:17" x14ac:dyDescent="0.2">
      <c r="A404" s="694" t="s">
        <v>4495</v>
      </c>
      <c r="B404" s="694" t="s">
        <v>4496</v>
      </c>
      <c r="C404" s="622" t="str">
        <f t="shared" ref="C404" si="142">IF(LEN($E404)=0,"",IF(OR(D404&gt;P404,D404&lt;Q404),"contact vendor",F404*D404^G404+H404*LN(D404)+I404+J404*EXP(K404*D404)+L404*D404^3+M404*D404^2+N404*D404+O404))</f>
        <v>contact vendor</v>
      </c>
      <c r="D404">
        <f>build1_cooling_tons/build1_zones</f>
        <v>0.50665890629586652</v>
      </c>
      <c r="E404" s="694" t="s">
        <v>4497</v>
      </c>
      <c r="F404">
        <f t="shared" si="141"/>
        <v>2416.5109401350001</v>
      </c>
      <c r="G404">
        <f t="shared" si="141"/>
        <v>0.81084980699999998</v>
      </c>
      <c r="H404">
        <f t="shared" si="141"/>
        <v>0</v>
      </c>
      <c r="I404">
        <f t="shared" si="141"/>
        <v>0</v>
      </c>
      <c r="J404">
        <f t="shared" si="141"/>
        <v>0</v>
      </c>
      <c r="K404">
        <f t="shared" si="141"/>
        <v>0</v>
      </c>
      <c r="L404">
        <f t="shared" si="141"/>
        <v>0</v>
      </c>
      <c r="M404">
        <f t="shared" si="141"/>
        <v>0</v>
      </c>
      <c r="N404">
        <f t="shared" si="141"/>
        <v>0</v>
      </c>
      <c r="O404">
        <f t="shared" si="141"/>
        <v>0</v>
      </c>
      <c r="P404">
        <f t="shared" si="141"/>
        <v>50.01</v>
      </c>
      <c r="Q404">
        <f t="shared" si="141"/>
        <v>12</v>
      </c>
    </row>
    <row r="405" spans="1:17" x14ac:dyDescent="0.2">
      <c r="A405" s="86" t="s">
        <v>3318</v>
      </c>
      <c r="C405" s="622" t="str">
        <f>IF(LEN($E405)=0,"",IF(OR(D405&gt;P405,D405&lt;Q405),"contact vendor",F405*D405^G405+H405*LN(D405)+I405+J405*EXP(K405*D405)+L405*D405^3+M405*D405^2+N405*D405+O405))</f>
        <v/>
      </c>
      <c r="F405" t="str">
        <f t="shared" ref="F405:Q405" si="143">IF(LEN($E405)=0,"",VLOOKUP($E405,eq_table_cl,F$8,FALSE))</f>
        <v/>
      </c>
      <c r="G405" t="str">
        <f t="shared" si="143"/>
        <v/>
      </c>
      <c r="H405" t="str">
        <f t="shared" si="143"/>
        <v/>
      </c>
      <c r="I405" t="str">
        <f t="shared" si="143"/>
        <v/>
      </c>
      <c r="J405" t="str">
        <f t="shared" si="143"/>
        <v/>
      </c>
      <c r="K405" t="str">
        <f t="shared" si="143"/>
        <v/>
      </c>
      <c r="L405" t="str">
        <f t="shared" si="143"/>
        <v/>
      </c>
      <c r="M405" t="str">
        <f t="shared" si="143"/>
        <v/>
      </c>
      <c r="N405" t="str">
        <f t="shared" si="143"/>
        <v/>
      </c>
      <c r="O405" t="str">
        <f t="shared" si="143"/>
        <v/>
      </c>
      <c r="P405" t="str">
        <f t="shared" si="143"/>
        <v/>
      </c>
      <c r="Q405" t="str">
        <f t="shared" si="143"/>
        <v/>
      </c>
    </row>
    <row r="406" spans="1:17" x14ac:dyDescent="0.2">
      <c r="A406" t="s">
        <v>1090</v>
      </c>
      <c r="B406" t="s">
        <v>1114</v>
      </c>
      <c r="C406" s="82" t="str">
        <f t="shared" ref="C406:C408" si="144">IF(OR(D406&gt;P406,D406&lt;=Q406),"contact vendor",F406*D406^G406+H406*LN(D406)+I406+J406*EXP(K406*D406)+L406*D406^3+M406*D406^2+N406*D406+O406)</f>
        <v>contact vendor</v>
      </c>
      <c r="D406">
        <f>build2_fp</f>
        <v>0</v>
      </c>
      <c r="E406" t="s">
        <v>1092</v>
      </c>
      <c r="F406">
        <f t="shared" ref="F406:Q408" si="145">VLOOKUP($E406,eq_table_cl,F$4,FALSE)</f>
        <v>163.72087260199999</v>
      </c>
      <c r="G406">
        <f t="shared" si="145"/>
        <v>-9.5204622000000003E-2</v>
      </c>
      <c r="H406">
        <f t="shared" si="145"/>
        <v>0</v>
      </c>
      <c r="I406">
        <f t="shared" si="145"/>
        <v>0</v>
      </c>
      <c r="J406">
        <f t="shared" si="145"/>
        <v>0</v>
      </c>
      <c r="K406">
        <f t="shared" si="145"/>
        <v>0</v>
      </c>
      <c r="L406">
        <f t="shared" si="145"/>
        <v>0</v>
      </c>
      <c r="M406">
        <f t="shared" si="145"/>
        <v>0</v>
      </c>
      <c r="N406">
        <f t="shared" si="145"/>
        <v>0</v>
      </c>
      <c r="O406">
        <f t="shared" si="145"/>
        <v>0</v>
      </c>
      <c r="P406">
        <f t="shared" si="145"/>
        <v>200000.1</v>
      </c>
      <c r="Q406">
        <f t="shared" si="145"/>
        <v>0</v>
      </c>
    </row>
    <row r="407" spans="1:17" x14ac:dyDescent="0.2">
      <c r="A407" t="s">
        <v>1093</v>
      </c>
      <c r="B407" t="s">
        <v>1115</v>
      </c>
      <c r="C407" s="82" t="str">
        <f t="shared" si="144"/>
        <v>contact vendor</v>
      </c>
      <c r="D407">
        <f>build2_fp</f>
        <v>0</v>
      </c>
      <c r="E407" t="s">
        <v>1095</v>
      </c>
      <c r="F407">
        <f t="shared" si="145"/>
        <v>198.02119383900001</v>
      </c>
      <c r="G407">
        <f t="shared" si="145"/>
        <v>-9.6244836E-2</v>
      </c>
      <c r="H407">
        <f t="shared" si="145"/>
        <v>0</v>
      </c>
      <c r="I407">
        <f t="shared" si="145"/>
        <v>0</v>
      </c>
      <c r="J407">
        <f t="shared" si="145"/>
        <v>0</v>
      </c>
      <c r="K407">
        <f t="shared" si="145"/>
        <v>0</v>
      </c>
      <c r="L407">
        <f t="shared" si="145"/>
        <v>0</v>
      </c>
      <c r="M407">
        <f t="shared" si="145"/>
        <v>0</v>
      </c>
      <c r="N407">
        <f t="shared" si="145"/>
        <v>0</v>
      </c>
      <c r="O407">
        <f t="shared" si="145"/>
        <v>0</v>
      </c>
      <c r="P407">
        <f t="shared" si="145"/>
        <v>200000.1</v>
      </c>
      <c r="Q407">
        <f t="shared" si="145"/>
        <v>0</v>
      </c>
    </row>
    <row r="408" spans="1:17" x14ac:dyDescent="0.2">
      <c r="A408" t="s">
        <v>1096</v>
      </c>
      <c r="B408" t="s">
        <v>1116</v>
      </c>
      <c r="C408" s="82" t="str">
        <f t="shared" si="144"/>
        <v>contact vendor</v>
      </c>
      <c r="D408">
        <f>build2_fp</f>
        <v>0</v>
      </c>
      <c r="E408" t="s">
        <v>1098</v>
      </c>
      <c r="F408">
        <f t="shared" si="145"/>
        <v>378.41221851</v>
      </c>
      <c r="G408">
        <f t="shared" si="145"/>
        <v>-0.13671524199999999</v>
      </c>
      <c r="H408">
        <f t="shared" si="145"/>
        <v>0</v>
      </c>
      <c r="I408">
        <f t="shared" si="145"/>
        <v>0</v>
      </c>
      <c r="J408">
        <f t="shared" si="145"/>
        <v>0</v>
      </c>
      <c r="K408">
        <f t="shared" si="145"/>
        <v>0</v>
      </c>
      <c r="L408">
        <f t="shared" si="145"/>
        <v>0</v>
      </c>
      <c r="M408">
        <f t="shared" si="145"/>
        <v>0</v>
      </c>
      <c r="N408">
        <f t="shared" si="145"/>
        <v>0</v>
      </c>
      <c r="O408">
        <f t="shared" si="145"/>
        <v>0</v>
      </c>
      <c r="P408">
        <f t="shared" si="145"/>
        <v>200000.1</v>
      </c>
      <c r="Q408">
        <f t="shared" si="145"/>
        <v>0</v>
      </c>
    </row>
    <row r="409" spans="1:17" x14ac:dyDescent="0.2">
      <c r="A409" s="86" t="s">
        <v>1099</v>
      </c>
      <c r="C409" s="622" t="str">
        <f t="shared" si="135"/>
        <v/>
      </c>
    </row>
    <row r="410" spans="1:17" x14ac:dyDescent="0.2">
      <c r="A410" t="s">
        <v>3629</v>
      </c>
      <c r="B410" t="s">
        <v>1117</v>
      </c>
      <c r="C410" s="82" t="str">
        <f t="shared" ref="C410:C417" si="146">IF(OR(D410&gt;P410,D410&lt;=Q410),"contact vendor",F410*D410^G410+H410*LN(D410)+I410+J410*EXP(K410*D410)+L410*D410^3+M410*D410^2+N410*D410+O410)</f>
        <v>contact vendor</v>
      </c>
      <c r="D410">
        <f>IF(build2_zones = 0, 0,build2_heat_mbh/build2_zones)</f>
        <v>0</v>
      </c>
      <c r="E410" t="s">
        <v>1101</v>
      </c>
      <c r="F410">
        <f t="shared" ref="F410:Q414" si="147">VLOOKUP($E410,eq_table_cl,F$4,FALSE)</f>
        <v>1144.4973268870001</v>
      </c>
      <c r="G410">
        <f t="shared" si="147"/>
        <v>0.76939132899999996</v>
      </c>
      <c r="H410">
        <f t="shared" si="147"/>
        <v>0</v>
      </c>
      <c r="I410">
        <f t="shared" si="147"/>
        <v>0</v>
      </c>
      <c r="J410">
        <f t="shared" si="147"/>
        <v>0</v>
      </c>
      <c r="K410">
        <f t="shared" si="147"/>
        <v>0</v>
      </c>
      <c r="L410">
        <f t="shared" si="147"/>
        <v>0</v>
      </c>
      <c r="M410">
        <f t="shared" si="147"/>
        <v>0</v>
      </c>
      <c r="N410">
        <f t="shared" si="147"/>
        <v>0</v>
      </c>
      <c r="O410">
        <f t="shared" si="147"/>
        <v>0</v>
      </c>
      <c r="P410">
        <f t="shared" si="147"/>
        <v>6148.1</v>
      </c>
      <c r="Q410">
        <f t="shared" si="147"/>
        <v>0</v>
      </c>
    </row>
    <row r="411" spans="1:17" x14ac:dyDescent="0.2">
      <c r="A411" t="s">
        <v>3631</v>
      </c>
      <c r="B411" t="s">
        <v>1118</v>
      </c>
      <c r="C411" s="82" t="str">
        <f t="shared" si="146"/>
        <v>contact vendor</v>
      </c>
      <c r="D411">
        <f>IF(build2_zones = 0, 0,build2_heat_mbh/build2_zones)</f>
        <v>0</v>
      </c>
      <c r="E411" t="s">
        <v>1103</v>
      </c>
      <c r="F411">
        <f t="shared" si="147"/>
        <v>884.952743048</v>
      </c>
      <c r="G411">
        <f t="shared" si="147"/>
        <v>0.75061779799999995</v>
      </c>
      <c r="H411">
        <f t="shared" si="147"/>
        <v>0</v>
      </c>
      <c r="I411">
        <f t="shared" si="147"/>
        <v>0</v>
      </c>
      <c r="J411">
        <f t="shared" si="147"/>
        <v>0</v>
      </c>
      <c r="K411">
        <f t="shared" si="147"/>
        <v>0</v>
      </c>
      <c r="L411">
        <f t="shared" si="147"/>
        <v>0</v>
      </c>
      <c r="M411">
        <f t="shared" si="147"/>
        <v>0</v>
      </c>
      <c r="N411">
        <f t="shared" si="147"/>
        <v>0</v>
      </c>
      <c r="O411">
        <f t="shared" si="147"/>
        <v>0</v>
      </c>
      <c r="P411">
        <f t="shared" si="147"/>
        <v>5032.1000000000004</v>
      </c>
      <c r="Q411">
        <f t="shared" si="147"/>
        <v>0</v>
      </c>
    </row>
    <row r="412" spans="1:17" x14ac:dyDescent="0.2">
      <c r="A412" t="s">
        <v>3634</v>
      </c>
      <c r="B412" t="s">
        <v>1119</v>
      </c>
      <c r="C412" s="82" t="str">
        <f t="shared" si="146"/>
        <v>contact vendor</v>
      </c>
      <c r="D412">
        <f>IF(build2_zones = 0, 0,build2_heat_mbh/build2_zones)</f>
        <v>0</v>
      </c>
      <c r="E412" t="s">
        <v>1105</v>
      </c>
      <c r="F412">
        <f t="shared" si="147"/>
        <v>884.952743048</v>
      </c>
      <c r="G412">
        <f t="shared" si="147"/>
        <v>0.75061779799999995</v>
      </c>
      <c r="H412">
        <f t="shared" si="147"/>
        <v>0</v>
      </c>
      <c r="I412">
        <f t="shared" si="147"/>
        <v>0</v>
      </c>
      <c r="J412">
        <f t="shared" si="147"/>
        <v>0</v>
      </c>
      <c r="K412">
        <f t="shared" si="147"/>
        <v>0</v>
      </c>
      <c r="L412">
        <f t="shared" si="147"/>
        <v>0</v>
      </c>
      <c r="M412">
        <f t="shared" si="147"/>
        <v>0</v>
      </c>
      <c r="N412">
        <f t="shared" si="147"/>
        <v>0</v>
      </c>
      <c r="O412">
        <f t="shared" si="147"/>
        <v>0</v>
      </c>
      <c r="P412">
        <f t="shared" si="147"/>
        <v>5032.1000000000004</v>
      </c>
      <c r="Q412">
        <f t="shared" si="147"/>
        <v>0</v>
      </c>
    </row>
    <row r="413" spans="1:17" x14ac:dyDescent="0.2">
      <c r="A413" t="s">
        <v>3521</v>
      </c>
      <c r="B413" t="s">
        <v>1120</v>
      </c>
      <c r="C413" s="82" t="str">
        <f t="shared" si="146"/>
        <v>contact vendor</v>
      </c>
      <c r="D413">
        <f>IF(build2_zones = 0, 0,build2_heat_mbh/build2_zones)</f>
        <v>0</v>
      </c>
      <c r="E413" t="s">
        <v>1107</v>
      </c>
      <c r="F413">
        <f t="shared" si="147"/>
        <v>1161.335000027</v>
      </c>
      <c r="G413">
        <f t="shared" si="147"/>
        <v>0.71739984700000003</v>
      </c>
      <c r="H413">
        <f t="shared" si="147"/>
        <v>0</v>
      </c>
      <c r="I413">
        <f t="shared" si="147"/>
        <v>0</v>
      </c>
      <c r="J413">
        <f t="shared" si="147"/>
        <v>0</v>
      </c>
      <c r="K413">
        <f t="shared" si="147"/>
        <v>0</v>
      </c>
      <c r="L413">
        <f t="shared" si="147"/>
        <v>0</v>
      </c>
      <c r="M413">
        <f t="shared" si="147"/>
        <v>0</v>
      </c>
      <c r="N413">
        <f t="shared" si="147"/>
        <v>0</v>
      </c>
      <c r="O413">
        <f t="shared" si="147"/>
        <v>0</v>
      </c>
      <c r="P413">
        <f t="shared" si="147"/>
        <v>3350.1</v>
      </c>
      <c r="Q413">
        <f t="shared" si="147"/>
        <v>0</v>
      </c>
    </row>
    <row r="414" spans="1:17" x14ac:dyDescent="0.2">
      <c r="A414" t="s">
        <v>3522</v>
      </c>
      <c r="B414" t="s">
        <v>1121</v>
      </c>
      <c r="C414" s="82" t="str">
        <f t="shared" si="146"/>
        <v>contact vendor</v>
      </c>
      <c r="D414">
        <f>IF(build2_zones = 0, 0,build2_heat_mbh/build2_zones)</f>
        <v>0</v>
      </c>
      <c r="E414" t="s">
        <v>1109</v>
      </c>
      <c r="F414">
        <f t="shared" si="147"/>
        <v>1161.335000027</v>
      </c>
      <c r="G414">
        <f t="shared" si="147"/>
        <v>0.71739984700000003</v>
      </c>
      <c r="H414">
        <f t="shared" si="147"/>
        <v>0</v>
      </c>
      <c r="I414">
        <f t="shared" si="147"/>
        <v>0</v>
      </c>
      <c r="J414">
        <f t="shared" si="147"/>
        <v>0</v>
      </c>
      <c r="K414">
        <f t="shared" si="147"/>
        <v>0</v>
      </c>
      <c r="L414">
        <f t="shared" si="147"/>
        <v>0</v>
      </c>
      <c r="M414">
        <f t="shared" si="147"/>
        <v>0</v>
      </c>
      <c r="N414">
        <f t="shared" si="147"/>
        <v>0</v>
      </c>
      <c r="O414">
        <f t="shared" si="147"/>
        <v>0</v>
      </c>
      <c r="P414">
        <f t="shared" si="147"/>
        <v>3350.1</v>
      </c>
      <c r="Q414">
        <f t="shared" si="147"/>
        <v>0</v>
      </c>
    </row>
    <row r="415" spans="1:17" x14ac:dyDescent="0.2">
      <c r="A415" s="86" t="s">
        <v>1110</v>
      </c>
      <c r="C415" s="622" t="str">
        <f t="shared" si="135"/>
        <v/>
      </c>
      <c r="F415" t="str">
        <f t="shared" ref="F415:Q415" si="148">IF(LEN($E415)=0,"",VLOOKUP($E415,eq_table_cl,F$8,FALSE))</f>
        <v/>
      </c>
      <c r="G415" t="str">
        <f t="shared" si="148"/>
        <v/>
      </c>
      <c r="H415" t="str">
        <f t="shared" si="148"/>
        <v/>
      </c>
      <c r="I415" t="str">
        <f t="shared" si="148"/>
        <v/>
      </c>
      <c r="J415" t="str">
        <f t="shared" si="148"/>
        <v/>
      </c>
      <c r="K415" t="str">
        <f t="shared" si="148"/>
        <v/>
      </c>
      <c r="L415" t="str">
        <f t="shared" si="148"/>
        <v/>
      </c>
      <c r="M415" t="str">
        <f t="shared" si="148"/>
        <v/>
      </c>
      <c r="N415" t="str">
        <f t="shared" si="148"/>
        <v/>
      </c>
      <c r="O415" t="str">
        <f t="shared" si="148"/>
        <v/>
      </c>
      <c r="P415" t="str">
        <f t="shared" si="148"/>
        <v/>
      </c>
      <c r="Q415" t="str">
        <f t="shared" si="148"/>
        <v/>
      </c>
    </row>
    <row r="416" spans="1:17" x14ac:dyDescent="0.2">
      <c r="A416" t="s">
        <v>1111</v>
      </c>
      <c r="B416" t="s">
        <v>1122</v>
      </c>
      <c r="C416" s="82" t="str">
        <f t="shared" si="146"/>
        <v>contact vendor</v>
      </c>
      <c r="D416">
        <f>IF(build2_zones = 0, 0,build2_cooling_tons/build2_zones)</f>
        <v>0</v>
      </c>
      <c r="E416" t="s">
        <v>1113</v>
      </c>
      <c r="F416">
        <f t="shared" ref="F416:Q418" si="149">VLOOKUP($E416,eq_table_cl,F$4,FALSE)</f>
        <v>2490.0166433280001</v>
      </c>
      <c r="G416">
        <f t="shared" si="149"/>
        <v>1.117904172</v>
      </c>
      <c r="H416">
        <f t="shared" si="149"/>
        <v>0</v>
      </c>
      <c r="I416">
        <f t="shared" si="149"/>
        <v>0</v>
      </c>
      <c r="J416">
        <f t="shared" si="149"/>
        <v>0</v>
      </c>
      <c r="K416">
        <f t="shared" si="149"/>
        <v>0</v>
      </c>
      <c r="L416">
        <f t="shared" si="149"/>
        <v>0</v>
      </c>
      <c r="M416">
        <f t="shared" si="149"/>
        <v>0</v>
      </c>
      <c r="N416">
        <f t="shared" si="149"/>
        <v>0</v>
      </c>
      <c r="O416">
        <f t="shared" si="149"/>
        <v>0</v>
      </c>
      <c r="P416">
        <f t="shared" si="149"/>
        <v>113.33</v>
      </c>
      <c r="Q416">
        <f t="shared" si="149"/>
        <v>0</v>
      </c>
    </row>
    <row r="417" spans="1:17" x14ac:dyDescent="0.2">
      <c r="A417" s="694" t="s">
        <v>4494</v>
      </c>
      <c r="B417" s="694" t="s">
        <v>4499</v>
      </c>
      <c r="C417" s="82" t="str">
        <f t="shared" si="146"/>
        <v>contact vendor</v>
      </c>
      <c r="D417">
        <f>IF(build2_zones = 0, 0,build2_cooling_tons/build2_zones)</f>
        <v>0</v>
      </c>
      <c r="E417" s="694" t="s">
        <v>4498</v>
      </c>
      <c r="F417">
        <f t="shared" si="149"/>
        <v>3571.6003625200001</v>
      </c>
      <c r="G417">
        <f t="shared" si="149"/>
        <v>0.52517194700000003</v>
      </c>
      <c r="H417">
        <f t="shared" si="149"/>
        <v>0</v>
      </c>
      <c r="I417">
        <f t="shared" si="149"/>
        <v>0</v>
      </c>
      <c r="J417">
        <f t="shared" si="149"/>
        <v>0</v>
      </c>
      <c r="K417">
        <f t="shared" si="149"/>
        <v>0</v>
      </c>
      <c r="L417">
        <f t="shared" si="149"/>
        <v>0</v>
      </c>
      <c r="M417">
        <f t="shared" si="149"/>
        <v>0</v>
      </c>
      <c r="N417">
        <f t="shared" si="149"/>
        <v>0</v>
      </c>
      <c r="O417">
        <f t="shared" si="149"/>
        <v>0</v>
      </c>
      <c r="P417">
        <f t="shared" si="149"/>
        <v>12</v>
      </c>
      <c r="Q417">
        <f t="shared" si="149"/>
        <v>0</v>
      </c>
    </row>
    <row r="418" spans="1:17" x14ac:dyDescent="0.2">
      <c r="A418" s="694" t="s">
        <v>4495</v>
      </c>
      <c r="B418" s="694" t="s">
        <v>5265</v>
      </c>
      <c r="C418" s="82" t="str">
        <f t="shared" ref="C418" si="150">IF(OR(D418&gt;P418,D418&lt;=Q418),"contact vendor",F418*D418^G418+H418*LN(D418)+I418+J418*EXP(K418*D418)+L418*D418^3+M418*D418^2+N418*D418+O418)</f>
        <v>contact vendor</v>
      </c>
      <c r="D418">
        <f>IF(build2_zones = 0, 0,build2_cooling_tons/build2_zones)</f>
        <v>0</v>
      </c>
      <c r="E418" s="694" t="s">
        <v>4497</v>
      </c>
      <c r="F418">
        <f t="shared" si="149"/>
        <v>2416.5109401350001</v>
      </c>
      <c r="G418">
        <f t="shared" si="149"/>
        <v>0.81084980699999998</v>
      </c>
      <c r="H418">
        <f t="shared" si="149"/>
        <v>0</v>
      </c>
      <c r="I418">
        <f t="shared" si="149"/>
        <v>0</v>
      </c>
      <c r="J418">
        <f t="shared" si="149"/>
        <v>0</v>
      </c>
      <c r="K418">
        <f t="shared" si="149"/>
        <v>0</v>
      </c>
      <c r="L418">
        <f t="shared" si="149"/>
        <v>0</v>
      </c>
      <c r="M418">
        <f t="shared" si="149"/>
        <v>0</v>
      </c>
      <c r="N418">
        <f t="shared" si="149"/>
        <v>0</v>
      </c>
      <c r="O418">
        <f t="shared" si="149"/>
        <v>0</v>
      </c>
      <c r="P418">
        <f t="shared" si="149"/>
        <v>50.01</v>
      </c>
      <c r="Q418">
        <f t="shared" si="149"/>
        <v>12</v>
      </c>
    </row>
    <row r="419" spans="1:17" x14ac:dyDescent="0.2">
      <c r="C419" s="10"/>
    </row>
    <row r="420" spans="1:17" x14ac:dyDescent="0.2">
      <c r="C420" s="10"/>
    </row>
    <row r="421" spans="1:17" x14ac:dyDescent="0.2">
      <c r="C421" s="10"/>
    </row>
    <row r="422" spans="1:17" x14ac:dyDescent="0.2">
      <c r="C422" s="10"/>
    </row>
    <row r="423" spans="1:17" x14ac:dyDescent="0.2">
      <c r="C423" s="10"/>
    </row>
    <row r="424" spans="1:17" x14ac:dyDescent="0.2">
      <c r="C424" s="10"/>
    </row>
    <row r="425" spans="1:17" x14ac:dyDescent="0.2">
      <c r="C425" s="10"/>
    </row>
    <row r="426" spans="1:17" x14ac:dyDescent="0.2">
      <c r="C426" s="10"/>
    </row>
    <row r="427" spans="1:17" x14ac:dyDescent="0.2">
      <c r="C427" s="10"/>
    </row>
    <row r="428" spans="1:17" x14ac:dyDescent="0.2">
      <c r="C428" s="10"/>
    </row>
    <row r="429" spans="1:17" x14ac:dyDescent="0.2">
      <c r="C429" s="10"/>
    </row>
    <row r="430" spans="1:17" x14ac:dyDescent="0.2">
      <c r="C430" s="10"/>
    </row>
    <row r="431" spans="1:17" x14ac:dyDescent="0.2">
      <c r="C431" s="10"/>
    </row>
    <row r="432" spans="1:17" x14ac:dyDescent="0.2">
      <c r="C432" s="10"/>
    </row>
    <row r="433" spans="3:3" x14ac:dyDescent="0.2">
      <c r="C433" s="10"/>
    </row>
    <row r="434" spans="3:3" x14ac:dyDescent="0.2">
      <c r="C434" s="10"/>
    </row>
    <row r="435" spans="3:3" x14ac:dyDescent="0.2">
      <c r="C435" s="10"/>
    </row>
    <row r="436" spans="3:3" x14ac:dyDescent="0.2">
      <c r="C436" s="10"/>
    </row>
    <row r="437" spans="3:3" x14ac:dyDescent="0.2">
      <c r="C437" s="10"/>
    </row>
    <row r="438" spans="3:3" x14ac:dyDescent="0.2">
      <c r="C438" s="10"/>
    </row>
    <row r="439" spans="3:3" x14ac:dyDescent="0.2">
      <c r="C439" s="10"/>
    </row>
    <row r="440" spans="3:3" x14ac:dyDescent="0.2">
      <c r="C440" s="10"/>
    </row>
    <row r="441" spans="3:3" x14ac:dyDescent="0.2">
      <c r="C441" s="10"/>
    </row>
    <row r="442" spans="3:3" x14ac:dyDescent="0.2">
      <c r="C442" s="10"/>
    </row>
    <row r="443" spans="3:3" x14ac:dyDescent="0.2">
      <c r="C443" s="10"/>
    </row>
    <row r="444" spans="3:3" x14ac:dyDescent="0.2">
      <c r="C444" s="10"/>
    </row>
    <row r="445" spans="3:3" x14ac:dyDescent="0.2">
      <c r="C445" s="10"/>
    </row>
    <row r="446" spans="3:3" x14ac:dyDescent="0.2">
      <c r="C446" s="10"/>
    </row>
    <row r="447" spans="3:3" x14ac:dyDescent="0.2">
      <c r="C447" s="10"/>
    </row>
    <row r="448" spans="3:3" x14ac:dyDescent="0.2">
      <c r="C448" s="10"/>
    </row>
    <row r="449" spans="3:3" x14ac:dyDescent="0.2">
      <c r="C449" s="10"/>
    </row>
    <row r="450" spans="3:3" x14ac:dyDescent="0.2">
      <c r="C450" s="10"/>
    </row>
    <row r="451" spans="3:3" x14ac:dyDescent="0.2">
      <c r="C451" s="10"/>
    </row>
    <row r="452" spans="3:3" x14ac:dyDescent="0.2">
      <c r="C452" s="10"/>
    </row>
    <row r="453" spans="3:3" x14ac:dyDescent="0.2">
      <c r="C453" s="10"/>
    </row>
    <row r="454" spans="3:3" x14ac:dyDescent="0.2">
      <c r="C454" s="10"/>
    </row>
    <row r="455" spans="3:3" x14ac:dyDescent="0.2">
      <c r="C455" s="10"/>
    </row>
    <row r="456" spans="3:3" x14ac:dyDescent="0.2">
      <c r="C456" s="10"/>
    </row>
    <row r="457" spans="3:3" x14ac:dyDescent="0.2">
      <c r="C457" s="10"/>
    </row>
    <row r="458" spans="3:3" x14ac:dyDescent="0.2">
      <c r="C458" s="10"/>
    </row>
    <row r="459" spans="3:3" x14ac:dyDescent="0.2">
      <c r="C459" s="10"/>
    </row>
    <row r="460" spans="3:3" x14ac:dyDescent="0.2">
      <c r="C460" s="10"/>
    </row>
    <row r="461" spans="3:3" x14ac:dyDescent="0.2">
      <c r="C461" s="10"/>
    </row>
    <row r="462" spans="3:3" x14ac:dyDescent="0.2">
      <c r="C462" s="10"/>
    </row>
    <row r="463" spans="3:3" x14ac:dyDescent="0.2">
      <c r="C463" s="10"/>
    </row>
    <row r="464" spans="3:3" x14ac:dyDescent="0.2">
      <c r="C464" s="10"/>
    </row>
    <row r="465" spans="3:3" x14ac:dyDescent="0.2">
      <c r="C465" s="10"/>
    </row>
    <row r="466" spans="3:3" x14ac:dyDescent="0.2">
      <c r="C466" s="10"/>
    </row>
    <row r="467" spans="3:3" x14ac:dyDescent="0.2">
      <c r="C467" s="10"/>
    </row>
    <row r="468" spans="3:3" x14ac:dyDescent="0.2">
      <c r="C468" s="10"/>
    </row>
    <row r="469" spans="3:3" x14ac:dyDescent="0.2">
      <c r="C469" s="10"/>
    </row>
    <row r="470" spans="3:3" x14ac:dyDescent="0.2">
      <c r="C470" s="10"/>
    </row>
    <row r="471" spans="3:3" x14ac:dyDescent="0.2">
      <c r="C471" s="10"/>
    </row>
    <row r="472" spans="3:3" x14ac:dyDescent="0.2">
      <c r="C472" s="10"/>
    </row>
    <row r="473" spans="3:3" x14ac:dyDescent="0.2">
      <c r="C473" s="10"/>
    </row>
    <row r="474" spans="3:3" x14ac:dyDescent="0.2">
      <c r="C474" s="10"/>
    </row>
    <row r="475" spans="3:3" x14ac:dyDescent="0.2">
      <c r="C475" s="10"/>
    </row>
    <row r="476" spans="3:3" x14ac:dyDescent="0.2">
      <c r="C476" s="10"/>
    </row>
    <row r="477" spans="3:3" x14ac:dyDescent="0.2">
      <c r="C477" s="10"/>
    </row>
    <row r="478" spans="3:3" x14ac:dyDescent="0.2">
      <c r="C478" s="10"/>
    </row>
    <row r="479" spans="3:3" x14ac:dyDescent="0.2">
      <c r="C479" s="10"/>
    </row>
    <row r="480" spans="3:3" x14ac:dyDescent="0.2">
      <c r="C480" s="10"/>
    </row>
    <row r="481" spans="3:3" x14ac:dyDescent="0.2">
      <c r="C481" s="10"/>
    </row>
    <row r="482" spans="3:3" x14ac:dyDescent="0.2">
      <c r="C482" s="10"/>
    </row>
    <row r="483" spans="3:3" x14ac:dyDescent="0.2">
      <c r="C483" s="10"/>
    </row>
    <row r="484" spans="3:3" x14ac:dyDescent="0.2">
      <c r="C484" s="10"/>
    </row>
    <row r="485" spans="3:3" x14ac:dyDescent="0.2">
      <c r="C485" s="10"/>
    </row>
    <row r="486" spans="3:3" x14ac:dyDescent="0.2">
      <c r="C486" s="10"/>
    </row>
    <row r="487" spans="3:3" x14ac:dyDescent="0.2">
      <c r="C487" s="10"/>
    </row>
    <row r="488" spans="3:3" x14ac:dyDescent="0.2">
      <c r="C488" s="10"/>
    </row>
    <row r="489" spans="3:3" x14ac:dyDescent="0.2">
      <c r="C489" s="10"/>
    </row>
    <row r="490" spans="3:3" x14ac:dyDescent="0.2">
      <c r="C490" s="10"/>
    </row>
    <row r="491" spans="3:3" x14ac:dyDescent="0.2">
      <c r="C491" s="10"/>
    </row>
    <row r="492" spans="3:3" x14ac:dyDescent="0.2">
      <c r="C492" s="10"/>
    </row>
    <row r="493" spans="3:3" x14ac:dyDescent="0.2">
      <c r="C493" s="10"/>
    </row>
    <row r="494" spans="3:3" x14ac:dyDescent="0.2">
      <c r="C494" s="10"/>
    </row>
    <row r="495" spans="3:3" x14ac:dyDescent="0.2">
      <c r="C495" s="10"/>
    </row>
    <row r="496" spans="3:3" x14ac:dyDescent="0.2">
      <c r="C496" s="10"/>
    </row>
    <row r="497" spans="3:3" x14ac:dyDescent="0.2">
      <c r="C497" s="10"/>
    </row>
    <row r="498" spans="3:3" x14ac:dyDescent="0.2">
      <c r="C498" s="10"/>
    </row>
  </sheetData>
  <phoneticPr fontId="0" type="noConversion"/>
  <pageMargins left="0.75" right="0.75" top="1" bottom="1" header="0.5" footer="0.5"/>
  <pageSetup orientation="portrait" horizontalDpi="90" verticalDpi="9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D7152-53F1-475F-95C1-A6B052D1F9A8}">
  <dimension ref="A1:P66"/>
  <sheetViews>
    <sheetView workbookViewId="0">
      <pane xSplit="1" ySplit="5" topLeftCell="B6" activePane="bottomRight" state="frozen"/>
      <selection pane="topRight" activeCell="B1" sqref="B1"/>
      <selection pane="bottomLeft" activeCell="A6" sqref="A6"/>
      <selection pane="bottomRight"/>
    </sheetView>
  </sheetViews>
  <sheetFormatPr defaultRowHeight="12.75" x14ac:dyDescent="0.2"/>
  <cols>
    <col min="1" max="1" width="25" customWidth="1"/>
  </cols>
  <sheetData>
    <row r="1" spans="1:16" x14ac:dyDescent="0.2">
      <c r="A1" s="1" t="s">
        <v>5262</v>
      </c>
      <c r="B1" s="694"/>
      <c r="C1" s="979"/>
      <c r="L1" s="980"/>
      <c r="N1" s="418"/>
    </row>
    <row r="2" spans="1:16" x14ac:dyDescent="0.2">
      <c r="A2" s="725" t="s">
        <v>3871</v>
      </c>
      <c r="C2" s="157"/>
      <c r="L2" s="980"/>
      <c r="N2" s="418"/>
    </row>
    <row r="3" spans="1:16" x14ac:dyDescent="0.2">
      <c r="A3" s="725"/>
      <c r="C3" s="157"/>
      <c r="L3" s="980"/>
      <c r="N3" s="418"/>
    </row>
    <row r="4" spans="1:16" x14ac:dyDescent="0.2">
      <c r="B4" s="694" t="s">
        <v>5159</v>
      </c>
      <c r="D4" t="s">
        <v>5160</v>
      </c>
      <c r="F4" t="s">
        <v>5161</v>
      </c>
      <c r="H4" t="s">
        <v>5162</v>
      </c>
      <c r="L4" s="987" t="s">
        <v>5163</v>
      </c>
      <c r="N4" s="418"/>
    </row>
    <row r="5" spans="1:16" x14ac:dyDescent="0.2">
      <c r="A5" s="2" t="s">
        <v>5164</v>
      </c>
      <c r="B5" s="2" t="s">
        <v>5165</v>
      </c>
      <c r="C5" s="2" t="s">
        <v>5166</v>
      </c>
      <c r="D5" s="2" t="s">
        <v>5167</v>
      </c>
      <c r="E5" s="2" t="s">
        <v>5168</v>
      </c>
      <c r="F5" s="2" t="s">
        <v>5169</v>
      </c>
      <c r="G5" s="2" t="s">
        <v>5170</v>
      </c>
      <c r="H5" s="2" t="s">
        <v>5171</v>
      </c>
      <c r="I5" s="2" t="s">
        <v>5172</v>
      </c>
      <c r="J5" s="2" t="s">
        <v>5173</v>
      </c>
      <c r="K5" s="2" t="s">
        <v>5174</v>
      </c>
      <c r="L5" s="988" t="s">
        <v>5175</v>
      </c>
      <c r="M5" s="2" t="s">
        <v>5176</v>
      </c>
      <c r="N5" s="989" t="s">
        <v>5177</v>
      </c>
      <c r="O5" s="2" t="s">
        <v>5178</v>
      </c>
      <c r="P5" s="2" t="s">
        <v>5263</v>
      </c>
    </row>
    <row r="6" spans="1:16" x14ac:dyDescent="0.2">
      <c r="A6" t="s">
        <v>2646</v>
      </c>
      <c r="B6" s="9">
        <v>0</v>
      </c>
      <c r="C6" s="9">
        <v>0</v>
      </c>
      <c r="D6" s="9">
        <v>0</v>
      </c>
      <c r="E6" s="9">
        <v>0</v>
      </c>
      <c r="F6" s="9">
        <v>0</v>
      </c>
      <c r="G6" s="9">
        <v>0</v>
      </c>
      <c r="H6" s="9">
        <v>0</v>
      </c>
      <c r="I6">
        <v>-6.7002999999999995E-4</v>
      </c>
      <c r="J6">
        <v>14.809014980000001</v>
      </c>
      <c r="K6">
        <v>4093.494684836</v>
      </c>
      <c r="L6" s="980">
        <v>0.16787720556525074</v>
      </c>
      <c r="M6" t="s">
        <v>5213</v>
      </c>
      <c r="N6" s="418">
        <v>0.95812431183124169</v>
      </c>
      <c r="O6">
        <v>10001</v>
      </c>
      <c r="P6">
        <v>0</v>
      </c>
    </row>
    <row r="7" spans="1:16" x14ac:dyDescent="0.2">
      <c r="A7" t="s">
        <v>791</v>
      </c>
      <c r="B7" s="9">
        <v>0</v>
      </c>
      <c r="C7" s="9">
        <v>0</v>
      </c>
      <c r="D7" s="9">
        <v>0</v>
      </c>
      <c r="E7" s="9">
        <v>0</v>
      </c>
      <c r="F7" s="9">
        <v>0</v>
      </c>
      <c r="G7" s="9">
        <v>0</v>
      </c>
      <c r="H7" s="9">
        <v>0</v>
      </c>
      <c r="I7" s="9">
        <v>0</v>
      </c>
      <c r="J7">
        <v>121547.574387607</v>
      </c>
      <c r="K7">
        <v>34130.141015863002</v>
      </c>
      <c r="L7" s="980">
        <v>2.7441482741770516E-2</v>
      </c>
      <c r="M7" t="s">
        <v>5234</v>
      </c>
      <c r="N7" s="418">
        <v>0.9947366079400406</v>
      </c>
      <c r="O7">
        <v>3.1</v>
      </c>
      <c r="P7">
        <v>0</v>
      </c>
    </row>
    <row r="8" spans="1:16" x14ac:dyDescent="0.2">
      <c r="A8" t="s">
        <v>1098</v>
      </c>
      <c r="B8">
        <v>378.41221851</v>
      </c>
      <c r="C8">
        <v>-0.13671524199999999</v>
      </c>
      <c r="D8" s="9">
        <v>0</v>
      </c>
      <c r="E8" s="9">
        <v>0</v>
      </c>
      <c r="F8" s="9">
        <v>0</v>
      </c>
      <c r="G8" s="9">
        <v>0</v>
      </c>
      <c r="H8" s="9">
        <v>0</v>
      </c>
      <c r="I8" s="9">
        <v>0</v>
      </c>
      <c r="J8" s="9">
        <v>0</v>
      </c>
      <c r="K8" s="9">
        <v>0</v>
      </c>
      <c r="L8" s="980">
        <v>4.0372546378012256E-2</v>
      </c>
      <c r="M8" t="s">
        <v>5237</v>
      </c>
      <c r="N8" s="418">
        <v>0.95319947666108407</v>
      </c>
      <c r="O8">
        <v>200000.1</v>
      </c>
      <c r="P8">
        <v>0</v>
      </c>
    </row>
    <row r="9" spans="1:16" x14ac:dyDescent="0.2">
      <c r="A9" t="s">
        <v>1092</v>
      </c>
      <c r="B9">
        <v>163.72087260199999</v>
      </c>
      <c r="C9">
        <v>-9.5204622000000003E-2</v>
      </c>
      <c r="D9" s="9">
        <v>0</v>
      </c>
      <c r="E9" s="9">
        <v>0</v>
      </c>
      <c r="F9" s="9">
        <v>0</v>
      </c>
      <c r="G9" s="9">
        <v>0</v>
      </c>
      <c r="H9" s="9">
        <v>0</v>
      </c>
      <c r="I9" s="9">
        <v>0</v>
      </c>
      <c r="J9" s="9">
        <v>0</v>
      </c>
      <c r="K9" s="9">
        <v>0</v>
      </c>
      <c r="L9" s="980">
        <v>2.4871309850656418E-2</v>
      </c>
      <c r="M9" t="s">
        <v>5235</v>
      </c>
      <c r="N9" s="418">
        <v>0.96700830313985342</v>
      </c>
      <c r="O9">
        <v>200000.1</v>
      </c>
      <c r="P9">
        <v>0</v>
      </c>
    </row>
    <row r="10" spans="1:16" x14ac:dyDescent="0.2">
      <c r="A10" t="s">
        <v>1095</v>
      </c>
      <c r="B10">
        <v>198.02119383900001</v>
      </c>
      <c r="C10">
        <v>-9.6244836E-2</v>
      </c>
      <c r="D10" s="9">
        <v>0</v>
      </c>
      <c r="E10" s="9">
        <v>0</v>
      </c>
      <c r="F10" s="9">
        <v>0</v>
      </c>
      <c r="G10" s="9">
        <v>0</v>
      </c>
      <c r="H10" s="9">
        <v>0</v>
      </c>
      <c r="I10" s="9">
        <v>0</v>
      </c>
      <c r="J10" s="9">
        <v>0</v>
      </c>
      <c r="K10" s="9">
        <v>0</v>
      </c>
      <c r="L10" s="980">
        <v>2.5881342871107462E-2</v>
      </c>
      <c r="M10" t="s">
        <v>5236</v>
      </c>
      <c r="N10" s="418">
        <v>0.96588495619097448</v>
      </c>
      <c r="O10">
        <v>200000.1</v>
      </c>
      <c r="P10">
        <v>0</v>
      </c>
    </row>
    <row r="11" spans="1:16" x14ac:dyDescent="0.2">
      <c r="A11" t="s">
        <v>5207</v>
      </c>
      <c r="B11" s="9">
        <v>0</v>
      </c>
      <c r="C11" s="9">
        <v>0</v>
      </c>
      <c r="D11" s="9">
        <v>0</v>
      </c>
      <c r="E11" s="9">
        <v>0</v>
      </c>
      <c r="F11" s="9">
        <v>0</v>
      </c>
      <c r="G11" s="9">
        <v>0</v>
      </c>
      <c r="H11">
        <v>1.500986001</v>
      </c>
      <c r="I11">
        <v>-137.11144950400001</v>
      </c>
      <c r="J11">
        <v>4591.2435827480003</v>
      </c>
      <c r="K11">
        <v>-36246.272177972001</v>
      </c>
      <c r="L11" s="980">
        <v>0.10118956633106969</v>
      </c>
      <c r="M11" t="s">
        <v>5208</v>
      </c>
      <c r="N11" s="418">
        <v>0.94922030750420328</v>
      </c>
      <c r="O11">
        <v>48.1</v>
      </c>
      <c r="P11">
        <v>14</v>
      </c>
    </row>
    <row r="12" spans="1:16" x14ac:dyDescent="0.2">
      <c r="A12" t="s">
        <v>5205</v>
      </c>
      <c r="B12">
        <v>221.77653215199999</v>
      </c>
      <c r="C12">
        <v>1.0463710340000001</v>
      </c>
      <c r="D12" s="9">
        <v>0</v>
      </c>
      <c r="E12" s="9">
        <v>0</v>
      </c>
      <c r="F12" s="9">
        <v>0</v>
      </c>
      <c r="G12" s="9">
        <v>0</v>
      </c>
      <c r="H12" s="9">
        <v>0</v>
      </c>
      <c r="I12" s="9">
        <v>0</v>
      </c>
      <c r="J12" s="9">
        <v>0</v>
      </c>
      <c r="K12" s="9">
        <v>0</v>
      </c>
      <c r="L12" s="980">
        <v>0.19940134150122094</v>
      </c>
      <c r="M12" t="s">
        <v>5206</v>
      </c>
      <c r="N12" s="418">
        <v>0.94954224445418201</v>
      </c>
      <c r="O12">
        <v>12</v>
      </c>
      <c r="P12">
        <v>1</v>
      </c>
    </row>
    <row r="13" spans="1:16" x14ac:dyDescent="0.2">
      <c r="A13" t="s">
        <v>1458</v>
      </c>
      <c r="B13" s="9">
        <v>0</v>
      </c>
      <c r="C13" s="9">
        <v>0</v>
      </c>
      <c r="D13" s="9">
        <v>0</v>
      </c>
      <c r="E13" s="9">
        <v>0</v>
      </c>
      <c r="F13" s="9">
        <v>0</v>
      </c>
      <c r="G13" s="9">
        <v>0</v>
      </c>
      <c r="H13">
        <v>3.240756524</v>
      </c>
      <c r="I13">
        <v>50.118205304</v>
      </c>
      <c r="J13">
        <v>-32.545647099999996</v>
      </c>
      <c r="K13">
        <v>553.63390991000006</v>
      </c>
      <c r="L13" s="980">
        <v>0.12711337788421534</v>
      </c>
      <c r="M13" t="s">
        <v>5211</v>
      </c>
      <c r="N13" s="418">
        <v>0.95706868872522688</v>
      </c>
      <c r="O13">
        <v>24.1</v>
      </c>
      <c r="P13">
        <v>2</v>
      </c>
    </row>
    <row r="14" spans="1:16" x14ac:dyDescent="0.2">
      <c r="A14" t="s">
        <v>2638</v>
      </c>
      <c r="B14" s="9">
        <v>0</v>
      </c>
      <c r="C14" s="9">
        <v>0</v>
      </c>
      <c r="D14" s="9">
        <v>0</v>
      </c>
      <c r="E14" s="9">
        <v>0</v>
      </c>
      <c r="F14" s="9">
        <v>0</v>
      </c>
      <c r="G14" s="9">
        <v>0</v>
      </c>
      <c r="H14" s="9">
        <v>0</v>
      </c>
      <c r="I14" s="9">
        <v>0</v>
      </c>
      <c r="J14">
        <v>1304.6120832720001</v>
      </c>
      <c r="K14">
        <v>-1165.0485677490001</v>
      </c>
      <c r="L14" s="980">
        <v>0.34948104502507477</v>
      </c>
      <c r="M14" t="s">
        <v>5199</v>
      </c>
      <c r="N14" s="418">
        <v>0.94241839597621901</v>
      </c>
      <c r="O14" s="116">
        <v>48.1</v>
      </c>
      <c r="P14">
        <v>1</v>
      </c>
    </row>
    <row r="15" spans="1:16" x14ac:dyDescent="0.2">
      <c r="A15" t="s">
        <v>3758</v>
      </c>
      <c r="B15" s="9">
        <v>0</v>
      </c>
      <c r="C15" s="9">
        <v>0</v>
      </c>
      <c r="D15" s="9">
        <v>0</v>
      </c>
      <c r="E15" s="9">
        <v>0</v>
      </c>
      <c r="F15" s="9">
        <v>0</v>
      </c>
      <c r="G15" s="9">
        <v>0</v>
      </c>
      <c r="H15">
        <v>2.5666000000000001E-5</v>
      </c>
      <c r="I15">
        <v>-3.1620271999999998E-2</v>
      </c>
      <c r="J15">
        <v>66.758900197000003</v>
      </c>
      <c r="K15">
        <v>1888.9601026519999</v>
      </c>
      <c r="L15" s="980">
        <v>3.3285905839289309E-2</v>
      </c>
      <c r="M15" t="s">
        <v>5231</v>
      </c>
      <c r="N15" s="418">
        <v>0.99496202597007644</v>
      </c>
      <c r="O15">
        <v>1001</v>
      </c>
      <c r="P15">
        <v>0</v>
      </c>
    </row>
    <row r="16" spans="1:16" x14ac:dyDescent="0.2">
      <c r="A16" t="s">
        <v>3757</v>
      </c>
      <c r="B16" s="9">
        <v>0</v>
      </c>
      <c r="C16" s="9">
        <v>0</v>
      </c>
      <c r="D16" s="9">
        <v>0</v>
      </c>
      <c r="E16" s="9">
        <v>0</v>
      </c>
      <c r="F16" s="9">
        <v>0</v>
      </c>
      <c r="G16" s="9">
        <v>0</v>
      </c>
      <c r="H16">
        <v>-5.6289999999999998E-6</v>
      </c>
      <c r="I16">
        <v>1.3916018E-2</v>
      </c>
      <c r="J16">
        <v>52.090398698000001</v>
      </c>
      <c r="K16">
        <v>47002.723866152999</v>
      </c>
      <c r="L16" s="980">
        <v>8.1474118959206938E-3</v>
      </c>
      <c r="M16" t="s">
        <v>5230</v>
      </c>
      <c r="N16" s="418">
        <v>0.99893759812171934</v>
      </c>
      <c r="O16">
        <v>1001</v>
      </c>
      <c r="P16">
        <v>0</v>
      </c>
    </row>
    <row r="17" spans="1:16" x14ac:dyDescent="0.2">
      <c r="A17" t="s">
        <v>3759</v>
      </c>
      <c r="B17" s="9">
        <v>0</v>
      </c>
      <c r="C17" s="9">
        <v>0</v>
      </c>
      <c r="D17" s="9">
        <v>0</v>
      </c>
      <c r="E17" s="9">
        <v>0</v>
      </c>
      <c r="F17">
        <v>33696.395725932998</v>
      </c>
      <c r="G17">
        <v>5.9381778000000003E-2</v>
      </c>
      <c r="H17" s="9">
        <v>0</v>
      </c>
      <c r="I17" s="9">
        <v>0</v>
      </c>
      <c r="J17" s="9">
        <v>0</v>
      </c>
      <c r="K17" s="9">
        <v>0</v>
      </c>
      <c r="L17" s="980">
        <v>4.9521570484974298E-2</v>
      </c>
      <c r="M17" t="s">
        <v>5232</v>
      </c>
      <c r="N17" s="418">
        <v>0.98522124707860403</v>
      </c>
      <c r="O17">
        <v>31</v>
      </c>
      <c r="P17">
        <v>0</v>
      </c>
    </row>
    <row r="18" spans="1:16" x14ac:dyDescent="0.2">
      <c r="A18" t="s">
        <v>2631</v>
      </c>
      <c r="B18" s="9">
        <v>0</v>
      </c>
      <c r="C18" s="9">
        <v>0</v>
      </c>
      <c r="D18" s="9">
        <v>0</v>
      </c>
      <c r="E18" s="9">
        <v>0</v>
      </c>
      <c r="F18" s="9">
        <v>0</v>
      </c>
      <c r="G18" s="9">
        <v>0</v>
      </c>
      <c r="H18">
        <v>6.5072480000000002E-3</v>
      </c>
      <c r="I18">
        <v>0.74408816600000005</v>
      </c>
      <c r="J18">
        <v>2.9106427579999998</v>
      </c>
      <c r="K18">
        <v>0.95118725599999998</v>
      </c>
      <c r="L18" s="980">
        <v>9.2730127969551934E-2</v>
      </c>
      <c r="M18" t="s">
        <v>5190</v>
      </c>
      <c r="N18" s="418">
        <v>0.97997834929612926</v>
      </c>
      <c r="O18">
        <v>18.100000000000001</v>
      </c>
      <c r="P18">
        <v>0</v>
      </c>
    </row>
    <row r="19" spans="1:16" x14ac:dyDescent="0.2">
      <c r="A19" t="s">
        <v>1465</v>
      </c>
      <c r="B19">
        <v>1596.499332614</v>
      </c>
      <c r="C19">
        <v>0.45949680900000001</v>
      </c>
      <c r="D19" s="9">
        <v>0</v>
      </c>
      <c r="E19" s="9">
        <v>0</v>
      </c>
      <c r="F19" s="9">
        <v>0</v>
      </c>
      <c r="G19" s="9">
        <v>0</v>
      </c>
      <c r="H19" s="9">
        <v>0</v>
      </c>
      <c r="I19" s="9">
        <v>0</v>
      </c>
      <c r="J19" s="9">
        <v>0</v>
      </c>
      <c r="K19" s="9">
        <v>0</v>
      </c>
      <c r="L19" s="980">
        <v>0.10812247070213186</v>
      </c>
      <c r="M19" t="s">
        <v>5180</v>
      </c>
      <c r="N19" s="418">
        <v>0.98240798871887336</v>
      </c>
      <c r="O19">
        <v>27101</v>
      </c>
      <c r="P19">
        <v>0</v>
      </c>
    </row>
    <row r="20" spans="1:16" x14ac:dyDescent="0.2">
      <c r="A20" t="s">
        <v>1466</v>
      </c>
      <c r="B20">
        <v>1798.6988144679999</v>
      </c>
      <c r="C20">
        <v>0.42308934100000001</v>
      </c>
      <c r="D20" s="9">
        <v>0</v>
      </c>
      <c r="E20" s="9">
        <v>0</v>
      </c>
      <c r="F20" s="9">
        <v>0</v>
      </c>
      <c r="G20" s="9">
        <v>0</v>
      </c>
      <c r="H20" s="9">
        <v>0</v>
      </c>
      <c r="I20" s="9">
        <v>0</v>
      </c>
      <c r="J20" s="9">
        <v>0</v>
      </c>
      <c r="K20" s="9">
        <v>0</v>
      </c>
      <c r="L20" s="980">
        <v>0.10094397418738933</v>
      </c>
      <c r="M20" t="s">
        <v>5181</v>
      </c>
      <c r="N20" s="418">
        <v>0.98661329367737571</v>
      </c>
      <c r="O20">
        <v>27101</v>
      </c>
      <c r="P20">
        <v>0</v>
      </c>
    </row>
    <row r="21" spans="1:16" x14ac:dyDescent="0.2">
      <c r="A21" t="s">
        <v>2635</v>
      </c>
      <c r="B21" s="990">
        <v>0</v>
      </c>
      <c r="C21" s="9">
        <v>0</v>
      </c>
      <c r="D21" s="9">
        <v>0</v>
      </c>
      <c r="E21" s="9">
        <v>0</v>
      </c>
      <c r="F21" s="9">
        <v>0</v>
      </c>
      <c r="G21" s="9">
        <v>0</v>
      </c>
      <c r="H21">
        <v>1.3009082E-2</v>
      </c>
      <c r="I21">
        <v>-0.63853567099999997</v>
      </c>
      <c r="J21">
        <v>18.152542467</v>
      </c>
      <c r="K21">
        <v>11.056607186999999</v>
      </c>
      <c r="L21" s="980">
        <v>8.2838949266919329E-2</v>
      </c>
      <c r="M21" t="s">
        <v>5189</v>
      </c>
      <c r="N21" s="418">
        <v>0.99257213725669535</v>
      </c>
      <c r="O21">
        <v>48.1</v>
      </c>
      <c r="P21">
        <v>4</v>
      </c>
    </row>
    <row r="22" spans="1:16" x14ac:dyDescent="0.2">
      <c r="A22" t="s">
        <v>2878</v>
      </c>
      <c r="B22" s="9">
        <v>0</v>
      </c>
      <c r="C22" s="9">
        <v>0</v>
      </c>
      <c r="D22" s="9">
        <v>0</v>
      </c>
      <c r="E22" s="9">
        <v>0</v>
      </c>
      <c r="F22" s="9">
        <v>0</v>
      </c>
      <c r="G22" s="9">
        <v>0</v>
      </c>
      <c r="H22" s="9">
        <v>0</v>
      </c>
      <c r="I22">
        <v>-2.3124966E-2</v>
      </c>
      <c r="J22">
        <v>2.2970755230000002</v>
      </c>
      <c r="K22">
        <v>36.014215905999997</v>
      </c>
      <c r="L22" s="980">
        <v>1.9425143331703618E-2</v>
      </c>
      <c r="M22" t="s">
        <v>5233</v>
      </c>
      <c r="N22" s="418">
        <v>0.984501473767872</v>
      </c>
      <c r="O22">
        <v>44.1</v>
      </c>
      <c r="P22">
        <v>0</v>
      </c>
    </row>
    <row r="23" spans="1:16" x14ac:dyDescent="0.2">
      <c r="A23" t="s">
        <v>1467</v>
      </c>
      <c r="B23">
        <v>135.281859973</v>
      </c>
      <c r="C23">
        <v>0.66222618499999997</v>
      </c>
      <c r="D23" s="9">
        <v>0</v>
      </c>
      <c r="E23" s="9">
        <v>0</v>
      </c>
      <c r="F23" s="9">
        <v>0</v>
      </c>
      <c r="G23" s="9">
        <v>0</v>
      </c>
      <c r="H23" s="9">
        <v>0</v>
      </c>
      <c r="I23" s="9">
        <v>0</v>
      </c>
      <c r="J23" s="9">
        <v>0</v>
      </c>
      <c r="K23" s="9">
        <v>0</v>
      </c>
      <c r="L23" s="980">
        <v>0.56626731611720127</v>
      </c>
      <c r="M23" t="s">
        <v>5184</v>
      </c>
      <c r="N23" s="418">
        <v>0.79467834835124995</v>
      </c>
      <c r="O23">
        <v>20001</v>
      </c>
      <c r="P23">
        <v>0</v>
      </c>
    </row>
    <row r="24" spans="1:16" x14ac:dyDescent="0.2">
      <c r="A24" s="694" t="s">
        <v>3143</v>
      </c>
      <c r="B24" s="694">
        <v>259.35532937099998</v>
      </c>
      <c r="C24">
        <v>0.55137656199999996</v>
      </c>
      <c r="D24" s="9">
        <v>0</v>
      </c>
      <c r="E24" s="9">
        <v>0</v>
      </c>
      <c r="F24" s="9">
        <v>0</v>
      </c>
      <c r="G24" s="9">
        <v>0</v>
      </c>
      <c r="H24" s="9">
        <v>0</v>
      </c>
      <c r="I24" s="9">
        <v>0</v>
      </c>
      <c r="J24" s="9">
        <v>0</v>
      </c>
      <c r="K24" s="9">
        <v>0</v>
      </c>
      <c r="L24" s="980">
        <v>0.37258732877875211</v>
      </c>
      <c r="M24" t="s">
        <v>5187</v>
      </c>
      <c r="N24" s="418">
        <v>0.65985747035876607</v>
      </c>
      <c r="O24">
        <v>30001</v>
      </c>
      <c r="P24">
        <v>0</v>
      </c>
    </row>
    <row r="25" spans="1:16" x14ac:dyDescent="0.2">
      <c r="A25" t="s">
        <v>1471</v>
      </c>
      <c r="B25" s="9">
        <v>0</v>
      </c>
      <c r="C25" s="9">
        <v>0</v>
      </c>
      <c r="D25" s="9">
        <v>0</v>
      </c>
      <c r="E25" s="9">
        <v>0</v>
      </c>
      <c r="F25" s="9">
        <v>0</v>
      </c>
      <c r="G25" s="9">
        <v>0</v>
      </c>
      <c r="H25" s="9">
        <v>0</v>
      </c>
      <c r="I25">
        <v>2.2354919999999999E-3</v>
      </c>
      <c r="J25">
        <v>18.79231828</v>
      </c>
      <c r="K25">
        <v>275.54372241900001</v>
      </c>
      <c r="L25" s="991">
        <v>2.7488567290999504E-2</v>
      </c>
      <c r="M25" t="s">
        <v>5182</v>
      </c>
      <c r="N25" s="992">
        <v>0.99878194649957874</v>
      </c>
      <c r="O25">
        <v>901</v>
      </c>
      <c r="P25">
        <v>0</v>
      </c>
    </row>
    <row r="26" spans="1:16" x14ac:dyDescent="0.2">
      <c r="A26" t="s">
        <v>3760</v>
      </c>
      <c r="B26" s="9">
        <v>0</v>
      </c>
      <c r="C26" s="9">
        <v>0</v>
      </c>
      <c r="D26" s="9">
        <v>0</v>
      </c>
      <c r="E26" s="9">
        <v>0</v>
      </c>
      <c r="F26">
        <v>2.101628083</v>
      </c>
      <c r="G26">
        <v>-5.6370000000000004E-6</v>
      </c>
      <c r="H26" s="9">
        <v>0</v>
      </c>
      <c r="I26" s="9">
        <v>0</v>
      </c>
      <c r="J26" s="9">
        <v>0</v>
      </c>
      <c r="K26" s="9">
        <v>0</v>
      </c>
      <c r="L26" s="980">
        <v>1.9633050773600032E-3</v>
      </c>
      <c r="M26" t="s">
        <v>5229</v>
      </c>
      <c r="N26" s="418">
        <v>0.9995210307055945</v>
      </c>
      <c r="O26">
        <v>40000</v>
      </c>
      <c r="P26">
        <v>0</v>
      </c>
    </row>
    <row r="27" spans="1:16" x14ac:dyDescent="0.2">
      <c r="A27" t="s">
        <v>1300</v>
      </c>
      <c r="B27" s="9">
        <v>0</v>
      </c>
      <c r="C27" s="9">
        <v>0</v>
      </c>
      <c r="D27" s="9">
        <v>0</v>
      </c>
      <c r="E27" s="9">
        <v>0</v>
      </c>
      <c r="F27" s="9">
        <v>0</v>
      </c>
      <c r="G27" s="9">
        <v>0</v>
      </c>
      <c r="H27" s="9">
        <v>0</v>
      </c>
      <c r="I27">
        <v>-5.3099999999999998E-7</v>
      </c>
      <c r="J27">
        <v>0.21637999499999999</v>
      </c>
      <c r="K27">
        <v>1726.1361602259999</v>
      </c>
      <c r="L27" s="980">
        <v>0.13634459989196074</v>
      </c>
      <c r="M27" t="s">
        <v>5218</v>
      </c>
      <c r="N27" s="418">
        <v>0.88989336622886217</v>
      </c>
      <c r="O27">
        <v>108290</v>
      </c>
      <c r="P27">
        <v>0</v>
      </c>
    </row>
    <row r="28" spans="1:16" x14ac:dyDescent="0.2">
      <c r="A28" t="s">
        <v>1468</v>
      </c>
      <c r="B28" s="9">
        <v>0</v>
      </c>
      <c r="C28" s="9">
        <v>0</v>
      </c>
      <c r="D28" s="9">
        <v>0</v>
      </c>
      <c r="E28" s="9">
        <v>0</v>
      </c>
      <c r="F28" s="9">
        <v>0</v>
      </c>
      <c r="G28" s="9">
        <v>0</v>
      </c>
      <c r="H28">
        <v>3E-9</v>
      </c>
      <c r="I28">
        <v>-4.4866E-5</v>
      </c>
      <c r="J28">
        <v>2.0973282219999998</v>
      </c>
      <c r="K28">
        <v>434.23312942000001</v>
      </c>
      <c r="L28" s="980">
        <v>0.15508350270168716</v>
      </c>
      <c r="M28" t="s">
        <v>5185</v>
      </c>
      <c r="N28" s="418">
        <v>0.89583196859918646</v>
      </c>
      <c r="O28">
        <v>16502</v>
      </c>
      <c r="P28">
        <v>0</v>
      </c>
    </row>
    <row r="29" spans="1:16" x14ac:dyDescent="0.2">
      <c r="A29" t="s">
        <v>1113</v>
      </c>
      <c r="B29">
        <v>2490.0166433280001</v>
      </c>
      <c r="C29">
        <v>1.117904172</v>
      </c>
      <c r="D29" s="9">
        <v>0</v>
      </c>
      <c r="E29" s="9">
        <v>0</v>
      </c>
      <c r="F29" s="9">
        <v>0</v>
      </c>
      <c r="G29" s="9">
        <v>0</v>
      </c>
      <c r="H29" s="9">
        <v>0</v>
      </c>
      <c r="I29" s="9">
        <v>0</v>
      </c>
      <c r="J29" s="9">
        <v>0</v>
      </c>
      <c r="K29" s="9">
        <v>0</v>
      </c>
      <c r="L29" s="980">
        <v>2.9060052999028089E-2</v>
      </c>
      <c r="M29" t="s">
        <v>5238</v>
      </c>
      <c r="N29" s="418">
        <v>0.99708569616381693</v>
      </c>
      <c r="O29">
        <v>113.33</v>
      </c>
      <c r="P29">
        <v>0</v>
      </c>
    </row>
    <row r="30" spans="1:16" x14ac:dyDescent="0.2">
      <c r="A30" t="s">
        <v>1101</v>
      </c>
      <c r="B30">
        <v>1144.4973268870001</v>
      </c>
      <c r="C30">
        <v>0.76939132899999996</v>
      </c>
      <c r="D30" s="9">
        <v>0</v>
      </c>
      <c r="E30" s="9">
        <v>0</v>
      </c>
      <c r="F30" s="9">
        <v>0</v>
      </c>
      <c r="G30" s="9">
        <v>0</v>
      </c>
      <c r="H30" s="9">
        <v>0</v>
      </c>
      <c r="I30" s="9">
        <v>0</v>
      </c>
      <c r="J30" s="9">
        <v>0</v>
      </c>
      <c r="K30" s="9">
        <v>0</v>
      </c>
      <c r="L30" s="980">
        <v>0.21824709010560447</v>
      </c>
      <c r="M30" t="s">
        <v>5239</v>
      </c>
      <c r="N30" s="418">
        <v>0.98363308354833745</v>
      </c>
      <c r="O30">
        <v>6148.1</v>
      </c>
      <c r="P30">
        <v>0</v>
      </c>
    </row>
    <row r="31" spans="1:16" x14ac:dyDescent="0.2">
      <c r="A31" t="s">
        <v>1105</v>
      </c>
      <c r="B31">
        <v>884.952743048</v>
      </c>
      <c r="C31">
        <v>0.75061779799999995</v>
      </c>
      <c r="D31" s="9">
        <v>0</v>
      </c>
      <c r="E31" s="9">
        <v>0</v>
      </c>
      <c r="F31" s="9">
        <v>0</v>
      </c>
      <c r="G31" s="9">
        <v>0</v>
      </c>
      <c r="H31" s="9">
        <v>0</v>
      </c>
      <c r="I31" s="9">
        <v>0</v>
      </c>
      <c r="J31" s="9">
        <v>0</v>
      </c>
      <c r="K31" s="9">
        <v>0</v>
      </c>
      <c r="L31" s="980">
        <v>0.11117046204521347</v>
      </c>
      <c r="M31" t="s">
        <v>5241</v>
      </c>
      <c r="N31" s="418">
        <v>0.97378468247658279</v>
      </c>
      <c r="O31">
        <v>5032.1000000000004</v>
      </c>
      <c r="P31">
        <v>0</v>
      </c>
    </row>
    <row r="32" spans="1:16" x14ac:dyDescent="0.2">
      <c r="A32" t="s">
        <v>1103</v>
      </c>
      <c r="B32">
        <v>884.952743048</v>
      </c>
      <c r="C32">
        <v>0.75061779799999995</v>
      </c>
      <c r="D32" s="9">
        <v>0</v>
      </c>
      <c r="E32" s="9">
        <v>0</v>
      </c>
      <c r="F32" s="9">
        <v>0</v>
      </c>
      <c r="G32" s="9">
        <v>0</v>
      </c>
      <c r="H32" s="9">
        <v>0</v>
      </c>
      <c r="I32" s="9">
        <v>0</v>
      </c>
      <c r="J32" s="9">
        <v>0</v>
      </c>
      <c r="K32" s="9">
        <v>0</v>
      </c>
      <c r="L32" s="980">
        <v>0.11117046204521347</v>
      </c>
      <c r="M32" t="s">
        <v>5240</v>
      </c>
      <c r="N32" s="418">
        <v>0.97378468247658279</v>
      </c>
      <c r="O32">
        <v>5032.1000000000004</v>
      </c>
      <c r="P32">
        <v>0</v>
      </c>
    </row>
    <row r="33" spans="1:16" x14ac:dyDescent="0.2">
      <c r="A33" t="s">
        <v>4497</v>
      </c>
      <c r="B33">
        <v>2416.5109401350001</v>
      </c>
      <c r="C33">
        <v>0.81084980699999998</v>
      </c>
      <c r="D33" s="9">
        <v>0</v>
      </c>
      <c r="E33" s="9">
        <v>0</v>
      </c>
      <c r="F33" s="9">
        <v>0</v>
      </c>
      <c r="G33" s="9">
        <v>0</v>
      </c>
      <c r="H33" s="9">
        <v>0</v>
      </c>
      <c r="I33" s="9">
        <v>0</v>
      </c>
      <c r="J33" s="9">
        <v>0</v>
      </c>
      <c r="K33" s="9">
        <v>0</v>
      </c>
      <c r="L33" s="980">
        <v>6.3748011821242526E-2</v>
      </c>
      <c r="M33" t="s">
        <v>5245</v>
      </c>
      <c r="N33" s="418">
        <v>0.98438546621794643</v>
      </c>
      <c r="O33">
        <v>50.01</v>
      </c>
      <c r="P33">
        <v>12</v>
      </c>
    </row>
    <row r="34" spans="1:16" x14ac:dyDescent="0.2">
      <c r="A34" t="s">
        <v>4498</v>
      </c>
      <c r="B34">
        <v>3571.6003625200001</v>
      </c>
      <c r="C34">
        <v>0.52517194700000003</v>
      </c>
      <c r="D34" s="9">
        <v>0</v>
      </c>
      <c r="E34" s="9">
        <v>0</v>
      </c>
      <c r="F34" s="9">
        <v>0</v>
      </c>
      <c r="G34" s="9">
        <v>0</v>
      </c>
      <c r="H34" s="9">
        <v>0</v>
      </c>
      <c r="I34" s="9">
        <v>0</v>
      </c>
      <c r="J34" s="9">
        <v>0</v>
      </c>
      <c r="K34" s="9">
        <v>0</v>
      </c>
      <c r="L34" s="980">
        <v>0.20178190920126421</v>
      </c>
      <c r="M34" t="s">
        <v>5244</v>
      </c>
      <c r="N34" s="418">
        <v>0.80101943972733713</v>
      </c>
      <c r="O34">
        <v>12</v>
      </c>
      <c r="P34">
        <v>0</v>
      </c>
    </row>
    <row r="35" spans="1:16" x14ac:dyDescent="0.2">
      <c r="A35" t="s">
        <v>1109</v>
      </c>
      <c r="B35">
        <v>1161.335000027</v>
      </c>
      <c r="C35">
        <v>0.71739984700000003</v>
      </c>
      <c r="D35" s="9">
        <v>0</v>
      </c>
      <c r="E35" s="9">
        <v>0</v>
      </c>
      <c r="F35" s="9">
        <v>0</v>
      </c>
      <c r="G35" s="9">
        <v>0</v>
      </c>
      <c r="H35" s="9">
        <v>0</v>
      </c>
      <c r="I35" s="9">
        <v>0</v>
      </c>
      <c r="J35" s="9">
        <v>0</v>
      </c>
      <c r="K35" s="9">
        <v>0</v>
      </c>
      <c r="L35" s="980">
        <v>8.9610663880693747E-2</v>
      </c>
      <c r="M35" t="s">
        <v>5243</v>
      </c>
      <c r="N35" s="418">
        <v>0.98579513413093556</v>
      </c>
      <c r="O35">
        <v>3350.1</v>
      </c>
      <c r="P35">
        <v>0</v>
      </c>
    </row>
    <row r="36" spans="1:16" x14ac:dyDescent="0.2">
      <c r="A36" t="s">
        <v>1107</v>
      </c>
      <c r="B36">
        <v>1161.335000027</v>
      </c>
      <c r="C36">
        <v>0.71739984700000003</v>
      </c>
      <c r="D36" s="9">
        <v>0</v>
      </c>
      <c r="E36" s="9">
        <v>0</v>
      </c>
      <c r="F36" s="9">
        <v>0</v>
      </c>
      <c r="G36" s="9">
        <v>0</v>
      </c>
      <c r="H36" s="9">
        <v>0</v>
      </c>
      <c r="I36" s="9">
        <v>0</v>
      </c>
      <c r="J36" s="9">
        <v>0</v>
      </c>
      <c r="K36" s="9">
        <v>0</v>
      </c>
      <c r="L36" s="980">
        <v>8.9610663880693747E-2</v>
      </c>
      <c r="M36" t="s">
        <v>5242</v>
      </c>
      <c r="N36" s="418">
        <v>0.98579513413093556</v>
      </c>
      <c r="O36">
        <v>3350.1</v>
      </c>
      <c r="P36">
        <v>0</v>
      </c>
    </row>
    <row r="37" spans="1:16" x14ac:dyDescent="0.2">
      <c r="A37" t="s">
        <v>2534</v>
      </c>
      <c r="B37" s="9">
        <v>0</v>
      </c>
      <c r="C37" s="9">
        <v>0</v>
      </c>
      <c r="D37" s="9">
        <v>0</v>
      </c>
      <c r="E37" s="9">
        <v>0</v>
      </c>
      <c r="F37" s="9">
        <v>0</v>
      </c>
      <c r="G37" s="9">
        <v>0</v>
      </c>
      <c r="H37" s="9">
        <v>0</v>
      </c>
      <c r="I37" s="9">
        <v>0</v>
      </c>
      <c r="J37">
        <v>1053.0249738949999</v>
      </c>
      <c r="K37">
        <v>4010.0161733059999</v>
      </c>
      <c r="L37" s="980">
        <v>6.537073818864049E-2</v>
      </c>
      <c r="M37" t="s">
        <v>5223</v>
      </c>
      <c r="N37" s="418">
        <v>0.9846598234923809</v>
      </c>
      <c r="O37">
        <v>110</v>
      </c>
      <c r="P37">
        <v>0</v>
      </c>
    </row>
    <row r="38" spans="1:16" x14ac:dyDescent="0.2">
      <c r="A38" t="s">
        <v>155</v>
      </c>
      <c r="B38" s="9">
        <v>0</v>
      </c>
      <c r="C38" s="9">
        <v>0</v>
      </c>
      <c r="D38" s="9">
        <v>0</v>
      </c>
      <c r="E38" s="9">
        <v>0</v>
      </c>
      <c r="F38" s="9">
        <v>0</v>
      </c>
      <c r="G38" s="9">
        <v>0</v>
      </c>
      <c r="H38">
        <v>0.89436999900000003</v>
      </c>
      <c r="I38">
        <v>-7.5688345879999996</v>
      </c>
      <c r="J38">
        <v>587.64299956599996</v>
      </c>
      <c r="K38">
        <v>846.02694751900003</v>
      </c>
      <c r="L38" s="980">
        <v>0.19156077340949657</v>
      </c>
      <c r="M38" t="s">
        <v>5220</v>
      </c>
      <c r="N38" s="418">
        <v>0.99153579568237471</v>
      </c>
      <c r="O38">
        <v>42.1</v>
      </c>
      <c r="P38">
        <v>0</v>
      </c>
    </row>
    <row r="39" spans="1:16" x14ac:dyDescent="0.2">
      <c r="A39" t="s">
        <v>2670</v>
      </c>
      <c r="B39" s="9">
        <v>0</v>
      </c>
      <c r="C39" s="9">
        <v>0</v>
      </c>
      <c r="D39" s="9">
        <v>0</v>
      </c>
      <c r="E39" s="9">
        <v>0</v>
      </c>
      <c r="F39" s="9">
        <v>0</v>
      </c>
      <c r="G39" s="9">
        <v>0</v>
      </c>
      <c r="H39">
        <v>8.7416773000000003E-2</v>
      </c>
      <c r="I39">
        <v>3.727367106</v>
      </c>
      <c r="J39">
        <v>488.19409208000002</v>
      </c>
      <c r="K39">
        <v>3103.652214921</v>
      </c>
      <c r="L39" s="980">
        <v>0.15420855763774652</v>
      </c>
      <c r="M39" t="s">
        <v>5228</v>
      </c>
      <c r="N39" s="418">
        <v>0.95974019025607282</v>
      </c>
      <c r="O39">
        <v>36.1</v>
      </c>
      <c r="P39">
        <v>0</v>
      </c>
    </row>
    <row r="40" spans="1:16" x14ac:dyDescent="0.2">
      <c r="A40" t="s">
        <v>3178</v>
      </c>
      <c r="B40">
        <v>3220.9800634899998</v>
      </c>
      <c r="C40">
        <v>0.14804462199999999</v>
      </c>
      <c r="D40" s="9">
        <v>0</v>
      </c>
      <c r="E40" s="9">
        <v>0</v>
      </c>
      <c r="F40" s="9">
        <v>0</v>
      </c>
      <c r="G40" s="9">
        <v>0</v>
      </c>
      <c r="H40" s="9">
        <v>0</v>
      </c>
      <c r="I40" s="9">
        <v>0</v>
      </c>
      <c r="J40" s="9">
        <v>0</v>
      </c>
      <c r="K40" s="9">
        <v>0</v>
      </c>
      <c r="L40" s="980">
        <v>0.10096714189868675</v>
      </c>
      <c r="M40" t="s">
        <v>5222</v>
      </c>
      <c r="N40" s="418">
        <v>0.57579712716736775</v>
      </c>
      <c r="O40">
        <v>4.0999999999999996</v>
      </c>
      <c r="P40">
        <v>0</v>
      </c>
    </row>
    <row r="41" spans="1:16" x14ac:dyDescent="0.2">
      <c r="A41" t="s">
        <v>3180</v>
      </c>
      <c r="B41" s="9">
        <v>0</v>
      </c>
      <c r="C41" s="9">
        <v>0</v>
      </c>
      <c r="D41" s="9">
        <v>0</v>
      </c>
      <c r="E41" s="9">
        <v>0</v>
      </c>
      <c r="F41" s="9">
        <v>0</v>
      </c>
      <c r="G41" s="9">
        <v>0</v>
      </c>
      <c r="H41">
        <v>0.290528801</v>
      </c>
      <c r="I41">
        <v>-20.141018838000001</v>
      </c>
      <c r="J41">
        <v>567.62280550399998</v>
      </c>
      <c r="K41">
        <v>674.16116967899995</v>
      </c>
      <c r="L41" s="980">
        <v>8.7926571657932578E-2</v>
      </c>
      <c r="M41" t="s">
        <v>5225</v>
      </c>
      <c r="N41" s="418">
        <v>0.99588591793663983</v>
      </c>
      <c r="O41">
        <v>60.1</v>
      </c>
      <c r="P41">
        <v>0</v>
      </c>
    </row>
    <row r="42" spans="1:16" x14ac:dyDescent="0.2">
      <c r="A42" t="s">
        <v>3456</v>
      </c>
      <c r="B42" s="9">
        <v>0</v>
      </c>
      <c r="C42" s="9">
        <v>0</v>
      </c>
      <c r="D42" s="9">
        <v>0</v>
      </c>
      <c r="E42" s="9">
        <v>0</v>
      </c>
      <c r="F42" s="9">
        <v>0</v>
      </c>
      <c r="G42" s="9">
        <v>0</v>
      </c>
      <c r="H42" s="9">
        <v>0</v>
      </c>
      <c r="I42">
        <v>-1.863331E-3</v>
      </c>
      <c r="J42">
        <v>32.708272098999998</v>
      </c>
      <c r="K42">
        <v>11010.990013891</v>
      </c>
      <c r="L42" s="980">
        <v>0.21094164204140325</v>
      </c>
      <c r="M42" t="s">
        <v>5219</v>
      </c>
      <c r="N42" s="418">
        <v>0.97594209343125771</v>
      </c>
      <c r="O42">
        <v>5001</v>
      </c>
      <c r="P42">
        <v>0</v>
      </c>
    </row>
    <row r="43" spans="1:16" x14ac:dyDescent="0.2">
      <c r="A43" t="s">
        <v>3142</v>
      </c>
      <c r="B43" s="9">
        <v>0</v>
      </c>
      <c r="C43" s="9">
        <v>0</v>
      </c>
      <c r="D43" s="9">
        <v>0</v>
      </c>
      <c r="E43" s="9">
        <v>0</v>
      </c>
      <c r="F43" s="9">
        <v>0</v>
      </c>
      <c r="G43" s="9">
        <v>0</v>
      </c>
      <c r="H43" s="9">
        <v>0</v>
      </c>
      <c r="I43">
        <v>1.89841E-4</v>
      </c>
      <c r="J43">
        <v>1.125069329</v>
      </c>
      <c r="K43">
        <v>710.83996240299996</v>
      </c>
      <c r="L43" s="980">
        <v>0.19181540196500685</v>
      </c>
      <c r="M43" t="s">
        <v>5186</v>
      </c>
      <c r="N43" s="418">
        <v>0.9665490920876908</v>
      </c>
      <c r="O43">
        <v>6601</v>
      </c>
      <c r="P43">
        <v>0</v>
      </c>
    </row>
    <row r="44" spans="1:16" x14ac:dyDescent="0.2">
      <c r="A44" t="s">
        <v>4023</v>
      </c>
      <c r="B44" s="9">
        <v>0</v>
      </c>
      <c r="C44" s="9">
        <v>0</v>
      </c>
      <c r="D44" s="9">
        <v>0</v>
      </c>
      <c r="E44" s="9">
        <v>0</v>
      </c>
      <c r="F44" s="9">
        <v>0</v>
      </c>
      <c r="G44" s="9">
        <v>0</v>
      </c>
      <c r="H44">
        <v>-6.3409859129999999</v>
      </c>
      <c r="I44">
        <v>74.018844450000003</v>
      </c>
      <c r="J44">
        <v>18.864168258999999</v>
      </c>
      <c r="K44">
        <v>382.26834678300003</v>
      </c>
      <c r="L44" s="980">
        <v>5.9743910094769863E-2</v>
      </c>
      <c r="M44" t="s">
        <v>5221</v>
      </c>
      <c r="N44" s="418">
        <v>0.99412750729345456</v>
      </c>
      <c r="O44">
        <v>6.1</v>
      </c>
      <c r="P44">
        <v>0</v>
      </c>
    </row>
    <row r="45" spans="1:16" x14ac:dyDescent="0.2">
      <c r="A45" t="s">
        <v>2644</v>
      </c>
      <c r="B45" s="9">
        <v>0</v>
      </c>
      <c r="C45" s="9">
        <v>0</v>
      </c>
      <c r="D45" s="9">
        <v>0</v>
      </c>
      <c r="E45" s="9">
        <v>0</v>
      </c>
      <c r="F45" s="9">
        <v>0</v>
      </c>
      <c r="G45" s="9">
        <v>0</v>
      </c>
      <c r="H45" s="9">
        <v>0</v>
      </c>
      <c r="I45">
        <v>23.867181313</v>
      </c>
      <c r="J45">
        <v>53.974127154000001</v>
      </c>
      <c r="K45">
        <v>43.165150769999997</v>
      </c>
      <c r="L45" s="980">
        <v>0.1427349787694592</v>
      </c>
      <c r="M45" t="s">
        <v>5210</v>
      </c>
      <c r="N45" s="418">
        <v>0.93375154994717469</v>
      </c>
      <c r="O45">
        <v>12.1</v>
      </c>
      <c r="P45">
        <v>0</v>
      </c>
    </row>
    <row r="46" spans="1:16" x14ac:dyDescent="0.2">
      <c r="A46" t="s">
        <v>5200</v>
      </c>
      <c r="B46" s="9">
        <v>0</v>
      </c>
      <c r="C46" s="9">
        <v>0</v>
      </c>
      <c r="D46" s="9">
        <v>0</v>
      </c>
      <c r="E46" s="9">
        <v>0</v>
      </c>
      <c r="F46" s="9">
        <v>0</v>
      </c>
      <c r="G46" s="9">
        <v>0</v>
      </c>
      <c r="H46" s="9">
        <v>0</v>
      </c>
      <c r="I46" s="9">
        <v>0</v>
      </c>
      <c r="J46">
        <v>2553.3443597519999</v>
      </c>
      <c r="K46">
        <v>-25690.347540136001</v>
      </c>
      <c r="L46" s="980">
        <v>0.1288535088310907</v>
      </c>
      <c r="M46" t="s">
        <v>5201</v>
      </c>
      <c r="N46" s="418">
        <v>0.81137657813383668</v>
      </c>
      <c r="O46">
        <v>24.1</v>
      </c>
      <c r="P46">
        <v>14</v>
      </c>
    </row>
    <row r="47" spans="1:16" x14ac:dyDescent="0.2">
      <c r="A47" t="s">
        <v>5202</v>
      </c>
      <c r="B47" s="9">
        <v>0</v>
      </c>
      <c r="C47" s="9">
        <v>0</v>
      </c>
      <c r="D47" s="9">
        <v>0</v>
      </c>
      <c r="E47" s="9">
        <v>0</v>
      </c>
      <c r="F47" s="9">
        <v>0</v>
      </c>
      <c r="G47" s="9">
        <v>0</v>
      </c>
      <c r="H47" s="9">
        <v>0</v>
      </c>
      <c r="I47">
        <v>12.117823524</v>
      </c>
      <c r="J47">
        <v>45.057729000000002</v>
      </c>
      <c r="K47">
        <v>112.997449909</v>
      </c>
      <c r="L47" s="980">
        <v>0.25566288048231928</v>
      </c>
      <c r="M47" t="s">
        <v>5203</v>
      </c>
      <c r="N47" s="418">
        <v>0.86317684069618528</v>
      </c>
      <c r="O47">
        <v>12</v>
      </c>
      <c r="P47">
        <v>0</v>
      </c>
    </row>
    <row r="48" spans="1:16" x14ac:dyDescent="0.2">
      <c r="A48" t="s">
        <v>5194</v>
      </c>
      <c r="B48" s="9">
        <v>0</v>
      </c>
      <c r="C48" s="9">
        <v>0</v>
      </c>
      <c r="D48" s="9">
        <v>0</v>
      </c>
      <c r="E48" s="9">
        <v>0</v>
      </c>
      <c r="F48" s="9">
        <v>0</v>
      </c>
      <c r="G48" s="9">
        <v>0</v>
      </c>
      <c r="H48" s="9">
        <v>0</v>
      </c>
      <c r="I48" s="9">
        <v>0</v>
      </c>
      <c r="J48">
        <v>2443.3800723099998</v>
      </c>
      <c r="K48">
        <v>-21582.792424030999</v>
      </c>
      <c r="L48" s="980">
        <v>0.10606175481157647</v>
      </c>
      <c r="M48" t="s">
        <v>5195</v>
      </c>
      <c r="N48" s="418">
        <v>0.84845770106442142</v>
      </c>
      <c r="O48">
        <v>24.1</v>
      </c>
      <c r="P48">
        <v>14</v>
      </c>
    </row>
    <row r="49" spans="1:16" x14ac:dyDescent="0.2">
      <c r="A49" t="s">
        <v>5196</v>
      </c>
      <c r="B49" s="9">
        <v>0</v>
      </c>
      <c r="C49" s="9">
        <v>0</v>
      </c>
      <c r="D49" s="9">
        <v>0</v>
      </c>
      <c r="E49" s="9">
        <v>0</v>
      </c>
      <c r="F49">
        <v>599.000620282</v>
      </c>
      <c r="G49">
        <v>0.18198897</v>
      </c>
      <c r="H49" s="9">
        <v>0</v>
      </c>
      <c r="I49" s="9">
        <v>0</v>
      </c>
      <c r="J49" s="9">
        <v>0</v>
      </c>
      <c r="K49" s="9">
        <v>0</v>
      </c>
      <c r="L49" s="980">
        <v>0.1044259768556962</v>
      </c>
      <c r="M49" t="s">
        <v>5197</v>
      </c>
      <c r="N49" s="418">
        <v>0.97980463453751598</v>
      </c>
      <c r="O49">
        <v>12</v>
      </c>
      <c r="P49">
        <v>0</v>
      </c>
    </row>
    <row r="50" spans="1:16" x14ac:dyDescent="0.2">
      <c r="A50" t="s">
        <v>2664</v>
      </c>
      <c r="B50" s="9">
        <v>0</v>
      </c>
      <c r="C50" s="9">
        <v>0</v>
      </c>
      <c r="D50" s="9">
        <v>0</v>
      </c>
      <c r="E50" s="9">
        <v>0</v>
      </c>
      <c r="F50" s="9">
        <v>0</v>
      </c>
      <c r="G50" s="9">
        <v>0</v>
      </c>
      <c r="H50">
        <v>0.48667437299999999</v>
      </c>
      <c r="I50">
        <v>-19.177375645000001</v>
      </c>
      <c r="J50">
        <v>593.88035160699997</v>
      </c>
      <c r="K50">
        <v>1500.545795131</v>
      </c>
      <c r="L50" s="980">
        <v>4.521517984937741E-2</v>
      </c>
      <c r="M50" t="s">
        <v>5227</v>
      </c>
      <c r="N50" s="418">
        <v>0.99578400826432001</v>
      </c>
      <c r="O50">
        <v>36.1</v>
      </c>
      <c r="P50">
        <v>0</v>
      </c>
    </row>
    <row r="51" spans="1:16" x14ac:dyDescent="0.2">
      <c r="A51" t="s">
        <v>3139</v>
      </c>
      <c r="B51" s="9">
        <v>0</v>
      </c>
      <c r="C51" s="9">
        <v>0</v>
      </c>
      <c r="D51" s="9">
        <v>0</v>
      </c>
      <c r="E51" s="9">
        <v>0</v>
      </c>
      <c r="F51" s="9">
        <v>0</v>
      </c>
      <c r="G51" s="9">
        <v>0</v>
      </c>
      <c r="H51" s="9">
        <v>0</v>
      </c>
      <c r="I51">
        <v>-6.7002999999999995E-4</v>
      </c>
      <c r="J51">
        <v>14.809014980000001</v>
      </c>
      <c r="K51">
        <v>4093.494684836</v>
      </c>
      <c r="L51" s="980">
        <v>0.16787720556525074</v>
      </c>
      <c r="M51" t="s">
        <v>5212</v>
      </c>
      <c r="N51" s="418">
        <v>0.95812431183124169</v>
      </c>
      <c r="O51">
        <v>10001</v>
      </c>
      <c r="P51">
        <v>0</v>
      </c>
    </row>
    <row r="52" spans="1:16" x14ac:dyDescent="0.2">
      <c r="A52" t="s">
        <v>1436</v>
      </c>
      <c r="B52" s="9">
        <v>0</v>
      </c>
      <c r="C52" s="9">
        <v>0</v>
      </c>
      <c r="D52" s="9">
        <v>0</v>
      </c>
      <c r="E52" s="9">
        <v>0</v>
      </c>
      <c r="F52">
        <v>1147.9723958510001</v>
      </c>
      <c r="G52">
        <v>5.4740779000000003E-2</v>
      </c>
      <c r="H52" s="9">
        <v>0</v>
      </c>
      <c r="I52" s="9">
        <v>0</v>
      </c>
      <c r="J52" s="9">
        <v>0</v>
      </c>
      <c r="K52" s="9">
        <v>0</v>
      </c>
      <c r="L52" s="980">
        <v>0.39676137270947814</v>
      </c>
      <c r="M52" t="s">
        <v>5216</v>
      </c>
      <c r="N52" s="418">
        <v>0.62162919975925868</v>
      </c>
      <c r="O52">
        <v>21.01</v>
      </c>
      <c r="P52">
        <v>0</v>
      </c>
    </row>
    <row r="53" spans="1:16" x14ac:dyDescent="0.2">
      <c r="A53" t="s">
        <v>1434</v>
      </c>
      <c r="B53" s="9">
        <v>0</v>
      </c>
      <c r="C53" s="9">
        <v>0</v>
      </c>
      <c r="D53" s="9">
        <v>0</v>
      </c>
      <c r="E53" s="9">
        <v>0</v>
      </c>
      <c r="F53" s="9">
        <v>0</v>
      </c>
      <c r="G53" s="9">
        <v>0</v>
      </c>
      <c r="H53">
        <v>5.8459699999999996E-4</v>
      </c>
      <c r="I53">
        <v>-0.31291286000000001</v>
      </c>
      <c r="J53">
        <v>58.800444323000001</v>
      </c>
      <c r="K53">
        <v>3000.5306602579999</v>
      </c>
      <c r="L53" s="980">
        <v>5.9121223134457057E-2</v>
      </c>
      <c r="M53" t="s">
        <v>5214</v>
      </c>
      <c r="N53" s="418">
        <v>0.95805697100435294</v>
      </c>
      <c r="O53">
        <v>132.01</v>
      </c>
      <c r="P53">
        <v>0</v>
      </c>
    </row>
    <row r="54" spans="1:16" x14ac:dyDescent="0.2">
      <c r="A54" t="s">
        <v>2632</v>
      </c>
      <c r="B54" s="9">
        <v>0</v>
      </c>
      <c r="C54" s="9">
        <v>0</v>
      </c>
      <c r="D54" s="9">
        <v>0</v>
      </c>
      <c r="E54" s="9">
        <v>0</v>
      </c>
      <c r="F54" s="9">
        <v>0</v>
      </c>
      <c r="G54" s="9">
        <v>0</v>
      </c>
      <c r="H54" s="9">
        <v>0</v>
      </c>
      <c r="I54">
        <v>9.7106987000000006E-2</v>
      </c>
      <c r="J54">
        <v>0.800977414</v>
      </c>
      <c r="K54">
        <v>1.427719425</v>
      </c>
      <c r="L54" s="980">
        <v>0.19469475172443332</v>
      </c>
      <c r="M54" s="993" t="s">
        <v>5191</v>
      </c>
      <c r="N54" s="418">
        <v>0.99750218963449888</v>
      </c>
      <c r="O54">
        <v>48.1</v>
      </c>
      <c r="P54">
        <v>0</v>
      </c>
    </row>
    <row r="55" spans="1:16" x14ac:dyDescent="0.2">
      <c r="A55" t="s">
        <v>1303</v>
      </c>
      <c r="B55" s="9">
        <v>0</v>
      </c>
      <c r="C55" s="9">
        <v>0</v>
      </c>
      <c r="D55" s="9">
        <v>0</v>
      </c>
      <c r="E55" s="9">
        <v>0</v>
      </c>
      <c r="F55" s="9">
        <v>0</v>
      </c>
      <c r="G55" s="9">
        <v>0</v>
      </c>
      <c r="H55" s="9">
        <v>0</v>
      </c>
      <c r="I55">
        <v>22.470786887999999</v>
      </c>
      <c r="J55">
        <v>2229.8918400309999</v>
      </c>
      <c r="K55">
        <v>-1911.930587201</v>
      </c>
      <c r="L55" s="980">
        <v>0.10253211443061497</v>
      </c>
      <c r="M55" t="s">
        <v>5224</v>
      </c>
      <c r="N55" s="418">
        <v>0.97755716442117768</v>
      </c>
      <c r="O55">
        <v>8.1</v>
      </c>
      <c r="P55">
        <v>1.5</v>
      </c>
    </row>
    <row r="56" spans="1:16" x14ac:dyDescent="0.2">
      <c r="A56" t="s">
        <v>2645</v>
      </c>
      <c r="B56" s="9">
        <v>0</v>
      </c>
      <c r="C56" s="9">
        <v>0</v>
      </c>
      <c r="D56" s="9">
        <v>0</v>
      </c>
      <c r="E56" s="9">
        <v>0</v>
      </c>
      <c r="F56" s="9">
        <v>0</v>
      </c>
      <c r="G56" s="9">
        <v>0</v>
      </c>
      <c r="H56" s="9">
        <v>0</v>
      </c>
      <c r="I56">
        <v>43.739370735000001</v>
      </c>
      <c r="J56">
        <v>186.790998664</v>
      </c>
      <c r="K56">
        <v>114.073407746</v>
      </c>
      <c r="L56" s="980">
        <v>0.22117751729640323</v>
      </c>
      <c r="M56" t="s">
        <v>5209</v>
      </c>
      <c r="N56" s="418">
        <v>0.98072611838110124</v>
      </c>
      <c r="O56">
        <v>48.1</v>
      </c>
      <c r="P56">
        <v>0</v>
      </c>
    </row>
    <row r="57" spans="1:16" x14ac:dyDescent="0.2">
      <c r="A57" t="s">
        <v>3781</v>
      </c>
      <c r="B57">
        <v>57.021589231</v>
      </c>
      <c r="C57">
        <v>0.72932539100000005</v>
      </c>
      <c r="D57" s="9">
        <v>0</v>
      </c>
      <c r="E57" s="9">
        <v>0</v>
      </c>
      <c r="F57" s="9">
        <v>0</v>
      </c>
      <c r="G57" s="9">
        <v>0</v>
      </c>
      <c r="H57" s="9">
        <v>0</v>
      </c>
      <c r="I57" s="9">
        <v>0</v>
      </c>
      <c r="J57" s="9">
        <v>0</v>
      </c>
      <c r="K57" s="9">
        <v>0</v>
      </c>
      <c r="L57" s="980">
        <v>6.872076181729754E-2</v>
      </c>
      <c r="M57" t="s">
        <v>5188</v>
      </c>
      <c r="N57" s="418">
        <v>0.99494997588312595</v>
      </c>
      <c r="O57">
        <v>30001</v>
      </c>
      <c r="P57">
        <v>0</v>
      </c>
    </row>
    <row r="58" spans="1:16" x14ac:dyDescent="0.2">
      <c r="A58" t="s">
        <v>1437</v>
      </c>
      <c r="B58">
        <v>2305.9222008940001</v>
      </c>
      <c r="C58">
        <v>0.140989643</v>
      </c>
      <c r="D58" s="9">
        <v>0</v>
      </c>
      <c r="E58" s="9">
        <v>0</v>
      </c>
      <c r="F58" s="9">
        <v>0</v>
      </c>
      <c r="G58" s="9">
        <v>0</v>
      </c>
      <c r="H58" s="9">
        <v>0</v>
      </c>
      <c r="I58" s="9">
        <v>0</v>
      </c>
      <c r="J58" s="9">
        <v>0</v>
      </c>
      <c r="K58" s="9">
        <v>0</v>
      </c>
      <c r="L58" s="980">
        <v>0.19379304652600138</v>
      </c>
      <c r="M58" t="s">
        <v>5217</v>
      </c>
      <c r="N58" s="418">
        <v>0.40093386922936991</v>
      </c>
      <c r="O58">
        <v>21.01</v>
      </c>
      <c r="P58">
        <v>0</v>
      </c>
    </row>
    <row r="59" spans="1:16" x14ac:dyDescent="0.2">
      <c r="A59" t="s">
        <v>2642</v>
      </c>
      <c r="B59">
        <v>271.98316458599999</v>
      </c>
      <c r="C59">
        <v>0.92578415199999997</v>
      </c>
      <c r="D59" s="9">
        <v>0</v>
      </c>
      <c r="E59" s="9">
        <v>0</v>
      </c>
      <c r="F59" s="9">
        <v>0</v>
      </c>
      <c r="G59" s="9">
        <v>0</v>
      </c>
      <c r="H59" s="9">
        <v>0</v>
      </c>
      <c r="I59" s="9">
        <v>0</v>
      </c>
      <c r="J59" s="9">
        <v>0</v>
      </c>
      <c r="K59" s="9">
        <v>0</v>
      </c>
      <c r="L59" s="980">
        <v>0.19376804452462798</v>
      </c>
      <c r="M59" t="s">
        <v>5204</v>
      </c>
      <c r="N59" s="418">
        <v>0.8807162518733741</v>
      </c>
      <c r="O59">
        <v>12.1</v>
      </c>
      <c r="P59">
        <v>0</v>
      </c>
    </row>
    <row r="60" spans="1:16" x14ac:dyDescent="0.2">
      <c r="A60" t="s">
        <v>1435</v>
      </c>
      <c r="B60" s="9">
        <v>0</v>
      </c>
      <c r="C60" s="9">
        <v>0</v>
      </c>
      <c r="D60" s="9">
        <v>0</v>
      </c>
      <c r="E60" s="9">
        <v>0</v>
      </c>
      <c r="F60" s="9">
        <v>0</v>
      </c>
      <c r="G60" s="9">
        <v>0</v>
      </c>
      <c r="H60" s="9">
        <v>0</v>
      </c>
      <c r="I60">
        <v>-0.19761578099999999</v>
      </c>
      <c r="J60">
        <v>60.928056216999998</v>
      </c>
      <c r="K60">
        <v>3430.8004552430002</v>
      </c>
      <c r="L60" s="980">
        <v>5.3382527173068531E-2</v>
      </c>
      <c r="M60" t="s">
        <v>5215</v>
      </c>
      <c r="N60" s="418">
        <v>0.97321402756132269</v>
      </c>
      <c r="O60">
        <v>132.01</v>
      </c>
      <c r="P60">
        <v>0</v>
      </c>
    </row>
    <row r="61" spans="1:16" x14ac:dyDescent="0.2">
      <c r="A61" t="s">
        <v>2636</v>
      </c>
      <c r="B61" s="9">
        <v>0</v>
      </c>
      <c r="C61" s="9">
        <v>0</v>
      </c>
      <c r="D61" s="9">
        <v>0</v>
      </c>
      <c r="E61" s="9">
        <v>0</v>
      </c>
      <c r="F61" s="9">
        <v>0</v>
      </c>
      <c r="G61" s="9">
        <v>0</v>
      </c>
      <c r="H61">
        <v>1.4813451259999999</v>
      </c>
      <c r="I61">
        <v>44.575825872999999</v>
      </c>
      <c r="J61">
        <v>-42.850924452000001</v>
      </c>
      <c r="K61">
        <v>1429.5852851469999</v>
      </c>
      <c r="L61" s="980">
        <v>0.27548354444948392</v>
      </c>
      <c r="M61" t="s">
        <v>5198</v>
      </c>
      <c r="N61" s="418">
        <v>0.93859465845858792</v>
      </c>
      <c r="O61">
        <v>48.1</v>
      </c>
      <c r="P61">
        <v>0</v>
      </c>
    </row>
    <row r="62" spans="1:16" x14ac:dyDescent="0.2">
      <c r="A62" t="s">
        <v>2633</v>
      </c>
      <c r="B62" s="9">
        <v>0</v>
      </c>
      <c r="C62" s="9">
        <v>0</v>
      </c>
      <c r="D62" s="9">
        <v>0</v>
      </c>
      <c r="E62" s="9">
        <v>0</v>
      </c>
      <c r="F62" s="9">
        <v>0</v>
      </c>
      <c r="G62" s="9">
        <v>0</v>
      </c>
      <c r="H62">
        <v>4.8585111E-2</v>
      </c>
      <c r="I62">
        <v>-2.5845256220000001</v>
      </c>
      <c r="J62">
        <v>58.928328317999998</v>
      </c>
      <c r="K62">
        <v>-12.466035675000001</v>
      </c>
      <c r="L62" s="980">
        <v>0.25605913422579951</v>
      </c>
      <c r="M62" t="s">
        <v>5192</v>
      </c>
      <c r="N62" s="418">
        <v>0.93646598728443631</v>
      </c>
      <c r="O62">
        <v>48.1</v>
      </c>
      <c r="P62">
        <v>0</v>
      </c>
    </row>
    <row r="63" spans="1:16" x14ac:dyDescent="0.2">
      <c r="A63" t="s">
        <v>2628</v>
      </c>
      <c r="B63" s="9">
        <v>0</v>
      </c>
      <c r="C63" s="9">
        <v>0</v>
      </c>
      <c r="D63" s="9">
        <v>0</v>
      </c>
      <c r="E63" s="9">
        <v>0</v>
      </c>
      <c r="F63" s="9">
        <v>0</v>
      </c>
      <c r="G63" s="9">
        <v>0</v>
      </c>
      <c r="H63">
        <v>4.0000000000000001E-8</v>
      </c>
      <c r="I63">
        <v>-1.6522430000000001E-3</v>
      </c>
      <c r="J63">
        <v>26.487093706</v>
      </c>
      <c r="K63">
        <v>28673.43064482</v>
      </c>
      <c r="L63" s="980">
        <v>0.14140922623004518</v>
      </c>
      <c r="M63" t="s">
        <v>5179</v>
      </c>
      <c r="N63" s="418">
        <v>0.98549217500950392</v>
      </c>
      <c r="O63">
        <v>27101</v>
      </c>
      <c r="P63">
        <v>0</v>
      </c>
    </row>
    <row r="64" spans="1:16" x14ac:dyDescent="0.2">
      <c r="A64" t="s">
        <v>2630</v>
      </c>
      <c r="B64">
        <v>308.93713092600001</v>
      </c>
      <c r="C64">
        <v>0.50146757099999995</v>
      </c>
      <c r="D64" s="9">
        <v>0</v>
      </c>
      <c r="E64" s="9">
        <v>0</v>
      </c>
      <c r="F64" s="9">
        <v>0</v>
      </c>
      <c r="G64" s="9">
        <v>0</v>
      </c>
      <c r="H64" s="9">
        <v>0</v>
      </c>
      <c r="I64" s="9">
        <v>0</v>
      </c>
      <c r="J64" s="9">
        <v>0</v>
      </c>
      <c r="K64" s="9">
        <v>0</v>
      </c>
      <c r="L64" s="980">
        <v>0.20490922198574954</v>
      </c>
      <c r="M64" t="s">
        <v>5183</v>
      </c>
      <c r="N64" s="418">
        <v>0.95117028776390522</v>
      </c>
      <c r="O64">
        <v>289001</v>
      </c>
      <c r="P64">
        <v>0</v>
      </c>
    </row>
    <row r="65" spans="1:16" x14ac:dyDescent="0.2">
      <c r="A65" t="s">
        <v>2634</v>
      </c>
      <c r="B65">
        <v>20.769417377</v>
      </c>
      <c r="C65">
        <v>0.92382198999999998</v>
      </c>
      <c r="D65" s="9">
        <v>0</v>
      </c>
      <c r="E65" s="9">
        <v>0</v>
      </c>
      <c r="F65" s="9">
        <v>0</v>
      </c>
      <c r="G65" s="9">
        <v>0</v>
      </c>
      <c r="H65" s="9">
        <v>0</v>
      </c>
      <c r="I65" s="9">
        <v>0</v>
      </c>
      <c r="J65" s="9">
        <v>0</v>
      </c>
      <c r="K65" s="9">
        <v>0</v>
      </c>
      <c r="L65" s="980">
        <v>0.42911927902362179</v>
      </c>
      <c r="M65" t="s">
        <v>5193</v>
      </c>
      <c r="N65" s="418">
        <v>0.39930452928082849</v>
      </c>
      <c r="O65">
        <v>48.1</v>
      </c>
      <c r="P65">
        <v>0</v>
      </c>
    </row>
    <row r="66" spans="1:16" x14ac:dyDescent="0.2">
      <c r="A66" t="s">
        <v>2667</v>
      </c>
      <c r="B66" s="9">
        <v>0</v>
      </c>
      <c r="C66" s="9">
        <v>0</v>
      </c>
      <c r="D66" s="9">
        <v>0</v>
      </c>
      <c r="E66" s="9">
        <v>0</v>
      </c>
      <c r="F66" s="9">
        <v>0</v>
      </c>
      <c r="G66" s="9">
        <v>0</v>
      </c>
      <c r="H66">
        <v>-8.9659137E-2</v>
      </c>
      <c r="I66">
        <v>7.3814192910000003</v>
      </c>
      <c r="J66">
        <v>135.40877886999999</v>
      </c>
      <c r="K66">
        <v>2010.462068774</v>
      </c>
      <c r="L66" s="980">
        <v>7.9589033678493251E-2</v>
      </c>
      <c r="M66" t="s">
        <v>5226</v>
      </c>
      <c r="N66" s="418">
        <v>0.98202299755210409</v>
      </c>
      <c r="O66">
        <v>48.1</v>
      </c>
      <c r="P66">
        <v>0</v>
      </c>
    </row>
  </sheetData>
  <sortState xmlns:xlrd2="http://schemas.microsoft.com/office/spreadsheetml/2017/richdata2" ref="A6:P66">
    <sortCondition ref="A6:A66"/>
  </sortState>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504B-5DF6-4087-A17A-AD5B909B384B}">
  <dimension ref="A1:G1621"/>
  <sheetViews>
    <sheetView workbookViewId="0">
      <pane ySplit="4" topLeftCell="A5" activePane="bottomLeft" state="frozen"/>
      <selection pane="bottomLeft"/>
    </sheetView>
  </sheetViews>
  <sheetFormatPr defaultRowHeight="12.75" x14ac:dyDescent="0.2"/>
  <cols>
    <col min="1" max="1" width="22.7109375" customWidth="1"/>
    <col min="2" max="2" width="32.140625" customWidth="1"/>
    <col min="3" max="3" width="20.7109375" customWidth="1"/>
    <col min="4" max="4" width="20.28515625" customWidth="1"/>
    <col min="5" max="5" width="16.5703125" bestFit="1" customWidth="1"/>
    <col min="6" max="6" width="16.5703125" customWidth="1"/>
    <col min="7" max="11" width="14.28515625" customWidth="1"/>
    <col min="12" max="12" width="6.7109375" customWidth="1"/>
    <col min="13" max="18" width="14.28515625" customWidth="1"/>
    <col min="19" max="19" width="6.7109375" customWidth="1"/>
    <col min="20" max="24" width="14.28515625" customWidth="1"/>
    <col min="25" max="25" width="6.7109375" customWidth="1"/>
    <col min="26" max="30" width="14.28515625" customWidth="1"/>
    <col min="31" max="31" width="6.7109375" customWidth="1"/>
    <col min="32" max="36" width="14.28515625" customWidth="1"/>
    <col min="37" max="37" width="6.7109375" customWidth="1"/>
    <col min="38" max="42" width="14.28515625" customWidth="1"/>
    <col min="43" max="43" width="6.7109375" customWidth="1"/>
    <col min="44" max="44" width="8.85546875" customWidth="1"/>
    <col min="46" max="51" width="8.85546875" customWidth="1"/>
    <col min="52" max="52" width="9.5703125" bestFit="1" customWidth="1"/>
    <col min="53" max="53" width="8.85546875" customWidth="1"/>
    <col min="54" max="54" width="9.28515625" bestFit="1" customWidth="1"/>
    <col min="55" max="59" width="8.85546875" customWidth="1"/>
  </cols>
  <sheetData>
    <row r="1" spans="1:6" x14ac:dyDescent="0.2">
      <c r="A1" s="1" t="s">
        <v>4500</v>
      </c>
    </row>
    <row r="2" spans="1:6" x14ac:dyDescent="0.2">
      <c r="A2" s="725" t="s">
        <v>5259</v>
      </c>
    </row>
    <row r="3" spans="1:6" x14ac:dyDescent="0.2">
      <c r="A3" s="725" t="s">
        <v>5260</v>
      </c>
    </row>
    <row r="5" spans="1:6" x14ac:dyDescent="0.2">
      <c r="A5" s="934" t="s">
        <v>4501</v>
      </c>
      <c r="B5" s="934" t="s">
        <v>4502</v>
      </c>
      <c r="C5" s="934"/>
      <c r="D5" s="934"/>
      <c r="E5" s="934"/>
      <c r="F5" s="934"/>
    </row>
    <row r="6" spans="1:6" x14ac:dyDescent="0.2">
      <c r="A6" s="944">
        <v>43</v>
      </c>
      <c r="B6" s="116"/>
      <c r="C6" s="116"/>
      <c r="D6" s="116" t="s">
        <v>2343</v>
      </c>
      <c r="E6" s="116" t="s">
        <v>4503</v>
      </c>
      <c r="F6" s="116" t="s">
        <v>4504</v>
      </c>
    </row>
    <row r="7" spans="1:6" x14ac:dyDescent="0.2">
      <c r="A7" s="3" t="s">
        <v>4505</v>
      </c>
      <c r="B7">
        <v>0</v>
      </c>
      <c r="C7">
        <v>0</v>
      </c>
      <c r="D7" s="419">
        <v>600.18707669670891</v>
      </c>
      <c r="E7">
        <v>15</v>
      </c>
      <c r="F7">
        <v>14</v>
      </c>
    </row>
    <row r="10" spans="1:6" x14ac:dyDescent="0.2">
      <c r="A10" s="934" t="s">
        <v>4506</v>
      </c>
      <c r="B10" s="934" t="s">
        <v>4507</v>
      </c>
      <c r="C10" s="934"/>
      <c r="D10" s="934"/>
      <c r="E10" s="934"/>
      <c r="F10" s="934"/>
    </row>
    <row r="11" spans="1:6" x14ac:dyDescent="0.2">
      <c r="A11" s="944">
        <v>30</v>
      </c>
      <c r="B11" s="116" t="s">
        <v>4508</v>
      </c>
      <c r="C11" s="116" t="s">
        <v>4509</v>
      </c>
      <c r="D11" s="899" t="s">
        <v>4510</v>
      </c>
      <c r="E11" s="116" t="s">
        <v>4503</v>
      </c>
      <c r="F11" s="116" t="s">
        <v>4504</v>
      </c>
    </row>
    <row r="12" spans="1:6" x14ac:dyDescent="0.2">
      <c r="A12" s="3" t="s">
        <v>4511</v>
      </c>
      <c r="B12">
        <v>0</v>
      </c>
      <c r="C12">
        <v>10</v>
      </c>
      <c r="D12" s="419">
        <v>3765.081740826402</v>
      </c>
      <c r="E12">
        <v>20</v>
      </c>
      <c r="F12">
        <v>17</v>
      </c>
    </row>
    <row r="13" spans="1:6" x14ac:dyDescent="0.2">
      <c r="A13" s="3"/>
      <c r="B13">
        <v>11</v>
      </c>
      <c r="C13">
        <v>30</v>
      </c>
      <c r="D13" s="419">
        <v>4254.6995836907727</v>
      </c>
      <c r="E13">
        <v>20</v>
      </c>
      <c r="F13">
        <v>17</v>
      </c>
    </row>
    <row r="14" spans="1:6" x14ac:dyDescent="0.2">
      <c r="A14" s="3"/>
      <c r="B14">
        <v>31</v>
      </c>
      <c r="C14">
        <v>200</v>
      </c>
      <c r="D14" s="419">
        <v>12125.919025502953</v>
      </c>
      <c r="E14">
        <v>20</v>
      </c>
      <c r="F14">
        <v>17</v>
      </c>
    </row>
    <row r="15" spans="1:6" x14ac:dyDescent="0.2">
      <c r="A15" s="3"/>
      <c r="B15">
        <v>201</v>
      </c>
      <c r="C15">
        <v>500</v>
      </c>
      <c r="D15" s="419">
        <v>13969.613526038316</v>
      </c>
      <c r="E15">
        <v>20</v>
      </c>
      <c r="F15">
        <v>17</v>
      </c>
    </row>
    <row r="16" spans="1:6" x14ac:dyDescent="0.2">
      <c r="A16" s="3"/>
      <c r="B16">
        <v>501</v>
      </c>
      <c r="C16">
        <v>750</v>
      </c>
      <c r="D16" s="419">
        <v>17759.918572183145</v>
      </c>
      <c r="E16">
        <v>20</v>
      </c>
      <c r="F16">
        <v>17</v>
      </c>
    </row>
    <row r="17" spans="1:6" x14ac:dyDescent="0.2">
      <c r="A17" s="3"/>
      <c r="B17">
        <v>751</v>
      </c>
      <c r="C17">
        <v>1000</v>
      </c>
      <c r="D17" s="419">
        <v>18367.928438860366</v>
      </c>
      <c r="E17">
        <v>20</v>
      </c>
      <c r="F17">
        <v>17</v>
      </c>
    </row>
    <row r="18" spans="1:6" x14ac:dyDescent="0.2">
      <c r="A18" s="3"/>
      <c r="B18">
        <v>1001</v>
      </c>
      <c r="C18">
        <v>1500</v>
      </c>
      <c r="D18" s="419">
        <v>23207.19064302601</v>
      </c>
      <c r="E18">
        <v>20</v>
      </c>
      <c r="F18">
        <v>17</v>
      </c>
    </row>
    <row r="19" spans="1:6" x14ac:dyDescent="0.2">
      <c r="A19" s="3"/>
      <c r="B19">
        <v>1501</v>
      </c>
      <c r="C19">
        <v>2000</v>
      </c>
      <c r="D19" s="419">
        <v>33543.358376538781</v>
      </c>
      <c r="E19">
        <v>20</v>
      </c>
      <c r="F19">
        <v>17</v>
      </c>
    </row>
    <row r="20" spans="1:6" x14ac:dyDescent="0.2">
      <c r="A20" s="3"/>
      <c r="B20">
        <v>2001</v>
      </c>
      <c r="C20">
        <v>3000</v>
      </c>
      <c r="D20" s="419">
        <v>38246.128569817702</v>
      </c>
      <c r="E20">
        <v>20</v>
      </c>
      <c r="F20">
        <v>17</v>
      </c>
    </row>
    <row r="21" spans="1:6" x14ac:dyDescent="0.2">
      <c r="A21" s="3"/>
      <c r="B21">
        <v>3001</v>
      </c>
      <c r="C21">
        <v>3500</v>
      </c>
      <c r="D21" s="419">
        <v>41894.187769881028</v>
      </c>
      <c r="E21">
        <v>20</v>
      </c>
      <c r="F21">
        <v>17</v>
      </c>
    </row>
    <row r="22" spans="1:6" x14ac:dyDescent="0.2">
      <c r="A22" s="3"/>
      <c r="B22">
        <v>3501</v>
      </c>
      <c r="C22">
        <v>4000</v>
      </c>
      <c r="D22" s="419">
        <v>44289.002142711717</v>
      </c>
      <c r="E22">
        <v>20</v>
      </c>
      <c r="F22">
        <v>17</v>
      </c>
    </row>
    <row r="23" spans="1:6" x14ac:dyDescent="0.2">
      <c r="A23" s="3"/>
      <c r="B23">
        <v>4001</v>
      </c>
      <c r="C23">
        <v>6000</v>
      </c>
      <c r="D23" s="419">
        <v>82333.048086229319</v>
      </c>
      <c r="E23">
        <v>20</v>
      </c>
      <c r="F23">
        <v>17</v>
      </c>
    </row>
    <row r="24" spans="1:6" x14ac:dyDescent="0.2">
      <c r="A24" s="3"/>
      <c r="B24">
        <v>6001</v>
      </c>
      <c r="C24">
        <v>10000</v>
      </c>
      <c r="D24" s="419">
        <v>89174.66776026864</v>
      </c>
      <c r="E24">
        <v>20</v>
      </c>
      <c r="F24">
        <v>17</v>
      </c>
    </row>
    <row r="25" spans="1:6" x14ac:dyDescent="0.2">
      <c r="A25" s="3"/>
      <c r="B25">
        <v>10001</v>
      </c>
      <c r="C25" t="s">
        <v>687</v>
      </c>
      <c r="D25" s="419" t="s">
        <v>687</v>
      </c>
      <c r="E25">
        <v>20</v>
      </c>
      <c r="F25">
        <v>17</v>
      </c>
    </row>
    <row r="28" spans="1:6" x14ac:dyDescent="0.2">
      <c r="A28" s="934" t="s">
        <v>4512</v>
      </c>
      <c r="B28" s="934" t="s">
        <v>1874</v>
      </c>
      <c r="C28" s="934"/>
      <c r="D28" s="934"/>
      <c r="E28" s="934"/>
      <c r="F28" s="934"/>
    </row>
    <row r="29" spans="1:6" x14ac:dyDescent="0.2">
      <c r="A29" s="944">
        <v>3</v>
      </c>
      <c r="B29" s="116"/>
      <c r="C29" s="116"/>
      <c r="D29" s="116" t="s">
        <v>4513</v>
      </c>
      <c r="E29" s="116" t="s">
        <v>4503</v>
      </c>
      <c r="F29" s="116" t="s">
        <v>4504</v>
      </c>
    </row>
    <row r="30" spans="1:6" x14ac:dyDescent="0.2">
      <c r="A30" s="3" t="s">
        <v>4515</v>
      </c>
      <c r="B30">
        <v>0</v>
      </c>
      <c r="C30">
        <v>0</v>
      </c>
      <c r="D30" s="772">
        <v>18.649999999999999</v>
      </c>
      <c r="E30" t="s">
        <v>4514</v>
      </c>
      <c r="F30" t="s">
        <v>4514</v>
      </c>
    </row>
    <row r="33" spans="1:6" x14ac:dyDescent="0.2">
      <c r="A33" s="934" t="s">
        <v>4516</v>
      </c>
      <c r="B33" s="934" t="s">
        <v>4517</v>
      </c>
      <c r="C33" s="934"/>
      <c r="D33" s="934"/>
      <c r="E33" s="934"/>
      <c r="F33" s="934"/>
    </row>
    <row r="34" spans="1:6" x14ac:dyDescent="0.2">
      <c r="A34" s="944">
        <v>2</v>
      </c>
      <c r="B34" s="116"/>
      <c r="C34" s="116"/>
      <c r="D34" s="116" t="s">
        <v>4518</v>
      </c>
      <c r="E34" s="116" t="s">
        <v>4503</v>
      </c>
      <c r="F34" s="116" t="s">
        <v>4504</v>
      </c>
    </row>
    <row r="35" spans="1:6" x14ac:dyDescent="0.2">
      <c r="A35" s="3" t="s">
        <v>4519</v>
      </c>
      <c r="B35">
        <v>0</v>
      </c>
      <c r="C35">
        <v>0</v>
      </c>
      <c r="D35" s="772">
        <v>45.35</v>
      </c>
      <c r="E35" t="s">
        <v>4514</v>
      </c>
      <c r="F35" t="s">
        <v>4514</v>
      </c>
    </row>
    <row r="38" spans="1:6" x14ac:dyDescent="0.2">
      <c r="A38" s="934" t="s">
        <v>4520</v>
      </c>
      <c r="B38" s="934" t="s">
        <v>677</v>
      </c>
      <c r="C38" s="934"/>
      <c r="D38" s="934"/>
      <c r="E38" s="934"/>
      <c r="F38" s="934"/>
    </row>
    <row r="39" spans="1:6" x14ac:dyDescent="0.2">
      <c r="A39" s="944">
        <v>29</v>
      </c>
      <c r="B39" s="116" t="s">
        <v>4521</v>
      </c>
      <c r="C39" s="899" t="s">
        <v>4522</v>
      </c>
      <c r="D39" s="899" t="s">
        <v>4523</v>
      </c>
      <c r="E39" s="899" t="s">
        <v>4503</v>
      </c>
      <c r="F39" s="899" t="s">
        <v>4504</v>
      </c>
    </row>
    <row r="40" spans="1:6" x14ac:dyDescent="0.2">
      <c r="A40" s="3" t="s">
        <v>4524</v>
      </c>
      <c r="B40">
        <v>0</v>
      </c>
      <c r="C40">
        <v>1</v>
      </c>
      <c r="D40" s="419">
        <v>158701.69589143968</v>
      </c>
      <c r="E40">
        <v>25</v>
      </c>
      <c r="F40">
        <v>20</v>
      </c>
    </row>
    <row r="41" spans="1:6" x14ac:dyDescent="0.2">
      <c r="A41" s="3"/>
      <c r="B41">
        <v>1.1000000000000001</v>
      </c>
      <c r="C41">
        <v>1.5</v>
      </c>
      <c r="D41" s="419">
        <v>206312.20465887157</v>
      </c>
      <c r="E41">
        <v>25</v>
      </c>
      <c r="F41">
        <v>20</v>
      </c>
    </row>
    <row r="42" spans="1:6" x14ac:dyDescent="0.2">
      <c r="A42" s="3"/>
      <c r="B42">
        <v>1.6</v>
      </c>
      <c r="C42">
        <v>2</v>
      </c>
      <c r="D42" s="419">
        <v>285663.05260459142</v>
      </c>
      <c r="E42">
        <v>25</v>
      </c>
      <c r="F42">
        <v>20</v>
      </c>
    </row>
    <row r="43" spans="1:6" x14ac:dyDescent="0.2">
      <c r="A43" s="3"/>
      <c r="B43">
        <v>2.1</v>
      </c>
      <c r="C43">
        <v>2.5</v>
      </c>
      <c r="D43" s="419">
        <v>341208.64616659528</v>
      </c>
      <c r="E43">
        <v>25</v>
      </c>
      <c r="F43">
        <v>20</v>
      </c>
    </row>
    <row r="44" spans="1:6" x14ac:dyDescent="0.2">
      <c r="A44" s="3"/>
      <c r="B44">
        <v>2.6</v>
      </c>
      <c r="C44">
        <v>3</v>
      </c>
      <c r="D44" s="419">
        <v>396754.2397285992</v>
      </c>
      <c r="E44">
        <v>25</v>
      </c>
      <c r="F44">
        <v>20</v>
      </c>
    </row>
    <row r="45" spans="1:6" x14ac:dyDescent="0.2">
      <c r="A45" s="3"/>
      <c r="B45">
        <v>3.1</v>
      </c>
      <c r="C45" t="s">
        <v>687</v>
      </c>
      <c r="D45" s="772" t="s">
        <v>687</v>
      </c>
    </row>
    <row r="48" spans="1:6" x14ac:dyDescent="0.2">
      <c r="A48" s="3" t="s">
        <v>4534</v>
      </c>
      <c r="B48">
        <v>0</v>
      </c>
      <c r="C48">
        <v>0</v>
      </c>
      <c r="D48" s="772">
        <v>2650</v>
      </c>
      <c r="E48" t="s">
        <v>4514</v>
      </c>
      <c r="F48" t="s">
        <v>4514</v>
      </c>
    </row>
    <row r="49" spans="1:6" x14ac:dyDescent="0.2">
      <c r="A49" s="3"/>
      <c r="B49" t="s">
        <v>3302</v>
      </c>
      <c r="D49" t="s">
        <v>4525</v>
      </c>
      <c r="E49" t="s">
        <v>4503</v>
      </c>
      <c r="F49" t="s">
        <v>4504</v>
      </c>
    </row>
    <row r="50" spans="1:6" x14ac:dyDescent="0.2">
      <c r="A50" s="3" t="s">
        <v>4527</v>
      </c>
      <c r="B50">
        <v>0</v>
      </c>
      <c r="C50">
        <v>0</v>
      </c>
      <c r="D50" s="772">
        <v>64</v>
      </c>
      <c r="E50" t="s">
        <v>4514</v>
      </c>
      <c r="F50" t="s">
        <v>4514</v>
      </c>
    </row>
    <row r="53" spans="1:6" x14ac:dyDescent="0.2">
      <c r="A53" s="3" t="s">
        <v>4803</v>
      </c>
      <c r="B53">
        <v>0</v>
      </c>
      <c r="C53">
        <v>0</v>
      </c>
      <c r="D53" s="772">
        <v>1475</v>
      </c>
      <c r="E53" t="s">
        <v>4514</v>
      </c>
      <c r="F53" t="s">
        <v>4514</v>
      </c>
    </row>
    <row r="54" spans="1:6" x14ac:dyDescent="0.2">
      <c r="A54" s="3"/>
      <c r="B54" s="721" t="s">
        <v>2516</v>
      </c>
      <c r="D54" t="s">
        <v>4528</v>
      </c>
      <c r="E54" t="s">
        <v>4503</v>
      </c>
      <c r="F54" t="s">
        <v>4504</v>
      </c>
    </row>
    <row r="55" spans="1:6" x14ac:dyDescent="0.2">
      <c r="A55" s="3" t="s">
        <v>4530</v>
      </c>
      <c r="B55">
        <v>0</v>
      </c>
      <c r="C55">
        <v>0</v>
      </c>
      <c r="D55" s="772">
        <v>425</v>
      </c>
      <c r="E55" t="s">
        <v>4514</v>
      </c>
      <c r="F55" t="s">
        <v>4514</v>
      </c>
    </row>
    <row r="58" spans="1:6" x14ac:dyDescent="0.2">
      <c r="A58" s="3" t="s">
        <v>4533</v>
      </c>
      <c r="B58">
        <v>0</v>
      </c>
      <c r="C58">
        <v>0</v>
      </c>
      <c r="D58" s="772">
        <v>970</v>
      </c>
      <c r="E58" t="s">
        <v>4514</v>
      </c>
      <c r="F58" t="s">
        <v>4514</v>
      </c>
    </row>
    <row r="59" spans="1:6" x14ac:dyDescent="0.2">
      <c r="A59" s="3"/>
      <c r="B59" s="721" t="s">
        <v>2518</v>
      </c>
      <c r="D59" t="s">
        <v>4510</v>
      </c>
      <c r="E59" t="s">
        <v>4503</v>
      </c>
      <c r="F59" t="s">
        <v>4504</v>
      </c>
    </row>
    <row r="60" spans="1:6" x14ac:dyDescent="0.2">
      <c r="A60" s="3" t="s">
        <v>4532</v>
      </c>
      <c r="B60">
        <v>0</v>
      </c>
      <c r="C60">
        <v>0</v>
      </c>
      <c r="D60" s="772">
        <v>660</v>
      </c>
      <c r="E60" t="s">
        <v>4514</v>
      </c>
      <c r="F60" t="s">
        <v>4514</v>
      </c>
    </row>
    <row r="63" spans="1:6" x14ac:dyDescent="0.2">
      <c r="A63" s="3" t="s">
        <v>4529</v>
      </c>
      <c r="B63">
        <v>0</v>
      </c>
      <c r="C63">
        <v>0</v>
      </c>
      <c r="D63" s="772">
        <v>425</v>
      </c>
      <c r="E63" t="s">
        <v>4514</v>
      </c>
      <c r="F63" t="s">
        <v>4514</v>
      </c>
    </row>
    <row r="64" spans="1:6" x14ac:dyDescent="0.2">
      <c r="A64" s="3"/>
      <c r="B64" s="721" t="s">
        <v>2517</v>
      </c>
      <c r="D64" t="s">
        <v>4528</v>
      </c>
      <c r="E64" t="s">
        <v>4503</v>
      </c>
      <c r="F64" t="s">
        <v>4504</v>
      </c>
    </row>
    <row r="65" spans="1:6" x14ac:dyDescent="0.2">
      <c r="A65" s="3" t="s">
        <v>4533</v>
      </c>
      <c r="B65">
        <v>0</v>
      </c>
      <c r="C65">
        <v>0</v>
      </c>
      <c r="D65" s="772">
        <v>970</v>
      </c>
      <c r="E65" t="s">
        <v>4514</v>
      </c>
      <c r="F65" t="s">
        <v>4514</v>
      </c>
    </row>
    <row r="68" spans="1:6" x14ac:dyDescent="0.2">
      <c r="A68" s="3" t="s">
        <v>4531</v>
      </c>
      <c r="B68">
        <v>0</v>
      </c>
      <c r="C68">
        <v>0</v>
      </c>
      <c r="D68" s="772">
        <v>660</v>
      </c>
      <c r="E68" t="s">
        <v>4514</v>
      </c>
      <c r="F68" t="s">
        <v>4514</v>
      </c>
    </row>
    <row r="69" spans="1:6" x14ac:dyDescent="0.2">
      <c r="A69" s="3"/>
      <c r="B69" s="721" t="s">
        <v>3301</v>
      </c>
      <c r="D69" t="s">
        <v>4518</v>
      </c>
      <c r="E69" t="s">
        <v>4503</v>
      </c>
      <c r="F69" t="s">
        <v>4504</v>
      </c>
    </row>
    <row r="70" spans="1:6" x14ac:dyDescent="0.2">
      <c r="A70" s="3" t="s">
        <v>4534</v>
      </c>
      <c r="B70">
        <v>0</v>
      </c>
      <c r="C70">
        <v>0</v>
      </c>
      <c r="D70" s="772">
        <v>2650</v>
      </c>
      <c r="E70" t="s">
        <v>4514</v>
      </c>
      <c r="F70" t="s">
        <v>4514</v>
      </c>
    </row>
    <row r="73" spans="1:6" x14ac:dyDescent="0.2">
      <c r="A73" s="112" t="s">
        <v>4535</v>
      </c>
      <c r="B73" s="934" t="s">
        <v>4536</v>
      </c>
      <c r="C73" s="268"/>
      <c r="D73" s="945"/>
      <c r="E73" s="268"/>
      <c r="F73" s="268"/>
    </row>
    <row r="74" spans="1:6" x14ac:dyDescent="0.2">
      <c r="A74" s="944">
        <v>11</v>
      </c>
      <c r="B74" s="116" t="s">
        <v>4537</v>
      </c>
      <c r="C74" s="116" t="s">
        <v>1642</v>
      </c>
      <c r="D74" s="899" t="s">
        <v>4510</v>
      </c>
      <c r="E74" s="116" t="s">
        <v>4503</v>
      </c>
      <c r="F74" s="116" t="s">
        <v>4504</v>
      </c>
    </row>
    <row r="75" spans="1:6" x14ac:dyDescent="0.2">
      <c r="A75" s="112" t="s">
        <v>4595</v>
      </c>
      <c r="B75" s="703" t="s">
        <v>4486</v>
      </c>
      <c r="C75" s="703" t="s">
        <v>4538</v>
      </c>
      <c r="D75" s="946">
        <v>0.25892298275361592</v>
      </c>
      <c r="E75" s="947" t="s">
        <v>4514</v>
      </c>
      <c r="F75" s="947" t="s">
        <v>4514</v>
      </c>
    </row>
    <row r="76" spans="1:6" x14ac:dyDescent="0.2">
      <c r="B76" s="948" t="s">
        <v>4539</v>
      </c>
      <c r="C76" s="703" t="s">
        <v>4540</v>
      </c>
      <c r="D76" s="946">
        <v>379.67249647750987</v>
      </c>
      <c r="E76" s="947" t="s">
        <v>4514</v>
      </c>
      <c r="F76" s="947" t="s">
        <v>4514</v>
      </c>
    </row>
    <row r="77" spans="1:6" x14ac:dyDescent="0.2">
      <c r="B77" s="703" t="s">
        <v>4487</v>
      </c>
      <c r="C77" s="703" t="s">
        <v>4538</v>
      </c>
      <c r="D77" s="946">
        <v>0.98400176743500989</v>
      </c>
      <c r="E77" s="947" t="s">
        <v>4514</v>
      </c>
      <c r="F77" s="947" t="s">
        <v>4514</v>
      </c>
    </row>
    <row r="78" spans="1:6" x14ac:dyDescent="0.2">
      <c r="B78" s="268" t="s">
        <v>4541</v>
      </c>
      <c r="C78" s="268" t="s">
        <v>4538</v>
      </c>
      <c r="D78" s="949">
        <v>2.935905987838364</v>
      </c>
      <c r="E78" s="392" t="s">
        <v>4514</v>
      </c>
      <c r="F78" s="392" t="s">
        <v>4514</v>
      </c>
    </row>
    <row r="79" spans="1:6" x14ac:dyDescent="0.2">
      <c r="B79" s="116" t="s">
        <v>4542</v>
      </c>
      <c r="C79" s="116" t="s">
        <v>4538</v>
      </c>
      <c r="D79" s="950">
        <v>4.298511395790559</v>
      </c>
      <c r="E79" s="391" t="s">
        <v>4514</v>
      </c>
      <c r="F79" s="391" t="s">
        <v>4514</v>
      </c>
    </row>
    <row r="80" spans="1:6" x14ac:dyDescent="0.2">
      <c r="B80" s="951" t="s">
        <v>4543</v>
      </c>
      <c r="C80" s="268" t="s">
        <v>4538</v>
      </c>
      <c r="D80" s="949">
        <v>0.14933365711760807</v>
      </c>
      <c r="E80" s="392" t="s">
        <v>4514</v>
      </c>
      <c r="F80" s="392" t="s">
        <v>4514</v>
      </c>
    </row>
    <row r="81" spans="2:6" x14ac:dyDescent="0.2">
      <c r="B81" s="899" t="s">
        <v>4544</v>
      </c>
      <c r="C81" s="116" t="s">
        <v>4538</v>
      </c>
      <c r="D81" s="950">
        <v>0.25092360451306417</v>
      </c>
      <c r="E81" s="391" t="s">
        <v>4514</v>
      </c>
      <c r="F81" s="391" t="s">
        <v>4514</v>
      </c>
    </row>
    <row r="82" spans="2:6" x14ac:dyDescent="0.2">
      <c r="B82" s="694" t="s">
        <v>4545</v>
      </c>
      <c r="C82" t="s">
        <v>4538</v>
      </c>
      <c r="D82" s="772">
        <v>1.8076509548824649</v>
      </c>
      <c r="E82" s="16" t="s">
        <v>4514</v>
      </c>
      <c r="F82" s="16" t="s">
        <v>4514</v>
      </c>
    </row>
    <row r="83" spans="2:6" x14ac:dyDescent="0.2">
      <c r="B83" s="899" t="s">
        <v>4546</v>
      </c>
      <c r="C83" s="116" t="s">
        <v>4538</v>
      </c>
      <c r="D83" s="950">
        <v>3.0195931290952047</v>
      </c>
      <c r="E83" s="391" t="s">
        <v>4514</v>
      </c>
      <c r="F83" s="391" t="s">
        <v>4514</v>
      </c>
    </row>
    <row r="84" spans="2:6" x14ac:dyDescent="0.2">
      <c r="B84" s="116" t="s">
        <v>4547</v>
      </c>
      <c r="C84" s="116" t="s">
        <v>4540</v>
      </c>
      <c r="D84" s="950">
        <v>292.14602474409008</v>
      </c>
      <c r="E84" s="391" t="s">
        <v>4514</v>
      </c>
      <c r="F84" s="391" t="s">
        <v>4514</v>
      </c>
    </row>
    <row r="85" spans="2:6" x14ac:dyDescent="0.2">
      <c r="B85" s="899" t="s">
        <v>4548</v>
      </c>
      <c r="C85" s="116" t="s">
        <v>4538</v>
      </c>
      <c r="D85" s="950">
        <v>1.2847889581924627</v>
      </c>
      <c r="E85" s="391" t="s">
        <v>4514</v>
      </c>
      <c r="F85" s="391" t="s">
        <v>4514</v>
      </c>
    </row>
    <row r="86" spans="2:6" x14ac:dyDescent="0.2">
      <c r="B86" s="948" t="s">
        <v>4488</v>
      </c>
      <c r="C86" s="703" t="s">
        <v>1332</v>
      </c>
      <c r="D86" s="946">
        <v>4.5669105752706649</v>
      </c>
      <c r="E86" s="947" t="s">
        <v>4514</v>
      </c>
      <c r="F86" s="947" t="s">
        <v>4514</v>
      </c>
    </row>
    <row r="87" spans="2:6" x14ac:dyDescent="0.2">
      <c r="B87" s="948" t="s">
        <v>2531</v>
      </c>
      <c r="C87" s="703" t="s">
        <v>4538</v>
      </c>
      <c r="D87" s="946">
        <v>0.16017416334156323</v>
      </c>
      <c r="E87" s="947" t="s">
        <v>4514</v>
      </c>
      <c r="F87" s="947" t="s">
        <v>4514</v>
      </c>
    </row>
    <row r="88" spans="2:6" x14ac:dyDescent="0.2">
      <c r="B88" s="694" t="s">
        <v>4549</v>
      </c>
      <c r="C88" t="s">
        <v>4538</v>
      </c>
      <c r="D88" s="772">
        <v>0.14204018747082317</v>
      </c>
      <c r="E88" s="16" t="s">
        <v>4514</v>
      </c>
      <c r="F88" s="16" t="s">
        <v>4514</v>
      </c>
    </row>
    <row r="89" spans="2:6" x14ac:dyDescent="0.2">
      <c r="B89" s="951" t="s">
        <v>4550</v>
      </c>
      <c r="C89" s="268" t="s">
        <v>4538</v>
      </c>
      <c r="D89" s="949">
        <v>1.4750000000000001</v>
      </c>
      <c r="E89" s="392" t="s">
        <v>4514</v>
      </c>
      <c r="F89" s="392" t="s">
        <v>4514</v>
      </c>
    </row>
    <row r="90" spans="2:6" x14ac:dyDescent="0.2">
      <c r="B90" s="694" t="s">
        <v>4551</v>
      </c>
      <c r="C90" t="s">
        <v>4538</v>
      </c>
      <c r="D90" s="772">
        <v>1.1012</v>
      </c>
      <c r="E90" s="16" t="s">
        <v>4514</v>
      </c>
      <c r="F90" s="16" t="s">
        <v>4514</v>
      </c>
    </row>
    <row r="91" spans="2:6" x14ac:dyDescent="0.2">
      <c r="B91" s="899" t="s">
        <v>4552</v>
      </c>
      <c r="C91" s="116" t="s">
        <v>4538</v>
      </c>
      <c r="D91" s="950">
        <v>0.91449999999999998</v>
      </c>
      <c r="E91" s="391" t="s">
        <v>4514</v>
      </c>
      <c r="F91" s="391" t="s">
        <v>4514</v>
      </c>
    </row>
    <row r="92" spans="2:6" x14ac:dyDescent="0.2">
      <c r="B92" s="951" t="s">
        <v>4553</v>
      </c>
      <c r="C92" s="268" t="s">
        <v>4538</v>
      </c>
      <c r="D92" s="949">
        <v>0.49255463949257372</v>
      </c>
      <c r="E92" s="392" t="s">
        <v>4514</v>
      </c>
      <c r="F92" s="392" t="s">
        <v>4514</v>
      </c>
    </row>
    <row r="93" spans="2:6" x14ac:dyDescent="0.2">
      <c r="B93" s="694" t="s">
        <v>4554</v>
      </c>
      <c r="C93" t="s">
        <v>4538</v>
      </c>
      <c r="D93" s="772">
        <v>0.57004275858817965</v>
      </c>
      <c r="E93" s="16" t="s">
        <v>4514</v>
      </c>
      <c r="F93" s="16" t="s">
        <v>4514</v>
      </c>
    </row>
    <row r="94" spans="2:6" x14ac:dyDescent="0.2">
      <c r="B94" s="899" t="s">
        <v>4555</v>
      </c>
      <c r="C94" s="116" t="s">
        <v>4538</v>
      </c>
      <c r="D94" s="950">
        <v>0.93372617539628344</v>
      </c>
      <c r="E94" s="391" t="s">
        <v>4514</v>
      </c>
      <c r="F94" s="391" t="s">
        <v>4514</v>
      </c>
    </row>
    <row r="95" spans="2:6" x14ac:dyDescent="0.2">
      <c r="B95" s="951" t="s">
        <v>4556</v>
      </c>
      <c r="C95" s="268" t="s">
        <v>4538</v>
      </c>
      <c r="D95" s="949">
        <v>0.3172018248175183</v>
      </c>
      <c r="E95" s="392" t="s">
        <v>4514</v>
      </c>
      <c r="F95" s="392" t="s">
        <v>4514</v>
      </c>
    </row>
    <row r="96" spans="2:6" x14ac:dyDescent="0.2">
      <c r="B96" s="899" t="s">
        <v>4557</v>
      </c>
      <c r="C96" s="116" t="s">
        <v>4538</v>
      </c>
      <c r="D96" s="950">
        <v>0.47022883285981981</v>
      </c>
      <c r="E96" s="391" t="s">
        <v>4514</v>
      </c>
      <c r="F96" s="391" t="s">
        <v>4514</v>
      </c>
    </row>
    <row r="97" spans="2:6" x14ac:dyDescent="0.2">
      <c r="B97" s="951" t="s">
        <v>4558</v>
      </c>
      <c r="C97" s="268" t="s">
        <v>4540</v>
      </c>
      <c r="D97" s="949">
        <v>78.476632289948313</v>
      </c>
      <c r="E97" s="392" t="s">
        <v>4514</v>
      </c>
      <c r="F97" s="392" t="s">
        <v>4514</v>
      </c>
    </row>
    <row r="98" spans="2:6" x14ac:dyDescent="0.2">
      <c r="B98" s="694" t="s">
        <v>4559</v>
      </c>
      <c r="C98" t="s">
        <v>4540</v>
      </c>
      <c r="D98" s="772">
        <v>361.7648758605846</v>
      </c>
      <c r="E98" s="16" t="s">
        <v>4514</v>
      </c>
      <c r="F98" s="16" t="s">
        <v>4514</v>
      </c>
    </row>
    <row r="99" spans="2:6" x14ac:dyDescent="0.2">
      <c r="B99" s="899" t="s">
        <v>4560</v>
      </c>
      <c r="C99" s="116" t="s">
        <v>4540</v>
      </c>
      <c r="D99" s="950">
        <v>811.40046895446164</v>
      </c>
      <c r="E99" s="391" t="s">
        <v>4514</v>
      </c>
      <c r="F99" s="391" t="s">
        <v>4514</v>
      </c>
    </row>
    <row r="100" spans="2:6" x14ac:dyDescent="0.2">
      <c r="B100" s="268" t="s">
        <v>4561</v>
      </c>
      <c r="C100" s="268" t="s">
        <v>1332</v>
      </c>
      <c r="D100" s="949">
        <v>44.177656959004025</v>
      </c>
      <c r="E100" s="392" t="s">
        <v>4514</v>
      </c>
      <c r="F100" s="392" t="s">
        <v>4514</v>
      </c>
    </row>
    <row r="101" spans="2:6" x14ac:dyDescent="0.2">
      <c r="B101" s="116" t="s">
        <v>4562</v>
      </c>
      <c r="C101" s="116" t="s">
        <v>1332</v>
      </c>
      <c r="D101" s="950">
        <v>38.525745847892914</v>
      </c>
      <c r="E101" s="391" t="s">
        <v>4514</v>
      </c>
      <c r="F101" s="391" t="s">
        <v>4514</v>
      </c>
    </row>
    <row r="102" spans="2:6" x14ac:dyDescent="0.2">
      <c r="B102" s="694" t="s">
        <v>4563</v>
      </c>
      <c r="C102" t="s">
        <v>4538</v>
      </c>
      <c r="D102" s="772">
        <v>0.65600897434378369</v>
      </c>
      <c r="E102" s="16" t="s">
        <v>4514</v>
      </c>
      <c r="F102" s="16" t="s">
        <v>4514</v>
      </c>
    </row>
    <row r="103" spans="2:6" x14ac:dyDescent="0.2">
      <c r="B103" s="694" t="s">
        <v>4564</v>
      </c>
      <c r="C103" t="s">
        <v>4538</v>
      </c>
      <c r="D103" s="772">
        <v>0.74193129494261945</v>
      </c>
      <c r="E103" s="16" t="s">
        <v>4514</v>
      </c>
      <c r="F103" s="16" t="s">
        <v>4514</v>
      </c>
    </row>
    <row r="104" spans="2:6" x14ac:dyDescent="0.2">
      <c r="B104" s="899" t="s">
        <v>4565</v>
      </c>
      <c r="C104" s="116" t="s">
        <v>4538</v>
      </c>
      <c r="D104" s="950">
        <v>0.84674242280285039</v>
      </c>
      <c r="E104" s="391" t="s">
        <v>4514</v>
      </c>
      <c r="F104" s="391" t="s">
        <v>4514</v>
      </c>
    </row>
    <row r="105" spans="2:6" x14ac:dyDescent="0.2">
      <c r="B105" s="694" t="s">
        <v>4566</v>
      </c>
      <c r="C105" t="s">
        <v>4538</v>
      </c>
      <c r="D105" s="772">
        <v>0.33234317417601811</v>
      </c>
      <c r="E105" s="16" t="s">
        <v>4514</v>
      </c>
      <c r="F105" s="16" t="s">
        <v>4514</v>
      </c>
    </row>
    <row r="106" spans="2:6" x14ac:dyDescent="0.2">
      <c r="B106" s="899" t="s">
        <v>4567</v>
      </c>
      <c r="C106" s="116" t="s">
        <v>4538</v>
      </c>
      <c r="D106" s="950">
        <v>0.81370650744184447</v>
      </c>
      <c r="E106" s="391" t="s">
        <v>4514</v>
      </c>
      <c r="F106" s="391" t="s">
        <v>4514</v>
      </c>
    </row>
    <row r="107" spans="2:6" x14ac:dyDescent="0.2">
      <c r="B107" s="694" t="s">
        <v>4568</v>
      </c>
      <c r="C107" t="s">
        <v>4538</v>
      </c>
      <c r="D107" s="772">
        <v>0.20438225614058614</v>
      </c>
      <c r="E107" s="16" t="s">
        <v>4514</v>
      </c>
      <c r="F107" s="16" t="s">
        <v>4514</v>
      </c>
    </row>
    <row r="108" spans="2:6" x14ac:dyDescent="0.2">
      <c r="B108" s="899" t="s">
        <v>4569</v>
      </c>
      <c r="C108" s="116" t="s">
        <v>4538</v>
      </c>
      <c r="D108" s="950">
        <v>0.40812805824157544</v>
      </c>
      <c r="E108" s="391" t="s">
        <v>4514</v>
      </c>
      <c r="F108" s="391" t="s">
        <v>4514</v>
      </c>
    </row>
    <row r="109" spans="2:6" x14ac:dyDescent="0.2">
      <c r="B109" s="703" t="s">
        <v>3750</v>
      </c>
      <c r="C109" s="703" t="s">
        <v>4538</v>
      </c>
      <c r="D109" s="946">
        <v>0.74137399196238118</v>
      </c>
      <c r="E109" s="947" t="s">
        <v>4514</v>
      </c>
      <c r="F109" s="947" t="s">
        <v>4514</v>
      </c>
    </row>
    <row r="110" spans="2:6" x14ac:dyDescent="0.2">
      <c r="B110" s="694" t="s">
        <v>4570</v>
      </c>
      <c r="C110" t="s">
        <v>4538</v>
      </c>
      <c r="D110" s="772">
        <v>2.3881161426276218</v>
      </c>
      <c r="E110" s="16" t="s">
        <v>4514</v>
      </c>
      <c r="F110" s="16" t="s">
        <v>4514</v>
      </c>
    </row>
    <row r="111" spans="2:6" x14ac:dyDescent="0.2">
      <c r="B111" s="703" t="s">
        <v>4571</v>
      </c>
      <c r="C111" s="703" t="s">
        <v>4538</v>
      </c>
      <c r="D111" s="946">
        <v>0.42575032116788325</v>
      </c>
      <c r="E111" s="947" t="s">
        <v>4514</v>
      </c>
      <c r="F111" s="947" t="s">
        <v>4514</v>
      </c>
    </row>
    <row r="112" spans="2:6" x14ac:dyDescent="0.2">
      <c r="B112" s="703" t="s">
        <v>4572</v>
      </c>
      <c r="C112" s="703" t="s">
        <v>4538</v>
      </c>
      <c r="D112" s="946">
        <v>0.48694420796818616</v>
      </c>
      <c r="E112" s="947" t="s">
        <v>4514</v>
      </c>
      <c r="F112" s="947" t="s">
        <v>4514</v>
      </c>
    </row>
    <row r="113" spans="2:6" x14ac:dyDescent="0.2">
      <c r="B113" s="703" t="s">
        <v>4573</v>
      </c>
      <c r="C113" s="703" t="s">
        <v>4538</v>
      </c>
      <c r="D113" s="946">
        <v>0.38999349762688967</v>
      </c>
      <c r="E113" s="947" t="s">
        <v>4514</v>
      </c>
      <c r="F113" s="947" t="s">
        <v>4514</v>
      </c>
    </row>
    <row r="114" spans="2:6" x14ac:dyDescent="0.2">
      <c r="B114" s="694" t="s">
        <v>4574</v>
      </c>
      <c r="C114" t="s">
        <v>4538</v>
      </c>
      <c r="D114" s="772">
        <v>0.10445948132048184</v>
      </c>
      <c r="E114" s="16" t="s">
        <v>4514</v>
      </c>
      <c r="F114" s="16" t="s">
        <v>4514</v>
      </c>
    </row>
    <row r="115" spans="2:6" x14ac:dyDescent="0.2">
      <c r="B115" s="694" t="s">
        <v>4575</v>
      </c>
      <c r="C115" t="s">
        <v>4538</v>
      </c>
      <c r="D115" s="772">
        <v>0.21448163524559982</v>
      </c>
      <c r="E115" s="16" t="s">
        <v>4514</v>
      </c>
      <c r="F115" s="16" t="s">
        <v>4514</v>
      </c>
    </row>
    <row r="116" spans="2:6" x14ac:dyDescent="0.2">
      <c r="B116" s="899" t="s">
        <v>4576</v>
      </c>
      <c r="C116" s="116" t="s">
        <v>4538</v>
      </c>
      <c r="D116" s="950">
        <v>0.28961344000739103</v>
      </c>
      <c r="E116" s="391" t="s">
        <v>4514</v>
      </c>
      <c r="F116" s="391" t="s">
        <v>4514</v>
      </c>
    </row>
    <row r="117" spans="2:6" x14ac:dyDescent="0.2">
      <c r="B117" s="951" t="s">
        <v>4577</v>
      </c>
      <c r="C117" s="268" t="s">
        <v>4538</v>
      </c>
      <c r="D117" s="949">
        <v>0.87543886696652329</v>
      </c>
      <c r="E117" s="392" t="s">
        <v>4514</v>
      </c>
      <c r="F117" s="392" t="s">
        <v>4514</v>
      </c>
    </row>
    <row r="118" spans="2:6" x14ac:dyDescent="0.2">
      <c r="B118" s="899" t="s">
        <v>4578</v>
      </c>
      <c r="C118" s="116" t="s">
        <v>4538</v>
      </c>
      <c r="D118" s="950">
        <v>0.48591449775627299</v>
      </c>
      <c r="E118" s="391" t="s">
        <v>4514</v>
      </c>
      <c r="F118" s="391" t="s">
        <v>4514</v>
      </c>
    </row>
    <row r="119" spans="2:6" x14ac:dyDescent="0.2">
      <c r="B119" s="703" t="s">
        <v>4579</v>
      </c>
      <c r="C119" s="703" t="s">
        <v>4538</v>
      </c>
      <c r="D119" s="946">
        <v>0.68255791765637375</v>
      </c>
      <c r="E119" s="947" t="s">
        <v>4514</v>
      </c>
      <c r="F119" s="947" t="s">
        <v>4514</v>
      </c>
    </row>
    <row r="120" spans="2:6" x14ac:dyDescent="0.2">
      <c r="B120" s="694" t="s">
        <v>4580</v>
      </c>
      <c r="C120" t="s">
        <v>4538</v>
      </c>
      <c r="D120" s="772">
        <v>0.21325228017050835</v>
      </c>
      <c r="E120" s="16" t="s">
        <v>4514</v>
      </c>
      <c r="F120" s="16" t="s">
        <v>4514</v>
      </c>
    </row>
    <row r="121" spans="2:6" x14ac:dyDescent="0.2">
      <c r="B121" s="694" t="s">
        <v>4581</v>
      </c>
      <c r="C121" t="s">
        <v>4538</v>
      </c>
      <c r="D121" s="772">
        <v>0.2558351123249763</v>
      </c>
      <c r="E121" s="16" t="s">
        <v>4514</v>
      </c>
      <c r="F121" s="16" t="s">
        <v>4514</v>
      </c>
    </row>
    <row r="122" spans="2:6" x14ac:dyDescent="0.2">
      <c r="B122" s="899" t="s">
        <v>4582</v>
      </c>
      <c r="C122" s="116" t="s">
        <v>4538</v>
      </c>
      <c r="D122" s="950">
        <v>0.31827794416978772</v>
      </c>
      <c r="E122" s="391" t="s">
        <v>4514</v>
      </c>
      <c r="F122" s="391" t="s">
        <v>4514</v>
      </c>
    </row>
    <row r="123" spans="2:6" x14ac:dyDescent="0.2">
      <c r="B123" s="694" t="s">
        <v>4583</v>
      </c>
      <c r="C123" t="s">
        <v>4538</v>
      </c>
      <c r="D123" s="772">
        <v>0.12531949821201241</v>
      </c>
      <c r="E123" s="16" t="s">
        <v>4514</v>
      </c>
      <c r="F123" s="16" t="s">
        <v>4514</v>
      </c>
    </row>
    <row r="124" spans="2:6" x14ac:dyDescent="0.2">
      <c r="B124" s="694" t="s">
        <v>4584</v>
      </c>
      <c r="C124" t="s">
        <v>4538</v>
      </c>
      <c r="D124" s="772">
        <v>0.15728565790356952</v>
      </c>
      <c r="E124" s="16" t="s">
        <v>4514</v>
      </c>
      <c r="F124" s="16" t="s">
        <v>4514</v>
      </c>
    </row>
    <row r="125" spans="2:6" x14ac:dyDescent="0.2">
      <c r="B125" s="899" t="s">
        <v>4585</v>
      </c>
      <c r="C125" s="116" t="s">
        <v>4538</v>
      </c>
      <c r="D125" s="950">
        <v>0.17978347397804662</v>
      </c>
      <c r="E125" s="391" t="s">
        <v>4514</v>
      </c>
      <c r="F125" s="391" t="s">
        <v>4514</v>
      </c>
    </row>
    <row r="126" spans="2:6" x14ac:dyDescent="0.2">
      <c r="B126" t="s">
        <v>4586</v>
      </c>
      <c r="C126" t="s">
        <v>1332</v>
      </c>
      <c r="D126" s="772">
        <v>1.0111282050615207</v>
      </c>
      <c r="E126" s="16" t="s">
        <v>4514</v>
      </c>
      <c r="F126" s="16" t="s">
        <v>4514</v>
      </c>
    </row>
    <row r="127" spans="2:6" x14ac:dyDescent="0.2">
      <c r="B127" s="694" t="s">
        <v>4587</v>
      </c>
      <c r="C127" t="s">
        <v>1332</v>
      </c>
      <c r="D127" s="772">
        <v>1.3708025989562564</v>
      </c>
      <c r="E127" s="16" t="s">
        <v>4514</v>
      </c>
      <c r="F127" s="16" t="s">
        <v>4514</v>
      </c>
    </row>
    <row r="128" spans="2:6" x14ac:dyDescent="0.2">
      <c r="B128" s="116" t="s">
        <v>4588</v>
      </c>
      <c r="C128" s="116" t="s">
        <v>1332</v>
      </c>
      <c r="D128" s="950">
        <v>1.7203222705757928</v>
      </c>
      <c r="E128" s="391" t="s">
        <v>4514</v>
      </c>
      <c r="F128" s="391" t="s">
        <v>4514</v>
      </c>
    </row>
    <row r="129" spans="1:6" x14ac:dyDescent="0.2">
      <c r="B129" s="694" t="s">
        <v>4589</v>
      </c>
      <c r="C129" t="s">
        <v>4538</v>
      </c>
      <c r="D129" s="772">
        <v>0.13709828619050735</v>
      </c>
      <c r="E129" s="16" t="s">
        <v>4514</v>
      </c>
      <c r="F129" s="16" t="s">
        <v>4514</v>
      </c>
    </row>
    <row r="130" spans="1:6" x14ac:dyDescent="0.2">
      <c r="B130" s="899" t="s">
        <v>4590</v>
      </c>
      <c r="C130" s="116" t="s">
        <v>4538</v>
      </c>
      <c r="D130" s="950">
        <v>0.19509817893903403</v>
      </c>
      <c r="E130" s="391" t="s">
        <v>4514</v>
      </c>
      <c r="F130" s="391" t="s">
        <v>4514</v>
      </c>
    </row>
    <row r="131" spans="1:6" x14ac:dyDescent="0.2">
      <c r="B131" s="948" t="s">
        <v>4591</v>
      </c>
      <c r="C131" s="703" t="s">
        <v>4538</v>
      </c>
      <c r="D131" s="946">
        <v>8.3511491937189888</v>
      </c>
      <c r="E131" s="947" t="s">
        <v>4514</v>
      </c>
      <c r="F131" s="947" t="s">
        <v>4514</v>
      </c>
    </row>
    <row r="132" spans="1:6" x14ac:dyDescent="0.2">
      <c r="B132" s="694" t="s">
        <v>4592</v>
      </c>
      <c r="C132" t="s">
        <v>1332</v>
      </c>
      <c r="D132" s="772">
        <v>6.3109223358010995</v>
      </c>
      <c r="E132" s="16" t="s">
        <v>4514</v>
      </c>
      <c r="F132" s="16" t="s">
        <v>4514</v>
      </c>
    </row>
    <row r="133" spans="1:6" x14ac:dyDescent="0.2">
      <c r="B133" s="694" t="s">
        <v>4593</v>
      </c>
      <c r="C133" t="s">
        <v>1332</v>
      </c>
      <c r="D133" s="772">
        <v>8.0362899049881236</v>
      </c>
      <c r="E133" s="16" t="s">
        <v>4514</v>
      </c>
      <c r="F133" s="16" t="s">
        <v>4514</v>
      </c>
    </row>
    <row r="134" spans="1:6" x14ac:dyDescent="0.2">
      <c r="B134" s="899" t="s">
        <v>4594</v>
      </c>
      <c r="C134" s="116" t="s">
        <v>1332</v>
      </c>
      <c r="D134" s="950">
        <v>10.748262798053529</v>
      </c>
      <c r="E134" s="391" t="s">
        <v>4514</v>
      </c>
      <c r="F134" s="391" t="s">
        <v>4514</v>
      </c>
    </row>
    <row r="137" spans="1:6" x14ac:dyDescent="0.2">
      <c r="A137" s="934" t="s">
        <v>4596</v>
      </c>
      <c r="B137" s="934" t="s">
        <v>4597</v>
      </c>
      <c r="C137" s="934"/>
      <c r="D137" s="934"/>
      <c r="E137" s="934"/>
      <c r="F137" s="934"/>
    </row>
    <row r="138" spans="1:6" x14ac:dyDescent="0.2">
      <c r="A138" s="944">
        <v>35</v>
      </c>
      <c r="B138" s="116" t="s">
        <v>4598</v>
      </c>
      <c r="C138" s="116" t="s">
        <v>4599</v>
      </c>
      <c r="D138" s="899" t="s">
        <v>4510</v>
      </c>
      <c r="E138" s="116" t="s">
        <v>4503</v>
      </c>
      <c r="F138" s="116" t="s">
        <v>4504</v>
      </c>
    </row>
    <row r="139" spans="1:6" x14ac:dyDescent="0.2">
      <c r="A139" s="3" t="s">
        <v>4601</v>
      </c>
      <c r="B139">
        <v>0</v>
      </c>
      <c r="C139">
        <v>2</v>
      </c>
      <c r="D139" s="419">
        <v>382.59443243243237</v>
      </c>
      <c r="E139">
        <v>25</v>
      </c>
      <c r="F139">
        <v>20</v>
      </c>
    </row>
    <row r="140" spans="1:6" x14ac:dyDescent="0.2">
      <c r="A140" s="3"/>
      <c r="B140">
        <v>2.1</v>
      </c>
      <c r="C140">
        <v>2.5</v>
      </c>
      <c r="D140" s="419">
        <v>465.81371999999999</v>
      </c>
      <c r="E140">
        <v>25</v>
      </c>
      <c r="F140">
        <v>20</v>
      </c>
    </row>
    <row r="141" spans="1:6" x14ac:dyDescent="0.2">
      <c r="A141" s="3"/>
      <c r="B141">
        <v>2.6</v>
      </c>
      <c r="C141">
        <v>3</v>
      </c>
      <c r="D141" s="419">
        <v>985.99555274261604</v>
      </c>
      <c r="E141">
        <v>25</v>
      </c>
      <c r="F141">
        <v>20</v>
      </c>
    </row>
    <row r="142" spans="1:6" x14ac:dyDescent="0.2">
      <c r="A142" s="3"/>
      <c r="B142">
        <v>3.1</v>
      </c>
      <c r="C142">
        <v>4</v>
      </c>
      <c r="D142" s="419">
        <v>1175</v>
      </c>
      <c r="E142">
        <v>25</v>
      </c>
      <c r="F142">
        <v>20</v>
      </c>
    </row>
    <row r="143" spans="1:6" x14ac:dyDescent="0.2">
      <c r="A143" s="3"/>
      <c r="B143">
        <v>4.0999999999999996</v>
      </c>
      <c r="C143">
        <v>8</v>
      </c>
      <c r="D143" s="419">
        <v>1725</v>
      </c>
      <c r="E143">
        <v>25</v>
      </c>
      <c r="F143">
        <v>20</v>
      </c>
    </row>
    <row r="144" spans="1:6" x14ac:dyDescent="0.2">
      <c r="A144" s="3"/>
      <c r="B144">
        <v>8.1</v>
      </c>
      <c r="C144">
        <v>12</v>
      </c>
      <c r="D144" s="419">
        <v>2875</v>
      </c>
      <c r="E144">
        <v>25</v>
      </c>
      <c r="F144">
        <v>20</v>
      </c>
    </row>
    <row r="145" spans="1:6" x14ac:dyDescent="0.2">
      <c r="A145" s="3" t="s">
        <v>4600</v>
      </c>
      <c r="B145">
        <v>12.1</v>
      </c>
      <c r="C145">
        <v>14</v>
      </c>
      <c r="D145" s="419">
        <v>5400</v>
      </c>
      <c r="E145">
        <v>25</v>
      </c>
      <c r="F145">
        <v>20</v>
      </c>
    </row>
    <row r="146" spans="1:6" x14ac:dyDescent="0.2">
      <c r="A146" s="3"/>
      <c r="B146">
        <v>14.1</v>
      </c>
      <c r="C146">
        <v>18</v>
      </c>
      <c r="D146" s="419">
        <v>9700</v>
      </c>
      <c r="E146">
        <v>25</v>
      </c>
      <c r="F146">
        <v>20</v>
      </c>
    </row>
    <row r="147" spans="1:6" x14ac:dyDescent="0.2">
      <c r="A147" s="3"/>
      <c r="B147">
        <v>18.100000000000001</v>
      </c>
      <c r="C147">
        <v>20</v>
      </c>
      <c r="D147" s="419">
        <v>12700</v>
      </c>
      <c r="E147">
        <v>25</v>
      </c>
      <c r="F147">
        <v>20</v>
      </c>
    </row>
    <row r="148" spans="1:6" x14ac:dyDescent="0.2">
      <c r="A148" s="3"/>
      <c r="B148">
        <v>20.100000000000001</v>
      </c>
      <c r="C148">
        <v>24</v>
      </c>
      <c r="D148" s="419">
        <v>20900</v>
      </c>
      <c r="E148">
        <v>25</v>
      </c>
      <c r="F148">
        <v>20</v>
      </c>
    </row>
    <row r="149" spans="1:6" x14ac:dyDescent="0.2">
      <c r="A149" s="3"/>
      <c r="B149">
        <v>24.1</v>
      </c>
      <c r="C149">
        <v>30</v>
      </c>
      <c r="D149" s="419">
        <v>17100</v>
      </c>
      <c r="E149">
        <v>25</v>
      </c>
      <c r="F149">
        <v>20</v>
      </c>
    </row>
    <row r="150" spans="1:6" x14ac:dyDescent="0.2">
      <c r="A150" s="3"/>
      <c r="B150">
        <v>30.1</v>
      </c>
      <c r="C150">
        <v>36</v>
      </c>
      <c r="D150" s="419">
        <v>21100</v>
      </c>
      <c r="E150">
        <v>25</v>
      </c>
      <c r="F150">
        <v>20</v>
      </c>
    </row>
    <row r="151" spans="1:6" x14ac:dyDescent="0.2">
      <c r="A151" s="3"/>
      <c r="B151">
        <v>36.1</v>
      </c>
      <c r="C151">
        <v>42</v>
      </c>
      <c r="D151" s="419">
        <v>26600</v>
      </c>
      <c r="E151">
        <v>25</v>
      </c>
      <c r="F151">
        <v>20</v>
      </c>
    </row>
    <row r="152" spans="1:6" x14ac:dyDescent="0.2">
      <c r="A152" s="3"/>
      <c r="B152">
        <v>42.1</v>
      </c>
      <c r="C152">
        <v>48</v>
      </c>
      <c r="D152" s="419">
        <v>34100</v>
      </c>
      <c r="E152">
        <v>25</v>
      </c>
      <c r="F152">
        <v>20</v>
      </c>
    </row>
    <row r="153" spans="1:6" x14ac:dyDescent="0.2">
      <c r="A153" s="3"/>
      <c r="B153">
        <v>48.1</v>
      </c>
      <c r="C153" t="s">
        <v>687</v>
      </c>
      <c r="D153" s="419" t="s">
        <v>687</v>
      </c>
      <c r="E153">
        <v>25</v>
      </c>
      <c r="F153">
        <v>20</v>
      </c>
    </row>
    <row r="156" spans="1:6" x14ac:dyDescent="0.2">
      <c r="A156" s="934" t="s">
        <v>4596</v>
      </c>
      <c r="B156" s="934" t="s">
        <v>4602</v>
      </c>
      <c r="C156" s="934"/>
      <c r="D156" s="934"/>
      <c r="E156" s="934"/>
      <c r="F156" s="934"/>
    </row>
    <row r="157" spans="1:6" x14ac:dyDescent="0.2">
      <c r="A157" s="944">
        <v>35</v>
      </c>
      <c r="B157" s="116" t="s">
        <v>4598</v>
      </c>
      <c r="C157" s="116" t="s">
        <v>4599</v>
      </c>
      <c r="D157" s="899" t="s">
        <v>4510</v>
      </c>
      <c r="E157" s="116" t="s">
        <v>4503</v>
      </c>
      <c r="F157" s="116" t="s">
        <v>4504</v>
      </c>
    </row>
    <row r="158" spans="1:6" x14ac:dyDescent="0.2">
      <c r="A158" s="3" t="s">
        <v>4603</v>
      </c>
      <c r="B158">
        <v>0</v>
      </c>
      <c r="C158">
        <v>2</v>
      </c>
      <c r="D158" s="419">
        <v>727.99227027027018</v>
      </c>
      <c r="E158">
        <v>25</v>
      </c>
      <c r="F158">
        <v>20</v>
      </c>
    </row>
    <row r="159" spans="1:6" x14ac:dyDescent="0.2">
      <c r="A159" s="3"/>
      <c r="B159">
        <v>2.1</v>
      </c>
      <c r="C159">
        <v>3</v>
      </c>
      <c r="D159" s="419">
        <v>906.87331645569623</v>
      </c>
      <c r="E159">
        <v>25</v>
      </c>
      <c r="F159">
        <v>20</v>
      </c>
    </row>
    <row r="160" spans="1:6" x14ac:dyDescent="0.2">
      <c r="A160" s="3"/>
      <c r="B160">
        <v>3.1</v>
      </c>
      <c r="C160">
        <v>4</v>
      </c>
      <c r="D160" s="419">
        <v>1775</v>
      </c>
      <c r="E160">
        <v>25</v>
      </c>
      <c r="F160">
        <v>20</v>
      </c>
    </row>
    <row r="161" spans="1:6" x14ac:dyDescent="0.2">
      <c r="A161" s="3"/>
      <c r="B161">
        <v>4.0999999999999996</v>
      </c>
      <c r="C161">
        <v>6</v>
      </c>
      <c r="D161" s="419">
        <v>2750</v>
      </c>
      <c r="E161">
        <v>25</v>
      </c>
      <c r="F161">
        <v>20</v>
      </c>
    </row>
    <row r="162" spans="1:6" x14ac:dyDescent="0.2">
      <c r="A162" s="3"/>
      <c r="B162">
        <v>6.1</v>
      </c>
      <c r="C162">
        <v>8</v>
      </c>
      <c r="D162" s="419">
        <v>4850</v>
      </c>
      <c r="E162">
        <v>25</v>
      </c>
      <c r="F162">
        <v>20</v>
      </c>
    </row>
    <row r="163" spans="1:6" x14ac:dyDescent="0.2">
      <c r="A163" s="3"/>
      <c r="B163">
        <v>8.1</v>
      </c>
      <c r="C163">
        <v>12</v>
      </c>
      <c r="D163" s="419">
        <v>12600</v>
      </c>
      <c r="E163">
        <v>25</v>
      </c>
      <c r="F163">
        <v>20</v>
      </c>
    </row>
    <row r="164" spans="1:6" x14ac:dyDescent="0.2">
      <c r="A164" s="3"/>
      <c r="B164">
        <v>12.1</v>
      </c>
      <c r="C164">
        <v>18</v>
      </c>
      <c r="D164" s="419">
        <v>47100</v>
      </c>
      <c r="E164">
        <v>25</v>
      </c>
      <c r="F164">
        <v>20</v>
      </c>
    </row>
    <row r="165" spans="1:6" x14ac:dyDescent="0.2">
      <c r="A165" s="3"/>
      <c r="B165">
        <v>18.100000000000001</v>
      </c>
      <c r="C165">
        <v>24</v>
      </c>
      <c r="D165" s="419">
        <v>66500</v>
      </c>
      <c r="E165">
        <v>25</v>
      </c>
      <c r="F165">
        <v>20</v>
      </c>
    </row>
    <row r="166" spans="1:6" x14ac:dyDescent="0.2">
      <c r="A166" s="3"/>
      <c r="B166">
        <v>24.1</v>
      </c>
      <c r="C166" t="s">
        <v>687</v>
      </c>
      <c r="D166" s="419" t="s">
        <v>687</v>
      </c>
      <c r="E166">
        <v>25</v>
      </c>
      <c r="F166">
        <v>20</v>
      </c>
    </row>
    <row r="169" spans="1:6" x14ac:dyDescent="0.2">
      <c r="A169" s="934" t="s">
        <v>4596</v>
      </c>
      <c r="B169" s="934" t="s">
        <v>4604</v>
      </c>
      <c r="C169" s="934"/>
      <c r="D169" s="934"/>
      <c r="E169" s="934"/>
      <c r="F169" s="934"/>
    </row>
    <row r="170" spans="1:6" x14ac:dyDescent="0.2">
      <c r="A170" s="944">
        <v>35</v>
      </c>
      <c r="B170" s="116" t="s">
        <v>4598</v>
      </c>
      <c r="C170" s="116" t="s">
        <v>4599</v>
      </c>
      <c r="D170" s="899" t="s">
        <v>4510</v>
      </c>
      <c r="E170" s="116" t="s">
        <v>4503</v>
      </c>
      <c r="F170" s="116" t="s">
        <v>4504</v>
      </c>
    </row>
    <row r="171" spans="1:6" x14ac:dyDescent="0.2">
      <c r="A171" s="3" t="s">
        <v>4605</v>
      </c>
      <c r="B171">
        <v>0</v>
      </c>
      <c r="C171">
        <v>1</v>
      </c>
      <c r="D171" s="419">
        <v>1344.7174074420614</v>
      </c>
      <c r="E171">
        <v>25</v>
      </c>
      <c r="F171">
        <v>20</v>
      </c>
    </row>
    <row r="172" spans="1:6" x14ac:dyDescent="0.2">
      <c r="A172" s="3"/>
      <c r="B172">
        <v>1.1000000000000001</v>
      </c>
      <c r="C172">
        <v>2</v>
      </c>
      <c r="D172" s="419">
        <v>863.90978021978026</v>
      </c>
      <c r="E172">
        <v>25</v>
      </c>
      <c r="F172">
        <v>20</v>
      </c>
    </row>
    <row r="173" spans="1:6" x14ac:dyDescent="0.2">
      <c r="A173" s="3"/>
      <c r="B173">
        <v>2.1</v>
      </c>
      <c r="C173">
        <v>3</v>
      </c>
      <c r="D173" s="419">
        <v>3473.2001649484537</v>
      </c>
      <c r="E173">
        <v>25</v>
      </c>
      <c r="F173">
        <v>20</v>
      </c>
    </row>
    <row r="174" spans="1:6" x14ac:dyDescent="0.2">
      <c r="A174" s="3"/>
      <c r="B174">
        <v>3.1</v>
      </c>
      <c r="C174">
        <v>4</v>
      </c>
      <c r="D174" s="419">
        <v>4185.087896551724</v>
      </c>
      <c r="E174">
        <v>25</v>
      </c>
      <c r="F174">
        <v>20</v>
      </c>
    </row>
    <row r="175" spans="1:6" x14ac:dyDescent="0.2">
      <c r="A175" s="3"/>
      <c r="B175">
        <v>4.0999999999999996</v>
      </c>
      <c r="C175">
        <v>6</v>
      </c>
      <c r="D175" s="419">
        <v>6000.7343666666675</v>
      </c>
      <c r="E175">
        <v>25</v>
      </c>
      <c r="F175">
        <v>20</v>
      </c>
    </row>
    <row r="176" spans="1:6" x14ac:dyDescent="0.2">
      <c r="A176" s="3"/>
      <c r="B176">
        <v>6.1</v>
      </c>
      <c r="C176">
        <v>8</v>
      </c>
      <c r="D176" s="419">
        <v>11061.839595959596</v>
      </c>
      <c r="E176">
        <v>25</v>
      </c>
      <c r="F176">
        <v>20</v>
      </c>
    </row>
    <row r="177" spans="1:6" x14ac:dyDescent="0.2">
      <c r="A177" s="3"/>
      <c r="B177">
        <v>8.1</v>
      </c>
      <c r="C177">
        <v>10</v>
      </c>
      <c r="D177" s="419">
        <v>14396.050612244897</v>
      </c>
      <c r="E177">
        <v>25</v>
      </c>
      <c r="F177">
        <v>20</v>
      </c>
    </row>
    <row r="178" spans="1:6" x14ac:dyDescent="0.2">
      <c r="A178" s="3"/>
      <c r="B178">
        <v>10.1</v>
      </c>
      <c r="C178">
        <v>12</v>
      </c>
      <c r="D178" s="419">
        <v>16659.506451612902</v>
      </c>
      <c r="E178">
        <v>25</v>
      </c>
      <c r="F178">
        <v>20</v>
      </c>
    </row>
    <row r="179" spans="1:6" x14ac:dyDescent="0.2">
      <c r="A179" s="3"/>
      <c r="B179">
        <v>12.1</v>
      </c>
      <c r="C179">
        <v>14</v>
      </c>
      <c r="D179" s="419">
        <v>19254.500240963855</v>
      </c>
      <c r="E179">
        <v>25</v>
      </c>
      <c r="F179">
        <v>20</v>
      </c>
    </row>
    <row r="180" spans="1:6" x14ac:dyDescent="0.2">
      <c r="A180" s="3"/>
      <c r="B180">
        <v>14.1</v>
      </c>
      <c r="C180">
        <v>16</v>
      </c>
      <c r="D180" s="419">
        <v>26647.512289156628</v>
      </c>
      <c r="E180">
        <v>25</v>
      </c>
      <c r="F180">
        <v>20</v>
      </c>
    </row>
    <row r="181" spans="1:6" x14ac:dyDescent="0.2">
      <c r="A181" s="3"/>
      <c r="B181">
        <v>16.100000000000001</v>
      </c>
      <c r="C181">
        <v>18</v>
      </c>
      <c r="D181" s="419">
        <v>33531.189219858155</v>
      </c>
      <c r="E181">
        <v>25</v>
      </c>
      <c r="F181">
        <v>20</v>
      </c>
    </row>
    <row r="182" spans="1:6" x14ac:dyDescent="0.2">
      <c r="A182" s="3"/>
      <c r="B182">
        <v>18.100000000000001</v>
      </c>
      <c r="C182">
        <v>30</v>
      </c>
      <c r="D182" s="419">
        <v>42084.270140109402</v>
      </c>
      <c r="E182">
        <v>25</v>
      </c>
      <c r="F182">
        <v>20</v>
      </c>
    </row>
    <row r="183" spans="1:6" x14ac:dyDescent="0.2">
      <c r="A183" s="3"/>
      <c r="B183">
        <v>30.1</v>
      </c>
      <c r="C183">
        <v>48</v>
      </c>
      <c r="D183" s="419">
        <v>59227.779900671587</v>
      </c>
      <c r="E183">
        <v>25</v>
      </c>
      <c r="F183">
        <v>20</v>
      </c>
    </row>
    <row r="184" spans="1:6" x14ac:dyDescent="0.2">
      <c r="A184" s="3"/>
      <c r="B184">
        <v>48.1</v>
      </c>
      <c r="C184" t="s">
        <v>687</v>
      </c>
      <c r="D184" s="419" t="s">
        <v>687</v>
      </c>
      <c r="E184">
        <v>25</v>
      </c>
      <c r="F184">
        <v>20</v>
      </c>
    </row>
    <row r="187" spans="1:6" x14ac:dyDescent="0.2">
      <c r="A187" s="934" t="s">
        <v>4501</v>
      </c>
      <c r="B187" s="934" t="s">
        <v>4606</v>
      </c>
      <c r="C187" s="934"/>
      <c r="D187" s="934"/>
      <c r="E187" s="934"/>
      <c r="F187" s="934"/>
    </row>
    <row r="188" spans="1:6" x14ac:dyDescent="0.2">
      <c r="A188" s="944">
        <v>43</v>
      </c>
      <c r="B188" s="116"/>
      <c r="C188" s="116"/>
      <c r="D188" s="116" t="s">
        <v>2343</v>
      </c>
      <c r="E188" s="116" t="s">
        <v>4503</v>
      </c>
      <c r="F188" s="116" t="s">
        <v>4504</v>
      </c>
    </row>
    <row r="189" spans="1:6" x14ac:dyDescent="0.2">
      <c r="A189" s="3" t="s">
        <v>4607</v>
      </c>
      <c r="B189">
        <v>0</v>
      </c>
      <c r="C189">
        <v>0</v>
      </c>
      <c r="D189" s="419">
        <v>27133.862674036478</v>
      </c>
      <c r="E189">
        <v>15</v>
      </c>
      <c r="F189">
        <v>14</v>
      </c>
    </row>
    <row r="192" spans="1:6" x14ac:dyDescent="0.2">
      <c r="A192" s="934" t="s">
        <v>4512</v>
      </c>
      <c r="B192" s="934" t="s">
        <v>4608</v>
      </c>
      <c r="C192" s="934"/>
      <c r="D192" s="934"/>
      <c r="E192" s="934"/>
      <c r="F192" s="934"/>
    </row>
    <row r="193" spans="1:6" x14ac:dyDescent="0.2">
      <c r="A193" s="944">
        <v>3</v>
      </c>
      <c r="B193" s="116"/>
      <c r="C193" s="116"/>
      <c r="D193" s="116" t="s">
        <v>4513</v>
      </c>
      <c r="E193" s="952" t="s">
        <v>4503</v>
      </c>
      <c r="F193" s="952" t="s">
        <v>4504</v>
      </c>
    </row>
    <row r="194" spans="1:6" x14ac:dyDescent="0.2">
      <c r="A194" s="3" t="s">
        <v>4609</v>
      </c>
      <c r="B194">
        <v>0</v>
      </c>
      <c r="C194">
        <v>0</v>
      </c>
      <c r="D194" s="772">
        <v>739.60558874747949</v>
      </c>
      <c r="E194" s="694">
        <v>40</v>
      </c>
      <c r="F194" s="694">
        <v>37</v>
      </c>
    </row>
    <row r="197" spans="1:6" x14ac:dyDescent="0.2">
      <c r="A197" s="934" t="s">
        <v>4535</v>
      </c>
      <c r="B197" s="934" t="s">
        <v>4610</v>
      </c>
      <c r="C197" s="934"/>
      <c r="D197" s="934"/>
      <c r="E197" s="934"/>
      <c r="F197" s="934"/>
    </row>
    <row r="198" spans="1:6" x14ac:dyDescent="0.2">
      <c r="A198" s="944">
        <v>11</v>
      </c>
      <c r="B198" s="116"/>
      <c r="C198" s="116"/>
      <c r="D198" s="953" t="s">
        <v>4611</v>
      </c>
      <c r="E198" s="952" t="s">
        <v>4503</v>
      </c>
      <c r="F198" s="952" t="s">
        <v>4504</v>
      </c>
    </row>
    <row r="199" spans="1:6" x14ac:dyDescent="0.2">
      <c r="A199" s="3" t="s">
        <v>4612</v>
      </c>
      <c r="B199">
        <v>0</v>
      </c>
      <c r="C199">
        <v>0</v>
      </c>
      <c r="D199" s="772">
        <v>389.13</v>
      </c>
      <c r="E199" s="694">
        <v>10</v>
      </c>
      <c r="F199" s="694">
        <v>10</v>
      </c>
    </row>
    <row r="202" spans="1:6" x14ac:dyDescent="0.2">
      <c r="A202" s="934" t="s">
        <v>4512</v>
      </c>
      <c r="B202" s="934" t="s">
        <v>2456</v>
      </c>
      <c r="C202" s="934"/>
      <c r="D202" s="934"/>
      <c r="E202" s="934"/>
      <c r="F202" s="934"/>
    </row>
    <row r="203" spans="1:6" x14ac:dyDescent="0.2">
      <c r="A203" s="944">
        <v>3</v>
      </c>
      <c r="B203" s="116"/>
      <c r="C203" s="116"/>
      <c r="D203" s="116" t="s">
        <v>4513</v>
      </c>
      <c r="E203" s="952" t="s">
        <v>4503</v>
      </c>
      <c r="F203" s="952" t="s">
        <v>4504</v>
      </c>
    </row>
    <row r="204" spans="1:6" x14ac:dyDescent="0.2">
      <c r="A204" s="3" t="s">
        <v>4613</v>
      </c>
      <c r="B204">
        <v>0</v>
      </c>
      <c r="C204">
        <v>0</v>
      </c>
      <c r="D204" s="772">
        <v>492.74999999999994</v>
      </c>
      <c r="E204" s="694">
        <v>40</v>
      </c>
      <c r="F204" s="694">
        <v>37</v>
      </c>
    </row>
    <row r="207" spans="1:6" x14ac:dyDescent="0.2">
      <c r="A207" s="934" t="s">
        <v>4614</v>
      </c>
      <c r="B207" s="934" t="s">
        <v>4615</v>
      </c>
      <c r="C207" s="934"/>
      <c r="D207" s="934"/>
      <c r="E207" s="934"/>
      <c r="F207" s="934"/>
    </row>
    <row r="208" spans="1:6" x14ac:dyDescent="0.2">
      <c r="A208" s="944">
        <v>24</v>
      </c>
      <c r="B208" s="952" t="s">
        <v>4616</v>
      </c>
      <c r="C208" s="899" t="s">
        <v>4617</v>
      </c>
      <c r="D208" s="899" t="s">
        <v>4510</v>
      </c>
      <c r="E208" s="952" t="s">
        <v>4618</v>
      </c>
      <c r="F208" s="899" t="s">
        <v>4504</v>
      </c>
    </row>
    <row r="209" spans="1:6" x14ac:dyDescent="0.2">
      <c r="A209" s="3" t="s">
        <v>4619</v>
      </c>
      <c r="B209" s="694">
        <v>0</v>
      </c>
      <c r="C209">
        <v>8</v>
      </c>
      <c r="D209" s="419">
        <v>56676.281085048002</v>
      </c>
      <c r="E209">
        <v>40</v>
      </c>
      <c r="F209">
        <v>37</v>
      </c>
    </row>
    <row r="210" spans="1:6" x14ac:dyDescent="0.2">
      <c r="A210" s="3"/>
      <c r="B210" s="694">
        <v>9</v>
      </c>
      <c r="C210">
        <v>10</v>
      </c>
      <c r="D210" s="419">
        <v>59919.803195336892</v>
      </c>
      <c r="E210">
        <v>40</v>
      </c>
      <c r="F210">
        <v>37</v>
      </c>
    </row>
    <row r="211" spans="1:6" x14ac:dyDescent="0.2">
      <c r="A211" s="3"/>
      <c r="B211" s="694">
        <v>11</v>
      </c>
      <c r="C211">
        <v>12</v>
      </c>
      <c r="D211" s="419">
        <v>63163.325305625782</v>
      </c>
      <c r="E211">
        <v>40</v>
      </c>
      <c r="F211">
        <v>37</v>
      </c>
    </row>
    <row r="212" spans="1:6" x14ac:dyDescent="0.2">
      <c r="A212" s="3"/>
      <c r="B212" s="694">
        <v>13</v>
      </c>
      <c r="C212">
        <v>14</v>
      </c>
      <c r="D212" s="419">
        <v>79210.224167055057</v>
      </c>
      <c r="E212">
        <v>40</v>
      </c>
      <c r="F212">
        <v>37</v>
      </c>
    </row>
    <row r="213" spans="1:6" x14ac:dyDescent="0.2">
      <c r="A213" s="3"/>
      <c r="B213" s="694">
        <v>15</v>
      </c>
      <c r="C213">
        <v>16</v>
      </c>
      <c r="D213" s="419">
        <v>83648.728107450355</v>
      </c>
      <c r="E213">
        <v>40</v>
      </c>
      <c r="F213">
        <v>37</v>
      </c>
    </row>
    <row r="214" spans="1:6" x14ac:dyDescent="0.2">
      <c r="A214" s="3"/>
      <c r="B214" s="694">
        <v>17</v>
      </c>
      <c r="C214">
        <v>18</v>
      </c>
      <c r="D214" s="419">
        <v>107036.22963953343</v>
      </c>
      <c r="E214">
        <v>40</v>
      </c>
      <c r="F214">
        <v>37</v>
      </c>
    </row>
    <row r="215" spans="1:6" x14ac:dyDescent="0.2">
      <c r="A215" s="3"/>
      <c r="B215" s="694">
        <v>19</v>
      </c>
      <c r="C215">
        <v>20</v>
      </c>
      <c r="D215" s="419">
        <v>112840.42710005038</v>
      </c>
      <c r="E215">
        <v>40</v>
      </c>
      <c r="F215">
        <v>37</v>
      </c>
    </row>
    <row r="216" spans="1:6" x14ac:dyDescent="0.2">
      <c r="A216" s="3"/>
      <c r="B216" s="694">
        <v>21</v>
      </c>
      <c r="C216">
        <v>22</v>
      </c>
      <c r="D216" s="419">
        <v>126326.65061125156</v>
      </c>
      <c r="E216">
        <v>40</v>
      </c>
      <c r="F216">
        <v>37</v>
      </c>
    </row>
    <row r="217" spans="1:6" x14ac:dyDescent="0.2">
      <c r="A217" s="3"/>
      <c r="B217" s="694">
        <v>23</v>
      </c>
      <c r="C217">
        <v>24</v>
      </c>
      <c r="D217" s="419">
        <v>130082.30779158608</v>
      </c>
      <c r="E217">
        <v>40</v>
      </c>
      <c r="F217">
        <v>37</v>
      </c>
    </row>
    <row r="218" spans="1:6" x14ac:dyDescent="0.2">
      <c r="A218" s="3"/>
      <c r="B218" s="694">
        <v>25</v>
      </c>
      <c r="C218">
        <v>26</v>
      </c>
      <c r="D218" s="419">
        <v>160810.41199432296</v>
      </c>
      <c r="E218">
        <v>40</v>
      </c>
      <c r="F218">
        <v>37</v>
      </c>
    </row>
    <row r="219" spans="1:6" x14ac:dyDescent="0.2">
      <c r="A219" s="3"/>
      <c r="B219" s="694">
        <v>27</v>
      </c>
      <c r="C219">
        <v>28</v>
      </c>
      <c r="D219" s="419">
        <v>185734.31873654283</v>
      </c>
      <c r="E219">
        <v>40</v>
      </c>
      <c r="F219">
        <v>37</v>
      </c>
    </row>
    <row r="220" spans="1:6" x14ac:dyDescent="0.2">
      <c r="A220" s="3"/>
      <c r="B220" s="694">
        <v>29</v>
      </c>
      <c r="C220">
        <v>30</v>
      </c>
      <c r="D220" s="419">
        <v>192904.20971718145</v>
      </c>
      <c r="E220">
        <v>40</v>
      </c>
      <c r="F220">
        <v>37</v>
      </c>
    </row>
    <row r="221" spans="1:6" x14ac:dyDescent="0.2">
      <c r="A221" s="3"/>
      <c r="B221" s="694">
        <v>31</v>
      </c>
      <c r="C221" t="s">
        <v>687</v>
      </c>
      <c r="D221" s="772" t="s">
        <v>687</v>
      </c>
      <c r="E221">
        <v>40</v>
      </c>
      <c r="F221">
        <v>37</v>
      </c>
    </row>
    <row r="224" spans="1:6" x14ac:dyDescent="0.2">
      <c r="A224" s="934" t="s">
        <v>4620</v>
      </c>
      <c r="B224" s="934" t="s">
        <v>4621</v>
      </c>
      <c r="C224" s="934"/>
      <c r="D224" s="934"/>
      <c r="E224" s="934"/>
      <c r="F224" s="934"/>
    </row>
    <row r="225" spans="1:6" x14ac:dyDescent="0.2">
      <c r="A225" s="944">
        <v>15</v>
      </c>
      <c r="B225" s="116" t="s">
        <v>4598</v>
      </c>
      <c r="C225" s="116" t="s">
        <v>4599</v>
      </c>
      <c r="D225" s="899" t="s">
        <v>4622</v>
      </c>
      <c r="E225" s="116" t="s">
        <v>4503</v>
      </c>
      <c r="F225" s="116" t="s">
        <v>4504</v>
      </c>
    </row>
    <row r="226" spans="1:6" x14ac:dyDescent="0.2">
      <c r="A226" s="3" t="s">
        <v>4623</v>
      </c>
      <c r="B226">
        <v>0</v>
      </c>
      <c r="C226">
        <v>0.5</v>
      </c>
      <c r="D226" s="419">
        <v>2.6632135313802943</v>
      </c>
      <c r="E226">
        <v>22</v>
      </c>
      <c r="F226">
        <v>17</v>
      </c>
    </row>
    <row r="227" spans="1:6" x14ac:dyDescent="0.2">
      <c r="A227" s="3"/>
      <c r="B227">
        <v>0.6</v>
      </c>
      <c r="C227">
        <v>0.75</v>
      </c>
      <c r="D227" s="419">
        <v>3.4161861313868607</v>
      </c>
      <c r="E227">
        <v>22</v>
      </c>
      <c r="F227">
        <v>17</v>
      </c>
    </row>
    <row r="228" spans="1:6" x14ac:dyDescent="0.2">
      <c r="A228" s="3"/>
      <c r="B228">
        <v>0.76</v>
      </c>
      <c r="C228">
        <v>1</v>
      </c>
      <c r="D228" s="419">
        <v>4.6191902899139743</v>
      </c>
      <c r="E228">
        <v>22</v>
      </c>
      <c r="F228">
        <v>17</v>
      </c>
    </row>
    <row r="229" spans="1:6" x14ac:dyDescent="0.2">
      <c r="A229" s="3"/>
      <c r="B229">
        <v>1.1000000000000001</v>
      </c>
      <c r="C229">
        <v>1.5</v>
      </c>
      <c r="D229" s="419">
        <v>6.9897382182847299</v>
      </c>
      <c r="E229">
        <v>22</v>
      </c>
      <c r="F229">
        <v>17</v>
      </c>
    </row>
    <row r="230" spans="1:6" x14ac:dyDescent="0.2">
      <c r="A230" s="3"/>
      <c r="B230">
        <v>1.6</v>
      </c>
      <c r="C230">
        <v>2</v>
      </c>
      <c r="D230" s="419">
        <v>9.7307617597109495</v>
      </c>
      <c r="E230">
        <v>22</v>
      </c>
      <c r="F230">
        <v>17</v>
      </c>
    </row>
    <row r="231" spans="1:6" x14ac:dyDescent="0.2">
      <c r="A231" s="3"/>
      <c r="B231">
        <v>2.1</v>
      </c>
      <c r="C231">
        <v>2.5</v>
      </c>
      <c r="D231" s="419">
        <v>13.9160178794061</v>
      </c>
      <c r="E231">
        <v>22</v>
      </c>
      <c r="F231">
        <v>17</v>
      </c>
    </row>
    <row r="232" spans="1:6" x14ac:dyDescent="0.2">
      <c r="A232" s="3"/>
      <c r="B232">
        <v>2.6</v>
      </c>
      <c r="C232">
        <v>3</v>
      </c>
      <c r="D232" s="419">
        <v>15.479636354286573</v>
      </c>
      <c r="E232">
        <v>22</v>
      </c>
      <c r="F232">
        <v>17</v>
      </c>
    </row>
    <row r="233" spans="1:6" x14ac:dyDescent="0.2">
      <c r="A233" s="3"/>
      <c r="B233">
        <v>3.1</v>
      </c>
      <c r="C233">
        <v>4</v>
      </c>
      <c r="D233" s="419">
        <v>27.687322631427584</v>
      </c>
      <c r="E233">
        <v>22</v>
      </c>
      <c r="F233">
        <v>17</v>
      </c>
    </row>
    <row r="234" spans="1:6" x14ac:dyDescent="0.2">
      <c r="A234" s="3"/>
      <c r="B234">
        <v>4.0999999999999996</v>
      </c>
      <c r="C234">
        <v>6</v>
      </c>
      <c r="D234" s="419">
        <v>50.768846439169138</v>
      </c>
      <c r="E234">
        <v>22</v>
      </c>
      <c r="F234">
        <v>17</v>
      </c>
    </row>
    <row r="235" spans="1:6" x14ac:dyDescent="0.2">
      <c r="A235" s="3"/>
      <c r="B235">
        <v>6.1</v>
      </c>
      <c r="C235">
        <v>8</v>
      </c>
      <c r="D235" s="419">
        <v>60.907083897837325</v>
      </c>
      <c r="E235">
        <v>22</v>
      </c>
      <c r="F235">
        <v>17</v>
      </c>
    </row>
    <row r="236" spans="1:6" x14ac:dyDescent="0.2">
      <c r="A236" s="3"/>
      <c r="B236">
        <v>8.1</v>
      </c>
      <c r="C236">
        <v>10</v>
      </c>
      <c r="D236" s="419">
        <v>120.49246198157502</v>
      </c>
      <c r="E236">
        <v>22</v>
      </c>
      <c r="F236">
        <v>17</v>
      </c>
    </row>
    <row r="237" spans="1:6" x14ac:dyDescent="0.2">
      <c r="A237" s="3"/>
      <c r="B237">
        <v>10.1</v>
      </c>
      <c r="C237">
        <v>12</v>
      </c>
      <c r="D237" s="419">
        <v>157.99898111173229</v>
      </c>
      <c r="E237">
        <v>22</v>
      </c>
      <c r="F237">
        <v>17</v>
      </c>
    </row>
    <row r="238" spans="1:6" x14ac:dyDescent="0.2">
      <c r="A238" s="3"/>
      <c r="B238">
        <v>12.1</v>
      </c>
      <c r="C238">
        <v>14</v>
      </c>
      <c r="D238" s="419">
        <v>232.01930337969426</v>
      </c>
      <c r="E238">
        <v>22</v>
      </c>
      <c r="F238">
        <v>17</v>
      </c>
    </row>
    <row r="239" spans="1:6" x14ac:dyDescent="0.2">
      <c r="A239" s="3"/>
      <c r="B239">
        <v>14.1</v>
      </c>
      <c r="C239">
        <v>16</v>
      </c>
      <c r="D239" s="419">
        <v>296.65379213483146</v>
      </c>
      <c r="E239">
        <v>22</v>
      </c>
      <c r="F239">
        <v>17</v>
      </c>
    </row>
    <row r="240" spans="1:6" x14ac:dyDescent="0.2">
      <c r="A240" s="3"/>
      <c r="B240">
        <v>16.100000000000001</v>
      </c>
      <c r="C240">
        <v>18</v>
      </c>
      <c r="D240" s="419">
        <v>297.3340569345113</v>
      </c>
      <c r="E240">
        <v>22</v>
      </c>
      <c r="F240">
        <v>17</v>
      </c>
    </row>
    <row r="241" spans="1:6" x14ac:dyDescent="0.2">
      <c r="A241" s="3"/>
      <c r="B241">
        <v>18.100000000000001</v>
      </c>
      <c r="C241" t="s">
        <v>687</v>
      </c>
      <c r="D241" s="419" t="s">
        <v>687</v>
      </c>
      <c r="E241">
        <v>22</v>
      </c>
      <c r="F241">
        <v>17</v>
      </c>
    </row>
    <row r="244" spans="1:6" x14ac:dyDescent="0.2">
      <c r="A244" s="934" t="s">
        <v>4624</v>
      </c>
      <c r="B244" s="934" t="s">
        <v>4625</v>
      </c>
      <c r="C244" s="934"/>
      <c r="D244" s="934"/>
      <c r="E244" s="934"/>
      <c r="F244" s="934"/>
    </row>
    <row r="245" spans="1:6" x14ac:dyDescent="0.2">
      <c r="A245" s="944">
        <v>23</v>
      </c>
      <c r="B245" s="116" t="s">
        <v>4626</v>
      </c>
      <c r="C245" s="116" t="s">
        <v>4627</v>
      </c>
      <c r="D245" s="116" t="s">
        <v>4510</v>
      </c>
      <c r="E245" s="116" t="s">
        <v>4503</v>
      </c>
      <c r="F245" s="116" t="s">
        <v>4504</v>
      </c>
    </row>
    <row r="246" spans="1:6" x14ac:dyDescent="0.2">
      <c r="A246" s="3" t="s">
        <v>4628</v>
      </c>
      <c r="B246">
        <v>0</v>
      </c>
      <c r="C246" s="694">
        <v>180</v>
      </c>
      <c r="D246" s="419">
        <v>18903.617325224444</v>
      </c>
      <c r="E246">
        <v>35</v>
      </c>
      <c r="F246">
        <v>30</v>
      </c>
    </row>
    <row r="247" spans="1:6" x14ac:dyDescent="0.2">
      <c r="A247" s="3"/>
      <c r="B247">
        <v>181</v>
      </c>
      <c r="C247" s="694">
        <v>1400</v>
      </c>
      <c r="D247" s="419">
        <v>37307.291561729398</v>
      </c>
      <c r="E247">
        <v>35</v>
      </c>
      <c r="F247">
        <v>30</v>
      </c>
    </row>
    <row r="248" spans="1:6" x14ac:dyDescent="0.2">
      <c r="A248" s="3"/>
      <c r="B248">
        <v>1401</v>
      </c>
      <c r="C248" s="694">
        <v>2000</v>
      </c>
      <c r="D248" s="419">
        <v>56179.431524547799</v>
      </c>
      <c r="E248">
        <v>35</v>
      </c>
      <c r="F248">
        <v>30</v>
      </c>
    </row>
    <row r="249" spans="1:6" x14ac:dyDescent="0.2">
      <c r="A249" s="3"/>
      <c r="B249">
        <v>2001</v>
      </c>
      <c r="C249" s="694">
        <v>6800</v>
      </c>
      <c r="D249" s="419">
        <v>86885.007846737135</v>
      </c>
      <c r="E249">
        <v>35</v>
      </c>
      <c r="F249">
        <v>30</v>
      </c>
    </row>
    <row r="250" spans="1:6" x14ac:dyDescent="0.2">
      <c r="A250" s="3"/>
      <c r="B250">
        <v>6801</v>
      </c>
      <c r="C250" s="694">
        <v>27100</v>
      </c>
      <c r="D250" s="419">
        <v>188661.29032258067</v>
      </c>
      <c r="E250">
        <v>35</v>
      </c>
      <c r="F250">
        <v>30</v>
      </c>
    </row>
    <row r="251" spans="1:6" x14ac:dyDescent="0.2">
      <c r="A251" s="3"/>
      <c r="B251">
        <v>27101</v>
      </c>
      <c r="C251" t="s">
        <v>687</v>
      </c>
      <c r="D251" s="419" t="s">
        <v>687</v>
      </c>
      <c r="E251">
        <v>35</v>
      </c>
      <c r="F251">
        <v>30</v>
      </c>
    </row>
    <row r="254" spans="1:6" x14ac:dyDescent="0.2">
      <c r="A254" s="934" t="s">
        <v>4624</v>
      </c>
      <c r="B254" s="934" t="s">
        <v>4629</v>
      </c>
      <c r="C254" s="934"/>
      <c r="D254" s="934"/>
      <c r="E254" s="934"/>
      <c r="F254" s="934"/>
    </row>
    <row r="255" spans="1:6" x14ac:dyDescent="0.2">
      <c r="A255" s="944">
        <v>23</v>
      </c>
      <c r="B255" s="116" t="s">
        <v>4626</v>
      </c>
      <c r="C255" s="116" t="s">
        <v>4627</v>
      </c>
      <c r="D255" s="116" t="s">
        <v>4510</v>
      </c>
      <c r="E255" s="116" t="s">
        <v>4503</v>
      </c>
      <c r="F255" s="116" t="s">
        <v>4504</v>
      </c>
    </row>
    <row r="256" spans="1:6" x14ac:dyDescent="0.2">
      <c r="A256" s="3" t="s">
        <v>4630</v>
      </c>
      <c r="B256">
        <v>0</v>
      </c>
      <c r="C256" s="694">
        <v>180</v>
      </c>
      <c r="D256" s="419">
        <v>17250.424316108834</v>
      </c>
      <c r="E256">
        <v>35</v>
      </c>
      <c r="F256">
        <v>30</v>
      </c>
    </row>
    <row r="257" spans="1:6" x14ac:dyDescent="0.2">
      <c r="A257" s="3"/>
      <c r="B257">
        <v>181</v>
      </c>
      <c r="C257" s="694">
        <v>1400</v>
      </c>
      <c r="D257" s="419">
        <v>32550.197998383468</v>
      </c>
      <c r="E257">
        <v>35</v>
      </c>
      <c r="F257">
        <v>30</v>
      </c>
    </row>
    <row r="258" spans="1:6" x14ac:dyDescent="0.2">
      <c r="A258" s="3"/>
      <c r="B258">
        <v>1701</v>
      </c>
      <c r="C258" s="694">
        <v>2000</v>
      </c>
      <c r="D258" s="419">
        <v>49233.695090439272</v>
      </c>
      <c r="E258">
        <v>35</v>
      </c>
      <c r="F258">
        <v>30</v>
      </c>
    </row>
    <row r="259" spans="1:6" x14ac:dyDescent="0.2">
      <c r="A259" s="3"/>
      <c r="B259">
        <v>1401</v>
      </c>
      <c r="C259" s="694">
        <v>6800</v>
      </c>
      <c r="D259" s="419">
        <v>71941.198515468393</v>
      </c>
      <c r="E259">
        <v>35</v>
      </c>
      <c r="F259">
        <v>30</v>
      </c>
    </row>
    <row r="260" spans="1:6" x14ac:dyDescent="0.2">
      <c r="A260" s="3"/>
      <c r="B260">
        <v>6801</v>
      </c>
      <c r="C260" s="694">
        <v>27100</v>
      </c>
      <c r="D260" s="419">
        <v>142935.48387096776</v>
      </c>
      <c r="E260">
        <v>35</v>
      </c>
      <c r="F260">
        <v>30</v>
      </c>
    </row>
    <row r="261" spans="1:6" x14ac:dyDescent="0.2">
      <c r="A261" s="3"/>
      <c r="B261">
        <v>27101</v>
      </c>
      <c r="C261" t="s">
        <v>687</v>
      </c>
      <c r="D261" s="419" t="s">
        <v>687</v>
      </c>
      <c r="E261">
        <v>35</v>
      </c>
      <c r="F261">
        <v>30</v>
      </c>
    </row>
    <row r="264" spans="1:6" x14ac:dyDescent="0.2">
      <c r="A264" s="3"/>
    </row>
    <row r="265" spans="1:6" x14ac:dyDescent="0.2">
      <c r="A265" s="954" t="s">
        <v>4631</v>
      </c>
      <c r="B265" s="291" t="s">
        <v>4632</v>
      </c>
      <c r="C265" s="955">
        <v>2021</v>
      </c>
    </row>
    <row r="268" spans="1:6" x14ac:dyDescent="0.2">
      <c r="A268" s="934" t="s">
        <v>4633</v>
      </c>
      <c r="B268" s="934" t="s">
        <v>4634</v>
      </c>
      <c r="C268" s="934"/>
      <c r="D268" s="934"/>
      <c r="E268" s="934"/>
      <c r="F268" s="934"/>
    </row>
    <row r="269" spans="1:6" x14ac:dyDescent="0.2">
      <c r="A269" s="944">
        <v>19</v>
      </c>
      <c r="B269" s="116" t="s">
        <v>4598</v>
      </c>
      <c r="C269" s="116" t="s">
        <v>4599</v>
      </c>
      <c r="D269" s="899" t="s">
        <v>4622</v>
      </c>
      <c r="E269" s="116" t="s">
        <v>4503</v>
      </c>
      <c r="F269" s="116" t="s">
        <v>4504</v>
      </c>
    </row>
    <row r="270" spans="1:6" x14ac:dyDescent="0.2">
      <c r="A270" s="3" t="s">
        <v>4635</v>
      </c>
      <c r="B270">
        <v>0</v>
      </c>
      <c r="C270">
        <v>4</v>
      </c>
      <c r="D270" s="419">
        <v>75</v>
      </c>
      <c r="E270">
        <v>40</v>
      </c>
      <c r="F270">
        <v>35</v>
      </c>
    </row>
    <row r="271" spans="1:6" x14ac:dyDescent="0.2">
      <c r="A271" s="3"/>
      <c r="B271">
        <v>4.0999999999999996</v>
      </c>
      <c r="C271">
        <v>6</v>
      </c>
      <c r="D271" s="419">
        <v>92.5</v>
      </c>
      <c r="E271">
        <v>40</v>
      </c>
      <c r="F271">
        <v>35</v>
      </c>
    </row>
    <row r="272" spans="1:6" x14ac:dyDescent="0.2">
      <c r="A272" s="3"/>
      <c r="B272">
        <v>6.1</v>
      </c>
      <c r="C272">
        <v>8</v>
      </c>
      <c r="D272" s="419">
        <v>126</v>
      </c>
      <c r="E272">
        <v>40</v>
      </c>
      <c r="F272">
        <v>35</v>
      </c>
    </row>
    <row r="273" spans="1:6" x14ac:dyDescent="0.2">
      <c r="A273" s="3"/>
      <c r="B273">
        <v>8.1</v>
      </c>
      <c r="C273">
        <v>10</v>
      </c>
      <c r="D273" s="419">
        <v>161</v>
      </c>
      <c r="E273">
        <v>40</v>
      </c>
      <c r="F273">
        <v>35</v>
      </c>
    </row>
    <row r="274" spans="1:6" x14ac:dyDescent="0.2">
      <c r="A274" s="3"/>
      <c r="B274">
        <v>10.1</v>
      </c>
      <c r="C274">
        <v>12</v>
      </c>
      <c r="D274" s="419">
        <v>197</v>
      </c>
      <c r="E274">
        <v>40</v>
      </c>
      <c r="F274">
        <v>35</v>
      </c>
    </row>
    <row r="275" spans="1:6" x14ac:dyDescent="0.2">
      <c r="A275" s="3"/>
      <c r="B275">
        <v>12.1</v>
      </c>
      <c r="C275">
        <v>14</v>
      </c>
      <c r="D275" s="419">
        <v>157</v>
      </c>
      <c r="E275">
        <v>40</v>
      </c>
      <c r="F275">
        <v>35</v>
      </c>
    </row>
    <row r="276" spans="1:6" x14ac:dyDescent="0.2">
      <c r="A276" s="3"/>
      <c r="B276">
        <v>14.1</v>
      </c>
      <c r="C276">
        <v>16</v>
      </c>
      <c r="D276" s="419">
        <v>169</v>
      </c>
      <c r="E276">
        <v>40</v>
      </c>
      <c r="F276">
        <v>35</v>
      </c>
    </row>
    <row r="277" spans="1:6" x14ac:dyDescent="0.2">
      <c r="A277" s="3"/>
      <c r="B277">
        <v>16.100000000000001</v>
      </c>
      <c r="C277">
        <v>18</v>
      </c>
      <c r="D277" s="419">
        <v>216</v>
      </c>
      <c r="E277">
        <v>40</v>
      </c>
      <c r="F277">
        <v>35</v>
      </c>
    </row>
    <row r="278" spans="1:6" x14ac:dyDescent="0.2">
      <c r="A278" s="3"/>
      <c r="B278">
        <v>18.100000000000001</v>
      </c>
      <c r="C278">
        <v>20</v>
      </c>
      <c r="D278" s="419">
        <v>225</v>
      </c>
      <c r="E278">
        <v>40</v>
      </c>
      <c r="F278">
        <v>35</v>
      </c>
    </row>
    <row r="279" spans="1:6" x14ac:dyDescent="0.2">
      <c r="A279" s="3"/>
      <c r="B279">
        <v>20.100000000000001</v>
      </c>
      <c r="C279">
        <v>24</v>
      </c>
      <c r="D279" s="419">
        <v>254</v>
      </c>
      <c r="E279">
        <v>40</v>
      </c>
      <c r="F279">
        <v>35</v>
      </c>
    </row>
    <row r="280" spans="1:6" x14ac:dyDescent="0.2">
      <c r="A280" s="3"/>
      <c r="B280">
        <v>24.1</v>
      </c>
      <c r="C280">
        <v>30</v>
      </c>
      <c r="D280" s="419">
        <v>345.13777777777773</v>
      </c>
      <c r="E280">
        <v>40</v>
      </c>
      <c r="F280">
        <v>35</v>
      </c>
    </row>
    <row r="281" spans="1:6" x14ac:dyDescent="0.2">
      <c r="A281" s="3"/>
      <c r="B281">
        <v>30.1</v>
      </c>
      <c r="C281">
        <v>36</v>
      </c>
      <c r="D281" s="419">
        <v>451.23555555555549</v>
      </c>
      <c r="E281">
        <v>40</v>
      </c>
      <c r="F281">
        <v>35</v>
      </c>
    </row>
    <row r="282" spans="1:6" x14ac:dyDescent="0.2">
      <c r="A282" s="3"/>
      <c r="B282">
        <v>36.1</v>
      </c>
      <c r="C282">
        <v>42</v>
      </c>
      <c r="D282" s="419">
        <v>628.76444444444439</v>
      </c>
      <c r="E282">
        <v>40</v>
      </c>
      <c r="F282">
        <v>35</v>
      </c>
    </row>
    <row r="283" spans="1:6" x14ac:dyDescent="0.2">
      <c r="A283" s="3"/>
      <c r="B283">
        <v>42.1</v>
      </c>
      <c r="C283">
        <v>48</v>
      </c>
      <c r="D283" s="419">
        <v>816.64</v>
      </c>
      <c r="E283">
        <v>40</v>
      </c>
      <c r="F283">
        <v>35</v>
      </c>
    </row>
    <row r="284" spans="1:6" x14ac:dyDescent="0.2">
      <c r="A284" s="3"/>
      <c r="B284">
        <v>48.1</v>
      </c>
      <c r="C284" t="s">
        <v>687</v>
      </c>
      <c r="D284" s="419" t="s">
        <v>687</v>
      </c>
      <c r="E284">
        <v>40</v>
      </c>
      <c r="F284">
        <v>35</v>
      </c>
    </row>
    <row r="287" spans="1:6" x14ac:dyDescent="0.2">
      <c r="A287" s="934" t="s">
        <v>4520</v>
      </c>
      <c r="B287" s="934" t="s">
        <v>2876</v>
      </c>
      <c r="C287" s="934"/>
      <c r="D287" s="934"/>
      <c r="E287" s="934"/>
      <c r="F287" s="934"/>
    </row>
    <row r="288" spans="1:6" x14ac:dyDescent="0.2">
      <c r="A288" s="944">
        <v>29</v>
      </c>
      <c r="B288" s="952" t="s">
        <v>4636</v>
      </c>
      <c r="C288" s="116" t="s">
        <v>4637</v>
      </c>
      <c r="D288" s="116" t="s">
        <v>4510</v>
      </c>
      <c r="E288" s="116" t="s">
        <v>4503</v>
      </c>
      <c r="F288" s="116" t="s">
        <v>4504</v>
      </c>
    </row>
    <row r="289" spans="1:6" x14ac:dyDescent="0.2">
      <c r="A289" s="3" t="s">
        <v>4638</v>
      </c>
      <c r="B289">
        <v>0</v>
      </c>
      <c r="C289">
        <v>14</v>
      </c>
      <c r="D289" s="419">
        <v>64.667615966457262</v>
      </c>
      <c r="E289">
        <v>10</v>
      </c>
      <c r="F289">
        <v>10</v>
      </c>
    </row>
    <row r="290" spans="1:6" x14ac:dyDescent="0.2">
      <c r="A290" s="3"/>
      <c r="B290">
        <v>14.1</v>
      </c>
      <c r="C290">
        <v>15</v>
      </c>
      <c r="D290" s="419">
        <v>63.576495597266018</v>
      </c>
      <c r="E290">
        <v>10</v>
      </c>
      <c r="F290">
        <v>10</v>
      </c>
    </row>
    <row r="291" spans="1:6" x14ac:dyDescent="0.2">
      <c r="A291" s="3"/>
      <c r="B291">
        <v>15.1</v>
      </c>
      <c r="C291">
        <v>17</v>
      </c>
      <c r="D291" s="419">
        <v>70.082686060979853</v>
      </c>
      <c r="E291">
        <v>10</v>
      </c>
      <c r="F291">
        <v>10</v>
      </c>
    </row>
    <row r="292" spans="1:6" x14ac:dyDescent="0.2">
      <c r="A292" s="3"/>
      <c r="B292">
        <v>17.100000000000001</v>
      </c>
      <c r="C292">
        <v>22</v>
      </c>
      <c r="D292" s="419">
        <v>73.793148190701103</v>
      </c>
      <c r="E292">
        <v>10</v>
      </c>
      <c r="F292">
        <v>10</v>
      </c>
    </row>
    <row r="293" spans="1:6" x14ac:dyDescent="0.2">
      <c r="A293" s="3"/>
      <c r="B293">
        <v>23.1</v>
      </c>
      <c r="C293">
        <v>34</v>
      </c>
      <c r="D293" s="419">
        <v>88.746060696521852</v>
      </c>
      <c r="E293">
        <v>10</v>
      </c>
      <c r="F293">
        <v>10</v>
      </c>
    </row>
    <row r="294" spans="1:6" x14ac:dyDescent="0.2">
      <c r="A294" s="3"/>
      <c r="B294">
        <v>34.1</v>
      </c>
      <c r="C294">
        <v>44</v>
      </c>
      <c r="D294" s="419">
        <v>91.81378716365387</v>
      </c>
      <c r="E294">
        <v>10</v>
      </c>
      <c r="F294">
        <v>10</v>
      </c>
    </row>
    <row r="295" spans="1:6" x14ac:dyDescent="0.2">
      <c r="A295" s="3"/>
      <c r="B295">
        <v>44.1</v>
      </c>
      <c r="C295" t="s">
        <v>687</v>
      </c>
      <c r="D295" s="419" t="s">
        <v>687</v>
      </c>
      <c r="E295">
        <v>45</v>
      </c>
      <c r="F295">
        <v>40</v>
      </c>
    </row>
    <row r="298" spans="1:6" x14ac:dyDescent="0.2">
      <c r="A298" s="934" t="s">
        <v>4501</v>
      </c>
      <c r="B298" s="934" t="s">
        <v>4639</v>
      </c>
      <c r="C298" s="934"/>
      <c r="D298" s="934"/>
      <c r="E298" s="934"/>
      <c r="F298" s="934"/>
    </row>
    <row r="299" spans="1:6" x14ac:dyDescent="0.2">
      <c r="A299" s="944">
        <v>43</v>
      </c>
      <c r="B299" s="116"/>
      <c r="C299" s="116"/>
      <c r="D299" s="116" t="s">
        <v>2343</v>
      </c>
      <c r="E299" s="116" t="s">
        <v>4503</v>
      </c>
      <c r="F299" s="116" t="s">
        <v>4504</v>
      </c>
    </row>
    <row r="300" spans="1:6" x14ac:dyDescent="0.2">
      <c r="A300" s="3" t="s">
        <v>4640</v>
      </c>
      <c r="B300">
        <v>0</v>
      </c>
      <c r="C300">
        <v>0</v>
      </c>
      <c r="D300" s="419">
        <v>5282.4958347260999</v>
      </c>
      <c r="E300">
        <v>15</v>
      </c>
      <c r="F300">
        <v>14</v>
      </c>
    </row>
    <row r="303" spans="1:6" x14ac:dyDescent="0.2">
      <c r="A303" s="934" t="s">
        <v>4501</v>
      </c>
      <c r="B303" s="934" t="s">
        <v>3502</v>
      </c>
      <c r="C303" s="934"/>
      <c r="D303" s="934"/>
      <c r="E303" s="934"/>
      <c r="F303" s="934"/>
    </row>
    <row r="304" spans="1:6" x14ac:dyDescent="0.2">
      <c r="A304" s="944">
        <v>43</v>
      </c>
      <c r="B304" s="116"/>
      <c r="C304" s="116"/>
      <c r="D304" s="899" t="s">
        <v>4510</v>
      </c>
      <c r="E304" s="116" t="s">
        <v>4503</v>
      </c>
      <c r="F304" s="116" t="s">
        <v>4504</v>
      </c>
    </row>
    <row r="305" spans="1:6" x14ac:dyDescent="0.2">
      <c r="A305" s="3" t="s">
        <v>4641</v>
      </c>
      <c r="B305">
        <v>0</v>
      </c>
      <c r="C305">
        <v>0</v>
      </c>
      <c r="D305" s="419">
        <v>1400</v>
      </c>
      <c r="E305">
        <v>22</v>
      </c>
      <c r="F305">
        <v>17</v>
      </c>
    </row>
    <row r="308" spans="1:6" x14ac:dyDescent="0.2">
      <c r="A308" s="944">
        <v>3</v>
      </c>
      <c r="B308" s="116"/>
      <c r="C308" s="113"/>
      <c r="D308" s="899" t="s">
        <v>4513</v>
      </c>
      <c r="E308" s="899" t="s">
        <v>4503</v>
      </c>
    </row>
    <row r="309" spans="1:6" x14ac:dyDescent="0.2">
      <c r="A309" s="3" t="s">
        <v>4643</v>
      </c>
      <c r="B309" s="694" t="s">
        <v>4642</v>
      </c>
      <c r="C309" s="3" t="s">
        <v>4643</v>
      </c>
      <c r="D309" s="772">
        <v>8.19</v>
      </c>
      <c r="E309" t="s">
        <v>590</v>
      </c>
    </row>
    <row r="312" spans="1:6" x14ac:dyDescent="0.2">
      <c r="A312" s="934" t="s">
        <v>4644</v>
      </c>
      <c r="B312" s="934" t="s">
        <v>4645</v>
      </c>
      <c r="C312" s="934"/>
      <c r="D312" s="934"/>
      <c r="E312" s="934"/>
      <c r="F312" s="934"/>
    </row>
    <row r="313" spans="1:6" x14ac:dyDescent="0.2">
      <c r="A313" s="944">
        <v>16</v>
      </c>
      <c r="B313" s="116"/>
      <c r="C313" s="113"/>
      <c r="D313" s="899" t="s">
        <v>4646</v>
      </c>
      <c r="E313" s="899" t="s">
        <v>4503</v>
      </c>
      <c r="F313" s="899" t="s">
        <v>4504</v>
      </c>
    </row>
    <row r="314" spans="1:6" x14ac:dyDescent="0.2">
      <c r="A314" s="3" t="s">
        <v>4647</v>
      </c>
      <c r="B314">
        <v>0</v>
      </c>
      <c r="C314">
        <v>0</v>
      </c>
      <c r="D314" s="772">
        <v>2.7</v>
      </c>
      <c r="E314" s="694">
        <v>10</v>
      </c>
      <c r="F314" s="694">
        <v>10</v>
      </c>
    </row>
    <row r="317" spans="1:6" x14ac:dyDescent="0.2">
      <c r="A317" s="934" t="s">
        <v>4512</v>
      </c>
      <c r="B317" s="934" t="s">
        <v>1873</v>
      </c>
      <c r="C317" s="934"/>
      <c r="D317" s="934"/>
      <c r="E317" s="934"/>
      <c r="F317" s="934"/>
    </row>
    <row r="318" spans="1:6" x14ac:dyDescent="0.2">
      <c r="A318" s="944">
        <v>3</v>
      </c>
      <c r="B318" s="116"/>
      <c r="C318" s="116"/>
      <c r="D318" s="116" t="s">
        <v>4513</v>
      </c>
      <c r="E318" s="116" t="s">
        <v>4503</v>
      </c>
      <c r="F318" s="116" t="s">
        <v>4504</v>
      </c>
    </row>
    <row r="319" spans="1:6" x14ac:dyDescent="0.2">
      <c r="A319" s="3" t="s">
        <v>4648</v>
      </c>
      <c r="B319">
        <v>0</v>
      </c>
      <c r="C319">
        <v>0</v>
      </c>
      <c r="D319" s="772">
        <v>30.879999999999995</v>
      </c>
      <c r="E319" t="s">
        <v>4514</v>
      </c>
      <c r="F319" t="s">
        <v>4514</v>
      </c>
    </row>
    <row r="322" spans="1:6" x14ac:dyDescent="0.2">
      <c r="A322" s="934" t="s">
        <v>4644</v>
      </c>
      <c r="B322" s="934" t="s">
        <v>4649</v>
      </c>
      <c r="C322" s="934"/>
      <c r="D322" s="934"/>
      <c r="E322" s="934"/>
      <c r="F322" s="934"/>
    </row>
    <row r="323" spans="1:6" x14ac:dyDescent="0.2">
      <c r="A323" s="944">
        <v>16</v>
      </c>
      <c r="B323" s="116" t="s">
        <v>4626</v>
      </c>
      <c r="C323" s="116" t="s">
        <v>4627</v>
      </c>
      <c r="D323" s="116" t="s">
        <v>4510</v>
      </c>
      <c r="E323" s="116" t="s">
        <v>4503</v>
      </c>
      <c r="F323" s="116" t="s">
        <v>4504</v>
      </c>
    </row>
    <row r="324" spans="1:6" x14ac:dyDescent="0.2">
      <c r="A324" s="3" t="s">
        <v>4650</v>
      </c>
      <c r="B324">
        <v>0</v>
      </c>
      <c r="C324">
        <v>564</v>
      </c>
      <c r="D324" s="419">
        <v>7145.2205882352946</v>
      </c>
      <c r="E324">
        <v>25</v>
      </c>
      <c r="F324">
        <v>20</v>
      </c>
    </row>
    <row r="325" spans="1:6" x14ac:dyDescent="0.2">
      <c r="A325" s="3"/>
      <c r="B325">
        <v>565</v>
      </c>
      <c r="C325">
        <v>600</v>
      </c>
      <c r="D325" s="419">
        <v>18678.227941176472</v>
      </c>
      <c r="E325">
        <v>25</v>
      </c>
      <c r="F325">
        <v>20</v>
      </c>
    </row>
    <row r="326" spans="1:6" x14ac:dyDescent="0.2">
      <c r="A326" s="3"/>
      <c r="B326">
        <v>601</v>
      </c>
      <c r="C326">
        <v>1000</v>
      </c>
      <c r="D326" s="419">
        <v>28419.964285714283</v>
      </c>
      <c r="E326">
        <v>25</v>
      </c>
      <c r="F326">
        <v>20</v>
      </c>
    </row>
    <row r="327" spans="1:6" x14ac:dyDescent="0.2">
      <c r="A327" s="3"/>
      <c r="B327">
        <v>1001</v>
      </c>
      <c r="C327">
        <v>1470</v>
      </c>
      <c r="D327" s="419">
        <v>8733.9285714285706</v>
      </c>
      <c r="E327">
        <v>25</v>
      </c>
      <c r="F327">
        <v>20</v>
      </c>
    </row>
    <row r="328" spans="1:6" x14ac:dyDescent="0.2">
      <c r="A328" s="3"/>
      <c r="B328">
        <v>1471</v>
      </c>
      <c r="C328">
        <v>1500</v>
      </c>
      <c r="D328" s="419">
        <v>24998.206896551721</v>
      </c>
      <c r="E328">
        <v>25</v>
      </c>
      <c r="F328">
        <v>20</v>
      </c>
    </row>
    <row r="329" spans="1:6" x14ac:dyDescent="0.2">
      <c r="A329" s="3"/>
      <c r="B329">
        <v>1501</v>
      </c>
      <c r="C329">
        <v>2000</v>
      </c>
      <c r="D329" s="419">
        <v>28731.03875968992</v>
      </c>
      <c r="E329">
        <v>25</v>
      </c>
      <c r="F329">
        <v>20</v>
      </c>
    </row>
    <row r="330" spans="1:6" x14ac:dyDescent="0.2">
      <c r="A330" s="3"/>
      <c r="B330">
        <v>2001</v>
      </c>
      <c r="C330">
        <v>3000</v>
      </c>
      <c r="D330" s="419">
        <v>30053.043927648578</v>
      </c>
      <c r="E330">
        <v>25</v>
      </c>
      <c r="F330">
        <v>20</v>
      </c>
    </row>
    <row r="331" spans="1:6" x14ac:dyDescent="0.2">
      <c r="A331" s="3"/>
      <c r="B331">
        <v>3001</v>
      </c>
      <c r="C331">
        <v>4000</v>
      </c>
      <c r="D331" s="419">
        <v>33272.392764857876</v>
      </c>
      <c r="E331">
        <v>25</v>
      </c>
      <c r="F331">
        <v>20</v>
      </c>
    </row>
    <row r="332" spans="1:6" x14ac:dyDescent="0.2">
      <c r="A332" s="3"/>
      <c r="B332">
        <v>4001</v>
      </c>
      <c r="C332">
        <v>4500</v>
      </c>
      <c r="D332" s="419">
        <v>12994.315245478036</v>
      </c>
      <c r="E332">
        <v>25</v>
      </c>
      <c r="F332">
        <v>20</v>
      </c>
    </row>
    <row r="333" spans="1:6" x14ac:dyDescent="0.2">
      <c r="A333" s="3"/>
      <c r="B333">
        <v>4501</v>
      </c>
      <c r="C333">
        <v>5000</v>
      </c>
      <c r="D333" s="419">
        <v>36466.366492146597</v>
      </c>
      <c r="E333">
        <v>25</v>
      </c>
      <c r="F333">
        <v>20</v>
      </c>
    </row>
    <row r="334" spans="1:6" x14ac:dyDescent="0.2">
      <c r="A334" s="3"/>
      <c r="B334">
        <v>5001</v>
      </c>
      <c r="C334">
        <v>6000</v>
      </c>
      <c r="D334" s="419">
        <v>40172.167539267015</v>
      </c>
      <c r="E334">
        <v>25</v>
      </c>
      <c r="F334">
        <v>20</v>
      </c>
    </row>
    <row r="335" spans="1:6" x14ac:dyDescent="0.2">
      <c r="A335" s="3"/>
      <c r="B335">
        <v>6001</v>
      </c>
      <c r="C335">
        <v>7000</v>
      </c>
      <c r="D335" s="419">
        <v>43357.41361256544</v>
      </c>
      <c r="E335">
        <v>25</v>
      </c>
      <c r="F335">
        <v>20</v>
      </c>
    </row>
    <row r="336" spans="1:6" x14ac:dyDescent="0.2">
      <c r="A336" s="3"/>
      <c r="B336">
        <v>7001</v>
      </c>
      <c r="C336">
        <v>8000</v>
      </c>
      <c r="D336" s="419">
        <v>46547.246073298425</v>
      </c>
      <c r="E336">
        <v>25</v>
      </c>
      <c r="F336">
        <v>20</v>
      </c>
    </row>
    <row r="337" spans="1:6" x14ac:dyDescent="0.2">
      <c r="A337" s="3"/>
      <c r="B337">
        <v>8001</v>
      </c>
      <c r="C337">
        <v>9000</v>
      </c>
      <c r="D337" s="419">
        <v>49390.806282722508</v>
      </c>
      <c r="E337">
        <v>25</v>
      </c>
      <c r="F337">
        <v>20</v>
      </c>
    </row>
    <row r="338" spans="1:6" x14ac:dyDescent="0.2">
      <c r="A338" s="3"/>
      <c r="B338">
        <v>9001</v>
      </c>
      <c r="C338">
        <v>10000</v>
      </c>
      <c r="D338" s="419">
        <v>58598.51880877743</v>
      </c>
      <c r="E338">
        <v>25</v>
      </c>
      <c r="F338">
        <v>20</v>
      </c>
    </row>
    <row r="339" spans="1:6" x14ac:dyDescent="0.2">
      <c r="A339" s="3"/>
      <c r="B339">
        <v>10001</v>
      </c>
      <c r="C339">
        <v>11000</v>
      </c>
      <c r="D339" s="419">
        <v>55237.429467084643</v>
      </c>
      <c r="E339">
        <v>25</v>
      </c>
      <c r="F339">
        <v>20</v>
      </c>
    </row>
    <row r="340" spans="1:6" x14ac:dyDescent="0.2">
      <c r="A340" s="3"/>
      <c r="B340">
        <v>11001</v>
      </c>
      <c r="C340">
        <v>11750</v>
      </c>
      <c r="D340" s="419">
        <v>26877.272727272728</v>
      </c>
      <c r="E340">
        <v>25</v>
      </c>
      <c r="F340">
        <v>20</v>
      </c>
    </row>
    <row r="341" spans="1:6" x14ac:dyDescent="0.2">
      <c r="A341" s="3"/>
      <c r="B341">
        <v>11751</v>
      </c>
      <c r="C341">
        <v>12000</v>
      </c>
      <c r="D341" s="419">
        <v>58195.188087774295</v>
      </c>
      <c r="E341">
        <v>25</v>
      </c>
      <c r="F341">
        <v>20</v>
      </c>
    </row>
    <row r="342" spans="1:6" x14ac:dyDescent="0.2">
      <c r="A342" s="3"/>
      <c r="B342">
        <v>12001</v>
      </c>
      <c r="C342">
        <v>13000</v>
      </c>
      <c r="D342" s="419">
        <v>67522.711598746086</v>
      </c>
      <c r="E342">
        <v>25</v>
      </c>
      <c r="F342">
        <v>20</v>
      </c>
    </row>
    <row r="343" spans="1:6" x14ac:dyDescent="0.2">
      <c r="A343" s="3"/>
      <c r="B343">
        <v>13001</v>
      </c>
      <c r="C343">
        <v>14000</v>
      </c>
      <c r="D343" s="419">
        <v>74843.307210031358</v>
      </c>
      <c r="E343">
        <v>25</v>
      </c>
      <c r="F343">
        <v>20</v>
      </c>
    </row>
    <row r="344" spans="1:6" x14ac:dyDescent="0.2">
      <c r="A344" s="3"/>
      <c r="B344">
        <v>14001</v>
      </c>
      <c r="C344">
        <v>15000</v>
      </c>
      <c r="D344" s="419">
        <v>73837.256097560967</v>
      </c>
      <c r="E344">
        <v>25</v>
      </c>
      <c r="F344">
        <v>20</v>
      </c>
    </row>
    <row r="345" spans="1:6" x14ac:dyDescent="0.2">
      <c r="A345" s="3"/>
      <c r="B345">
        <v>15001</v>
      </c>
      <c r="C345">
        <v>20000</v>
      </c>
      <c r="D345" s="419">
        <v>103145.65094339623</v>
      </c>
      <c r="E345">
        <v>25</v>
      </c>
      <c r="F345">
        <v>20</v>
      </c>
    </row>
    <row r="346" spans="1:6" x14ac:dyDescent="0.2">
      <c r="A346" s="3"/>
      <c r="B346">
        <v>20001</v>
      </c>
      <c r="C346">
        <v>20300</v>
      </c>
      <c r="D346" s="419">
        <v>37943.773584905663</v>
      </c>
      <c r="E346">
        <v>25</v>
      </c>
      <c r="F346">
        <v>20</v>
      </c>
    </row>
    <row r="347" spans="1:6" x14ac:dyDescent="0.2">
      <c r="A347" s="3"/>
      <c r="B347">
        <v>20001</v>
      </c>
      <c r="C347">
        <v>22000</v>
      </c>
      <c r="D347" s="419">
        <v>115906.58490566039</v>
      </c>
      <c r="E347">
        <v>25</v>
      </c>
      <c r="F347">
        <v>20</v>
      </c>
    </row>
    <row r="348" spans="1:6" x14ac:dyDescent="0.2">
      <c r="A348" s="3"/>
      <c r="B348">
        <v>20001</v>
      </c>
      <c r="C348">
        <v>25000</v>
      </c>
      <c r="D348" s="419">
        <v>134954.3548387097</v>
      </c>
      <c r="E348">
        <v>25</v>
      </c>
      <c r="F348">
        <v>20</v>
      </c>
    </row>
    <row r="349" spans="1:6" x14ac:dyDescent="0.2">
      <c r="A349" s="3"/>
      <c r="B349">
        <v>20001</v>
      </c>
      <c r="C349">
        <v>30000</v>
      </c>
      <c r="D349" s="419">
        <v>163190.43243243243</v>
      </c>
      <c r="E349">
        <v>25</v>
      </c>
      <c r="F349">
        <v>20</v>
      </c>
    </row>
    <row r="350" spans="1:6" x14ac:dyDescent="0.2">
      <c r="A350" s="3"/>
      <c r="B350">
        <v>20001</v>
      </c>
      <c r="C350">
        <v>35000</v>
      </c>
      <c r="D350" s="419">
        <v>177220.13513513512</v>
      </c>
      <c r="E350">
        <v>25</v>
      </c>
      <c r="F350">
        <v>20</v>
      </c>
    </row>
    <row r="351" spans="1:6" x14ac:dyDescent="0.2">
      <c r="A351" s="3"/>
      <c r="B351">
        <v>20001</v>
      </c>
      <c r="C351">
        <v>40000</v>
      </c>
      <c r="D351" s="419">
        <v>222109.6216216216</v>
      </c>
      <c r="E351">
        <v>25</v>
      </c>
      <c r="F351">
        <v>20</v>
      </c>
    </row>
    <row r="352" spans="1:6" x14ac:dyDescent="0.2">
      <c r="A352" s="3"/>
      <c r="B352">
        <v>20001</v>
      </c>
      <c r="C352">
        <v>45000</v>
      </c>
      <c r="D352" s="419">
        <v>254334.97297297296</v>
      </c>
      <c r="E352">
        <v>25</v>
      </c>
      <c r="F352">
        <v>20</v>
      </c>
    </row>
    <row r="353" spans="1:6" x14ac:dyDescent="0.2">
      <c r="A353" s="3"/>
      <c r="B353">
        <v>20001</v>
      </c>
      <c r="C353">
        <v>48000</v>
      </c>
      <c r="D353" s="419">
        <v>271073.67567567568</v>
      </c>
      <c r="E353">
        <v>25</v>
      </c>
      <c r="F353">
        <v>20</v>
      </c>
    </row>
    <row r="354" spans="1:6" x14ac:dyDescent="0.2">
      <c r="A354" s="3"/>
      <c r="B354">
        <v>20001</v>
      </c>
      <c r="C354">
        <v>50000</v>
      </c>
      <c r="D354" s="419">
        <v>203871.02702702701</v>
      </c>
      <c r="E354">
        <v>25</v>
      </c>
      <c r="F354">
        <v>20</v>
      </c>
    </row>
    <row r="355" spans="1:6" x14ac:dyDescent="0.2">
      <c r="A355" s="3"/>
      <c r="B355">
        <v>20001</v>
      </c>
      <c r="C355" t="s">
        <v>687</v>
      </c>
      <c r="D355" s="419" t="s">
        <v>687</v>
      </c>
      <c r="E355">
        <v>25</v>
      </c>
      <c r="F355">
        <v>20</v>
      </c>
    </row>
    <row r="358" spans="1:6" x14ac:dyDescent="0.2">
      <c r="A358" s="934" t="s">
        <v>4644</v>
      </c>
      <c r="B358" s="934" t="s">
        <v>4651</v>
      </c>
      <c r="C358" s="934"/>
      <c r="D358" s="934"/>
      <c r="E358" s="934"/>
      <c r="F358" s="934"/>
    </row>
    <row r="359" spans="1:6" x14ac:dyDescent="0.2">
      <c r="A359" s="944">
        <v>16</v>
      </c>
      <c r="B359" s="952" t="s">
        <v>4652</v>
      </c>
      <c r="C359" s="899" t="s">
        <v>4653</v>
      </c>
      <c r="D359" s="116" t="s">
        <v>4510</v>
      </c>
      <c r="E359" s="116" t="s">
        <v>4503</v>
      </c>
      <c r="F359" s="116" t="s">
        <v>4504</v>
      </c>
    </row>
    <row r="360" spans="1:6" x14ac:dyDescent="0.2">
      <c r="A360" s="3" t="s">
        <v>4654</v>
      </c>
      <c r="B360">
        <v>0</v>
      </c>
      <c r="C360">
        <v>564</v>
      </c>
      <c r="D360" s="419">
        <v>10643.27205882353</v>
      </c>
      <c r="E360">
        <v>10</v>
      </c>
      <c r="F360">
        <v>7</v>
      </c>
    </row>
    <row r="361" spans="1:6" x14ac:dyDescent="0.2">
      <c r="A361" s="3"/>
      <c r="B361">
        <v>565</v>
      </c>
      <c r="C361">
        <v>600</v>
      </c>
      <c r="D361" s="419">
        <v>9872.8308823529405</v>
      </c>
      <c r="E361">
        <v>10</v>
      </c>
      <c r="F361">
        <v>7</v>
      </c>
    </row>
    <row r="362" spans="1:6" x14ac:dyDescent="0.2">
      <c r="A362" s="3"/>
      <c r="B362">
        <v>601</v>
      </c>
      <c r="C362">
        <v>625</v>
      </c>
      <c r="D362" s="419">
        <v>10625.875</v>
      </c>
      <c r="E362">
        <v>10</v>
      </c>
      <c r="F362">
        <v>7</v>
      </c>
    </row>
    <row r="363" spans="1:6" x14ac:dyDescent="0.2">
      <c r="A363" s="3"/>
      <c r="B363">
        <v>626</v>
      </c>
      <c r="C363">
        <v>1000</v>
      </c>
      <c r="D363" s="419">
        <v>12232.285714285714</v>
      </c>
      <c r="E363">
        <v>10</v>
      </c>
      <c r="F363">
        <v>7</v>
      </c>
    </row>
    <row r="364" spans="1:6" x14ac:dyDescent="0.2">
      <c r="A364" s="3"/>
      <c r="B364">
        <v>1001</v>
      </c>
      <c r="C364">
        <v>1470</v>
      </c>
      <c r="D364" s="419">
        <v>12855.625</v>
      </c>
      <c r="E364">
        <v>10</v>
      </c>
      <c r="F364">
        <v>7</v>
      </c>
    </row>
    <row r="365" spans="1:6" x14ac:dyDescent="0.2">
      <c r="A365" s="3"/>
      <c r="B365">
        <v>1471</v>
      </c>
      <c r="C365">
        <v>1500</v>
      </c>
      <c r="D365" s="419">
        <v>15064.344827586207</v>
      </c>
      <c r="E365">
        <v>10</v>
      </c>
      <c r="F365">
        <v>7</v>
      </c>
    </row>
    <row r="366" spans="1:6" x14ac:dyDescent="0.2">
      <c r="A366" s="3"/>
      <c r="B366">
        <v>1501</v>
      </c>
      <c r="C366">
        <v>2000</v>
      </c>
      <c r="D366" s="419">
        <v>18487.235142118861</v>
      </c>
      <c r="E366">
        <v>10</v>
      </c>
      <c r="F366">
        <v>7</v>
      </c>
    </row>
    <row r="367" spans="1:6" x14ac:dyDescent="0.2">
      <c r="A367" s="3"/>
      <c r="B367">
        <v>2001</v>
      </c>
      <c r="C367">
        <v>2150</v>
      </c>
      <c r="D367" s="419">
        <v>12954.956072351421</v>
      </c>
      <c r="E367">
        <v>10</v>
      </c>
      <c r="F367">
        <v>7</v>
      </c>
    </row>
    <row r="368" spans="1:6" x14ac:dyDescent="0.2">
      <c r="A368" s="3"/>
      <c r="B368">
        <v>2151</v>
      </c>
      <c r="C368">
        <v>3000</v>
      </c>
      <c r="D368" s="419">
        <v>19159.81395348837</v>
      </c>
      <c r="E368">
        <v>10</v>
      </c>
      <c r="F368">
        <v>7</v>
      </c>
    </row>
    <row r="369" spans="1:6" x14ac:dyDescent="0.2">
      <c r="A369" s="3"/>
      <c r="B369">
        <v>3001</v>
      </c>
      <c r="C369">
        <v>4000</v>
      </c>
      <c r="D369" s="419">
        <v>21829.291989664081</v>
      </c>
      <c r="E369">
        <v>10</v>
      </c>
      <c r="F369">
        <v>7</v>
      </c>
    </row>
    <row r="370" spans="1:6" x14ac:dyDescent="0.2">
      <c r="A370" s="3"/>
      <c r="B370">
        <v>4001</v>
      </c>
      <c r="C370">
        <v>4500</v>
      </c>
      <c r="D370" s="419">
        <v>39689.09560723514</v>
      </c>
      <c r="E370">
        <v>10</v>
      </c>
      <c r="F370">
        <v>7</v>
      </c>
    </row>
    <row r="371" spans="1:6" x14ac:dyDescent="0.2">
      <c r="A371" s="3"/>
      <c r="B371">
        <v>4501</v>
      </c>
      <c r="C371">
        <v>5000</v>
      </c>
      <c r="D371" s="419">
        <v>24602.528795811515</v>
      </c>
      <c r="E371">
        <v>10</v>
      </c>
      <c r="F371">
        <v>7</v>
      </c>
    </row>
    <row r="372" spans="1:6" x14ac:dyDescent="0.2">
      <c r="A372" s="3"/>
      <c r="B372">
        <v>5001</v>
      </c>
      <c r="C372">
        <v>6000</v>
      </c>
      <c r="D372" s="419">
        <v>27770.575916230366</v>
      </c>
      <c r="E372">
        <v>10</v>
      </c>
      <c r="F372">
        <v>7</v>
      </c>
    </row>
    <row r="373" spans="1:6" x14ac:dyDescent="0.2">
      <c r="A373" s="3"/>
      <c r="B373">
        <v>6001</v>
      </c>
      <c r="C373">
        <v>7000</v>
      </c>
      <c r="D373" s="419">
        <v>30351.565445026175</v>
      </c>
      <c r="E373">
        <v>10</v>
      </c>
      <c r="F373">
        <v>7</v>
      </c>
    </row>
    <row r="374" spans="1:6" x14ac:dyDescent="0.2">
      <c r="A374" s="3"/>
      <c r="B374">
        <v>7001</v>
      </c>
      <c r="C374">
        <v>8000</v>
      </c>
      <c r="D374" s="419">
        <v>32931.408376963351</v>
      </c>
      <c r="E374">
        <v>10</v>
      </c>
      <c r="F374">
        <v>7</v>
      </c>
    </row>
    <row r="375" spans="1:6" x14ac:dyDescent="0.2">
      <c r="A375" s="3"/>
      <c r="B375">
        <v>8001</v>
      </c>
      <c r="C375">
        <v>9000</v>
      </c>
      <c r="D375" s="419">
        <v>35253.267015706806</v>
      </c>
      <c r="E375">
        <v>10</v>
      </c>
      <c r="F375">
        <v>7</v>
      </c>
    </row>
    <row r="376" spans="1:6" x14ac:dyDescent="0.2">
      <c r="A376" s="3"/>
      <c r="B376">
        <v>9001</v>
      </c>
      <c r="C376">
        <v>10000</v>
      </c>
      <c r="D376" s="419">
        <v>37624.749216300945</v>
      </c>
      <c r="E376">
        <v>10</v>
      </c>
      <c r="F376">
        <v>7</v>
      </c>
    </row>
    <row r="377" spans="1:6" x14ac:dyDescent="0.2">
      <c r="A377" s="3"/>
      <c r="B377">
        <v>10001</v>
      </c>
      <c r="C377">
        <v>10100</v>
      </c>
      <c r="D377" s="419">
        <v>18617.288401253922</v>
      </c>
      <c r="E377">
        <v>10</v>
      </c>
      <c r="F377">
        <v>7</v>
      </c>
    </row>
    <row r="378" spans="1:6" x14ac:dyDescent="0.2">
      <c r="A378" s="3"/>
      <c r="B378">
        <v>10101</v>
      </c>
      <c r="C378">
        <v>11000</v>
      </c>
      <c r="D378" s="419">
        <v>39992.100313479626</v>
      </c>
      <c r="E378">
        <v>10</v>
      </c>
      <c r="F378">
        <v>7</v>
      </c>
    </row>
    <row r="379" spans="1:6" x14ac:dyDescent="0.2">
      <c r="A379" s="3"/>
      <c r="B379">
        <v>11001</v>
      </c>
      <c r="C379">
        <v>11750</v>
      </c>
      <c r="D379" s="419">
        <v>55751.175548589345</v>
      </c>
      <c r="E379">
        <v>10</v>
      </c>
      <c r="F379">
        <v>7</v>
      </c>
    </row>
    <row r="380" spans="1:6" x14ac:dyDescent="0.2">
      <c r="A380" s="3"/>
      <c r="B380">
        <v>11751</v>
      </c>
      <c r="C380">
        <v>12000</v>
      </c>
      <c r="D380" s="419">
        <v>42353.730407523515</v>
      </c>
      <c r="E380">
        <v>10</v>
      </c>
      <c r="F380">
        <v>7</v>
      </c>
    </row>
    <row r="381" spans="1:6" x14ac:dyDescent="0.2">
      <c r="A381" s="3"/>
      <c r="B381">
        <v>12001</v>
      </c>
      <c r="C381">
        <v>13000</v>
      </c>
      <c r="D381" s="419">
        <v>49086.206896551725</v>
      </c>
      <c r="E381">
        <v>10</v>
      </c>
      <c r="F381">
        <v>7</v>
      </c>
    </row>
    <row r="382" spans="1:6" x14ac:dyDescent="0.2">
      <c r="A382" s="3"/>
      <c r="B382">
        <v>13001</v>
      </c>
      <c r="C382">
        <v>14000</v>
      </c>
      <c r="D382" s="419">
        <v>55803.808777429469</v>
      </c>
      <c r="E382">
        <v>10</v>
      </c>
      <c r="F382">
        <v>7</v>
      </c>
    </row>
    <row r="383" spans="1:6" x14ac:dyDescent="0.2">
      <c r="A383" s="3"/>
      <c r="B383">
        <v>14001</v>
      </c>
      <c r="C383">
        <v>15000</v>
      </c>
      <c r="D383" s="419">
        <v>59147.258536585359</v>
      </c>
      <c r="E383">
        <v>10</v>
      </c>
      <c r="F383">
        <v>7</v>
      </c>
    </row>
    <row r="384" spans="1:6" x14ac:dyDescent="0.2">
      <c r="A384" s="3"/>
      <c r="B384">
        <v>15001</v>
      </c>
      <c r="C384">
        <v>20000</v>
      </c>
      <c r="D384" s="419">
        <v>75892.113207547169</v>
      </c>
      <c r="E384">
        <v>10</v>
      </c>
      <c r="F384">
        <v>7</v>
      </c>
    </row>
    <row r="385" spans="1:6" x14ac:dyDescent="0.2">
      <c r="A385" s="3"/>
      <c r="B385">
        <v>20001</v>
      </c>
      <c r="C385">
        <v>22000</v>
      </c>
      <c r="D385" s="419">
        <v>95701.867924528313</v>
      </c>
      <c r="E385">
        <v>10</v>
      </c>
      <c r="F385">
        <v>7</v>
      </c>
    </row>
    <row r="386" spans="1:6" x14ac:dyDescent="0.2">
      <c r="A386" s="3"/>
      <c r="B386">
        <v>22001</v>
      </c>
      <c r="C386">
        <v>25000</v>
      </c>
      <c r="D386" s="419">
        <v>111582.25806451614</v>
      </c>
      <c r="E386">
        <v>10</v>
      </c>
      <c r="F386">
        <v>7</v>
      </c>
    </row>
    <row r="387" spans="1:6" x14ac:dyDescent="0.2">
      <c r="A387" s="3"/>
      <c r="B387">
        <v>25001</v>
      </c>
      <c r="C387">
        <v>29610</v>
      </c>
      <c r="D387" s="419">
        <v>34484.032258064522</v>
      </c>
      <c r="E387">
        <v>10</v>
      </c>
      <c r="F387">
        <v>7</v>
      </c>
    </row>
    <row r="388" spans="1:6" x14ac:dyDescent="0.2">
      <c r="A388" s="3"/>
      <c r="B388">
        <v>29611</v>
      </c>
      <c r="C388">
        <v>30000</v>
      </c>
      <c r="D388" s="419">
        <v>135622.54054054053</v>
      </c>
      <c r="E388">
        <v>10</v>
      </c>
      <c r="F388">
        <v>7</v>
      </c>
    </row>
    <row r="389" spans="1:6" x14ac:dyDescent="0.2">
      <c r="A389" s="3"/>
      <c r="B389">
        <v>30001</v>
      </c>
      <c r="C389" t="s">
        <v>687</v>
      </c>
      <c r="D389" s="419" t="s">
        <v>687</v>
      </c>
      <c r="E389">
        <v>10</v>
      </c>
      <c r="F389">
        <v>7</v>
      </c>
    </row>
    <row r="392" spans="1:6" x14ac:dyDescent="0.2">
      <c r="A392" s="934" t="s">
        <v>4644</v>
      </c>
      <c r="B392" s="934" t="s">
        <v>4655</v>
      </c>
      <c r="C392" s="934"/>
      <c r="D392" s="934"/>
      <c r="E392" s="934"/>
      <c r="F392" s="934"/>
    </row>
    <row r="393" spans="1:6" x14ac:dyDescent="0.2">
      <c r="A393" s="944">
        <v>16</v>
      </c>
      <c r="B393" s="116" t="s">
        <v>4626</v>
      </c>
      <c r="C393" s="116" t="s">
        <v>4627</v>
      </c>
      <c r="D393" s="116" t="s">
        <v>4510</v>
      </c>
      <c r="E393" s="116" t="s">
        <v>4503</v>
      </c>
      <c r="F393" s="116" t="s">
        <v>4504</v>
      </c>
    </row>
    <row r="394" spans="1:6" x14ac:dyDescent="0.2">
      <c r="A394" s="3" t="s">
        <v>4656</v>
      </c>
      <c r="B394">
        <v>0</v>
      </c>
      <c r="C394">
        <v>187</v>
      </c>
      <c r="D394" s="419">
        <v>3564.9366552509068</v>
      </c>
      <c r="E394">
        <v>25</v>
      </c>
      <c r="F394">
        <v>20</v>
      </c>
    </row>
    <row r="395" spans="1:6" x14ac:dyDescent="0.2">
      <c r="A395" s="3"/>
      <c r="B395">
        <v>188</v>
      </c>
      <c r="C395">
        <v>264</v>
      </c>
      <c r="D395" s="419">
        <v>4715.9393278960542</v>
      </c>
      <c r="E395">
        <v>25</v>
      </c>
      <c r="F395">
        <v>20</v>
      </c>
    </row>
    <row r="396" spans="1:6" x14ac:dyDescent="0.2">
      <c r="A396" s="3"/>
      <c r="B396">
        <v>265</v>
      </c>
      <c r="C396">
        <v>345</v>
      </c>
      <c r="D396" s="419">
        <v>6699.5778154536429</v>
      </c>
      <c r="E396">
        <v>25</v>
      </c>
      <c r="F396">
        <v>20</v>
      </c>
    </row>
    <row r="397" spans="1:6" x14ac:dyDescent="0.2">
      <c r="A397" s="3"/>
      <c r="B397">
        <v>346</v>
      </c>
      <c r="C397">
        <v>463</v>
      </c>
      <c r="D397" s="419">
        <v>8437.1019714039867</v>
      </c>
      <c r="E397">
        <v>25</v>
      </c>
      <c r="F397">
        <v>20</v>
      </c>
    </row>
    <row r="398" spans="1:6" x14ac:dyDescent="0.2">
      <c r="A398" s="3"/>
      <c r="B398">
        <v>464</v>
      </c>
      <c r="C398">
        <v>900</v>
      </c>
      <c r="D398" s="419">
        <v>17867.134000531456</v>
      </c>
      <c r="E398">
        <v>25</v>
      </c>
      <c r="F398">
        <v>20</v>
      </c>
    </row>
    <row r="399" spans="1:6" x14ac:dyDescent="0.2">
      <c r="A399" s="3"/>
      <c r="B399">
        <v>901</v>
      </c>
      <c r="C399" t="s">
        <v>687</v>
      </c>
      <c r="D399" s="419" t="s">
        <v>687</v>
      </c>
      <c r="E399">
        <v>25</v>
      </c>
      <c r="F399">
        <v>20</v>
      </c>
    </row>
    <row r="402" spans="1:6" x14ac:dyDescent="0.2">
      <c r="A402" s="934" t="s">
        <v>4657</v>
      </c>
      <c r="B402" s="934" t="s">
        <v>4658</v>
      </c>
      <c r="C402" s="934"/>
      <c r="D402" s="934"/>
      <c r="E402" s="934"/>
      <c r="F402" s="934"/>
    </row>
    <row r="403" spans="1:6" x14ac:dyDescent="0.2">
      <c r="A403" s="944">
        <v>45</v>
      </c>
      <c r="B403" s="952" t="s">
        <v>4659</v>
      </c>
      <c r="C403" s="116" t="s">
        <v>4660</v>
      </c>
      <c r="D403" s="899" t="s">
        <v>4661</v>
      </c>
      <c r="E403" s="952" t="s">
        <v>4618</v>
      </c>
      <c r="F403" s="899" t="s">
        <v>4504</v>
      </c>
    </row>
    <row r="404" spans="1:6" x14ac:dyDescent="0.2">
      <c r="A404" s="3" t="s">
        <v>4662</v>
      </c>
      <c r="B404" s="694">
        <v>0</v>
      </c>
      <c r="C404">
        <v>1000</v>
      </c>
      <c r="D404" s="772">
        <v>2.0869886872323238</v>
      </c>
      <c r="E404" s="726" t="s">
        <v>4514</v>
      </c>
      <c r="F404" s="726" t="s">
        <v>4514</v>
      </c>
    </row>
    <row r="405" spans="1:6" x14ac:dyDescent="0.2">
      <c r="A405" s="3"/>
      <c r="B405">
        <v>2000</v>
      </c>
      <c r="C405">
        <v>21000</v>
      </c>
      <c r="D405" s="772">
        <v>1.8722121571268042</v>
      </c>
      <c r="E405" s="16" t="s">
        <v>4514</v>
      </c>
      <c r="F405" s="16" t="s">
        <v>4514</v>
      </c>
    </row>
    <row r="406" spans="1:6" x14ac:dyDescent="0.2">
      <c r="A406" s="3"/>
      <c r="B406">
        <v>40000</v>
      </c>
      <c r="C406">
        <v>40000</v>
      </c>
      <c r="D406" s="772">
        <v>1.6750137902845219</v>
      </c>
      <c r="E406" s="16" t="s">
        <v>4514</v>
      </c>
      <c r="F406" s="16" t="s">
        <v>4514</v>
      </c>
    </row>
    <row r="409" spans="1:6" x14ac:dyDescent="0.2">
      <c r="A409" s="934" t="s">
        <v>4506</v>
      </c>
      <c r="B409" s="934" t="s">
        <v>4663</v>
      </c>
      <c r="C409" s="934"/>
      <c r="D409" s="934"/>
      <c r="E409" s="934"/>
      <c r="F409" s="934"/>
    </row>
    <row r="410" spans="1:6" x14ac:dyDescent="0.2">
      <c r="A410" s="944">
        <v>30</v>
      </c>
      <c r="B410" s="952" t="s">
        <v>4664</v>
      </c>
      <c r="C410" s="116" t="s">
        <v>4665</v>
      </c>
      <c r="D410" s="899" t="s">
        <v>4510</v>
      </c>
      <c r="E410" s="952" t="s">
        <v>4618</v>
      </c>
      <c r="F410" s="899" t="s">
        <v>4504</v>
      </c>
    </row>
    <row r="411" spans="1:6" x14ac:dyDescent="0.2">
      <c r="A411" s="3" t="s">
        <v>4666</v>
      </c>
      <c r="B411">
        <v>0</v>
      </c>
      <c r="C411">
        <v>3369</v>
      </c>
      <c r="D411" s="419">
        <v>2695.6790639301639</v>
      </c>
      <c r="E411">
        <v>20</v>
      </c>
      <c r="F411">
        <v>15</v>
      </c>
    </row>
    <row r="412" spans="1:6" x14ac:dyDescent="0.2">
      <c r="A412" s="3"/>
      <c r="B412">
        <v>3370</v>
      </c>
      <c r="C412">
        <v>8422</v>
      </c>
      <c r="D412" s="419">
        <v>3397.7395118773702</v>
      </c>
      <c r="E412">
        <v>20</v>
      </c>
      <c r="F412">
        <v>15</v>
      </c>
    </row>
    <row r="413" spans="1:6" x14ac:dyDescent="0.2">
      <c r="A413" s="3"/>
      <c r="B413">
        <v>8423</v>
      </c>
      <c r="C413">
        <v>12513</v>
      </c>
      <c r="D413" s="419">
        <v>4485.1233552826388</v>
      </c>
      <c r="E413">
        <v>20</v>
      </c>
      <c r="F413">
        <v>15</v>
      </c>
    </row>
    <row r="414" spans="1:6" x14ac:dyDescent="0.2">
      <c r="A414" s="3"/>
      <c r="B414">
        <v>12514</v>
      </c>
      <c r="C414">
        <v>21658</v>
      </c>
      <c r="D414" s="419">
        <v>5623.1498382603413</v>
      </c>
      <c r="E414">
        <v>20</v>
      </c>
      <c r="F414">
        <v>15</v>
      </c>
    </row>
    <row r="415" spans="1:6" x14ac:dyDescent="0.2">
      <c r="A415" s="3"/>
      <c r="B415">
        <v>21659</v>
      </c>
      <c r="C415">
        <v>24064</v>
      </c>
      <c r="D415" s="419">
        <v>5503.1934667585701</v>
      </c>
      <c r="E415">
        <v>20</v>
      </c>
      <c r="F415">
        <v>15</v>
      </c>
    </row>
    <row r="416" spans="1:6" x14ac:dyDescent="0.2">
      <c r="A416" s="3"/>
      <c r="B416">
        <v>24065</v>
      </c>
      <c r="C416">
        <v>29599</v>
      </c>
      <c r="D416" s="419">
        <v>7395.6437375098158</v>
      </c>
      <c r="E416">
        <v>20</v>
      </c>
      <c r="F416">
        <v>15</v>
      </c>
    </row>
    <row r="417" spans="1:6" x14ac:dyDescent="0.2">
      <c r="A417" s="3"/>
      <c r="B417">
        <v>29600</v>
      </c>
      <c r="C417">
        <v>36096</v>
      </c>
      <c r="D417" s="419">
        <v>8157.4375622864745</v>
      </c>
      <c r="E417">
        <v>20</v>
      </c>
      <c r="F417">
        <v>15</v>
      </c>
    </row>
    <row r="418" spans="1:6" x14ac:dyDescent="0.2">
      <c r="A418" s="3"/>
      <c r="B418">
        <v>36097</v>
      </c>
      <c r="C418">
        <v>41390</v>
      </c>
      <c r="D418" s="419">
        <v>12412.345463578609</v>
      </c>
      <c r="E418">
        <v>20</v>
      </c>
      <c r="F418">
        <v>15</v>
      </c>
    </row>
    <row r="419" spans="1:6" x14ac:dyDescent="0.2">
      <c r="A419" s="3"/>
      <c r="B419">
        <v>41391</v>
      </c>
      <c r="C419">
        <v>57032</v>
      </c>
      <c r="D419" s="419">
        <v>15312.983296187971</v>
      </c>
      <c r="E419">
        <v>20</v>
      </c>
      <c r="F419">
        <v>15</v>
      </c>
    </row>
    <row r="420" spans="1:6" x14ac:dyDescent="0.2">
      <c r="A420" s="3"/>
      <c r="B420">
        <v>57033</v>
      </c>
      <c r="C420">
        <v>66176</v>
      </c>
      <c r="D420" s="419">
        <v>16434.285464427834</v>
      </c>
      <c r="E420">
        <v>20</v>
      </c>
      <c r="F420">
        <v>15</v>
      </c>
    </row>
    <row r="421" spans="1:6" x14ac:dyDescent="0.2">
      <c r="A421" s="3"/>
      <c r="B421">
        <v>66177</v>
      </c>
      <c r="C421">
        <v>72193</v>
      </c>
      <c r="D421" s="419">
        <v>16931.904693619013</v>
      </c>
      <c r="E421">
        <v>20</v>
      </c>
      <c r="F421">
        <v>15</v>
      </c>
    </row>
    <row r="422" spans="1:6" x14ac:dyDescent="0.2">
      <c r="A422" s="3"/>
      <c r="B422">
        <v>72194</v>
      </c>
      <c r="C422">
        <v>108289</v>
      </c>
      <c r="D422" s="419">
        <v>16394.998463315911</v>
      </c>
      <c r="E422">
        <v>20</v>
      </c>
      <c r="F422">
        <v>15</v>
      </c>
    </row>
    <row r="423" spans="1:6" x14ac:dyDescent="0.2">
      <c r="A423" s="3"/>
      <c r="B423">
        <v>108290</v>
      </c>
      <c r="C423" t="s">
        <v>687</v>
      </c>
      <c r="D423" s="419" t="s">
        <v>687</v>
      </c>
      <c r="E423">
        <v>20</v>
      </c>
      <c r="F423">
        <v>15</v>
      </c>
    </row>
    <row r="426" spans="1:6" x14ac:dyDescent="0.2">
      <c r="A426" s="934" t="s">
        <v>4644</v>
      </c>
      <c r="B426" s="934" t="s">
        <v>4667</v>
      </c>
      <c r="C426" s="934"/>
      <c r="D426" s="934"/>
      <c r="E426" s="934"/>
      <c r="F426" s="934"/>
    </row>
    <row r="427" spans="1:6" x14ac:dyDescent="0.2">
      <c r="A427" s="944">
        <v>16</v>
      </c>
      <c r="B427" s="952" t="s">
        <v>4652</v>
      </c>
      <c r="C427" s="899" t="s">
        <v>4653</v>
      </c>
      <c r="D427" s="116" t="s">
        <v>4510</v>
      </c>
      <c r="E427" s="116" t="s">
        <v>4503</v>
      </c>
      <c r="F427" s="116" t="s">
        <v>4504</v>
      </c>
    </row>
    <row r="428" spans="1:6" x14ac:dyDescent="0.2">
      <c r="A428" s="3" t="s">
        <v>4668</v>
      </c>
      <c r="B428" s="726">
        <v>0</v>
      </c>
      <c r="C428" s="694">
        <v>300</v>
      </c>
      <c r="D428" s="419">
        <v>1386.5477871292217</v>
      </c>
      <c r="E428">
        <v>25</v>
      </c>
      <c r="F428">
        <v>20</v>
      </c>
    </row>
    <row r="429" spans="1:6" x14ac:dyDescent="0.2">
      <c r="A429" s="3"/>
      <c r="B429" s="726">
        <v>301</v>
      </c>
      <c r="C429" s="694">
        <v>550</v>
      </c>
      <c r="D429" s="419">
        <v>1384.7996533333639</v>
      </c>
      <c r="E429">
        <v>25</v>
      </c>
      <c r="F429">
        <v>20</v>
      </c>
    </row>
    <row r="430" spans="1:6" x14ac:dyDescent="0.2">
      <c r="B430" s="726">
        <v>551</v>
      </c>
      <c r="C430">
        <v>850</v>
      </c>
      <c r="D430" s="419">
        <v>2146.4226420816422</v>
      </c>
      <c r="E430">
        <v>25</v>
      </c>
      <c r="F430">
        <v>20</v>
      </c>
    </row>
    <row r="431" spans="1:6" x14ac:dyDescent="0.2">
      <c r="B431" s="726">
        <v>851</v>
      </c>
      <c r="C431">
        <v>1000</v>
      </c>
      <c r="D431" s="419">
        <v>1995.7016566438342</v>
      </c>
      <c r="E431">
        <v>25</v>
      </c>
      <c r="F431">
        <v>20</v>
      </c>
    </row>
    <row r="432" spans="1:6" x14ac:dyDescent="0.2">
      <c r="B432" s="726">
        <v>1001</v>
      </c>
      <c r="C432">
        <v>1200</v>
      </c>
      <c r="D432" s="419">
        <v>3130.7544642857142</v>
      </c>
      <c r="E432">
        <v>25</v>
      </c>
      <c r="F432">
        <v>20</v>
      </c>
    </row>
    <row r="433" spans="1:6" x14ac:dyDescent="0.2">
      <c r="B433" s="726">
        <v>1201</v>
      </c>
      <c r="C433">
        <v>1500</v>
      </c>
      <c r="D433" s="419">
        <v>3408.9308352781204</v>
      </c>
      <c r="E433">
        <v>25</v>
      </c>
      <c r="F433">
        <v>20</v>
      </c>
    </row>
    <row r="434" spans="1:6" x14ac:dyDescent="0.2">
      <c r="B434" s="726">
        <v>1501</v>
      </c>
      <c r="C434">
        <v>2000</v>
      </c>
      <c r="D434" s="419">
        <v>4730.5117831880343</v>
      </c>
      <c r="E434">
        <v>25</v>
      </c>
      <c r="F434">
        <v>20</v>
      </c>
    </row>
    <row r="435" spans="1:6" x14ac:dyDescent="0.2">
      <c r="B435" s="726">
        <v>2001</v>
      </c>
      <c r="C435">
        <v>2500</v>
      </c>
      <c r="D435" s="419">
        <v>5435.1240971303132</v>
      </c>
      <c r="E435">
        <v>25</v>
      </c>
      <c r="F435">
        <v>20</v>
      </c>
    </row>
    <row r="436" spans="1:6" x14ac:dyDescent="0.2">
      <c r="B436" s="726">
        <v>2501</v>
      </c>
      <c r="C436">
        <v>3000</v>
      </c>
      <c r="D436" s="419">
        <v>6806.9102726329838</v>
      </c>
      <c r="E436">
        <v>25</v>
      </c>
      <c r="F436">
        <v>20</v>
      </c>
    </row>
    <row r="437" spans="1:6" x14ac:dyDescent="0.2">
      <c r="B437" s="726">
        <v>3001</v>
      </c>
      <c r="C437">
        <v>4200</v>
      </c>
      <c r="D437" s="419">
        <v>11072.07111111111</v>
      </c>
      <c r="E437">
        <v>25</v>
      </c>
      <c r="F437">
        <v>20</v>
      </c>
    </row>
    <row r="438" spans="1:6" x14ac:dyDescent="0.2">
      <c r="B438" s="726">
        <v>4201</v>
      </c>
      <c r="C438">
        <v>5200</v>
      </c>
      <c r="D438" s="419">
        <v>12227.704476439791</v>
      </c>
      <c r="E438">
        <v>25</v>
      </c>
      <c r="F438">
        <v>20</v>
      </c>
    </row>
    <row r="439" spans="1:6" x14ac:dyDescent="0.2">
      <c r="B439" s="726">
        <v>5201</v>
      </c>
      <c r="C439">
        <v>6500</v>
      </c>
      <c r="D439" s="419">
        <v>15376.40342557439</v>
      </c>
      <c r="E439">
        <v>25</v>
      </c>
      <c r="F439">
        <v>20</v>
      </c>
    </row>
    <row r="440" spans="1:6" x14ac:dyDescent="0.2">
      <c r="B440" s="726">
        <v>6501</v>
      </c>
      <c r="C440">
        <v>8000</v>
      </c>
      <c r="D440" s="419">
        <v>14636.079581151831</v>
      </c>
      <c r="E440">
        <v>25</v>
      </c>
      <c r="F440">
        <v>20</v>
      </c>
    </row>
    <row r="441" spans="1:6" x14ac:dyDescent="0.2">
      <c r="B441" s="726">
        <v>8001</v>
      </c>
      <c r="C441">
        <v>10500</v>
      </c>
      <c r="D441" s="419">
        <v>17612.96962298809</v>
      </c>
      <c r="E441">
        <v>25</v>
      </c>
      <c r="F441">
        <v>20</v>
      </c>
    </row>
    <row r="442" spans="1:6" x14ac:dyDescent="0.2">
      <c r="B442" s="726">
        <v>10501</v>
      </c>
      <c r="C442">
        <v>12500</v>
      </c>
      <c r="D442" s="419">
        <v>28047.512796129413</v>
      </c>
      <c r="E442">
        <v>25</v>
      </c>
      <c r="F442">
        <v>20</v>
      </c>
    </row>
    <row r="443" spans="1:6" x14ac:dyDescent="0.2">
      <c r="B443" s="726">
        <v>12501</v>
      </c>
      <c r="C443">
        <v>15000</v>
      </c>
      <c r="D443" s="419">
        <v>28077.508317844786</v>
      </c>
      <c r="E443">
        <v>25</v>
      </c>
      <c r="F443">
        <v>20</v>
      </c>
    </row>
    <row r="444" spans="1:6" x14ac:dyDescent="0.2">
      <c r="B444" s="726">
        <v>15001</v>
      </c>
      <c r="C444">
        <v>16501</v>
      </c>
      <c r="D444" s="419">
        <v>53210.572999570199</v>
      </c>
      <c r="E444">
        <v>25</v>
      </c>
      <c r="F444">
        <v>20</v>
      </c>
    </row>
    <row r="445" spans="1:6" x14ac:dyDescent="0.2">
      <c r="B445" s="726">
        <v>16502</v>
      </c>
      <c r="C445" t="s">
        <v>687</v>
      </c>
      <c r="D445" s="419" t="s">
        <v>687</v>
      </c>
      <c r="E445">
        <v>25</v>
      </c>
      <c r="F445">
        <v>20</v>
      </c>
    </row>
    <row r="448" spans="1:6" x14ac:dyDescent="0.2">
      <c r="A448" s="934" t="s">
        <v>4501</v>
      </c>
      <c r="B448" s="934" t="s">
        <v>4669</v>
      </c>
      <c r="C448" s="934"/>
      <c r="D448" s="934"/>
      <c r="E448" s="934"/>
      <c r="F448" s="934"/>
    </row>
    <row r="449" spans="1:6" x14ac:dyDescent="0.2">
      <c r="A449" s="944">
        <v>43</v>
      </c>
      <c r="B449" s="116"/>
      <c r="C449" s="116"/>
      <c r="D449" s="116" t="s">
        <v>2343</v>
      </c>
      <c r="E449" s="116" t="s">
        <v>4503</v>
      </c>
      <c r="F449" s="116" t="s">
        <v>4504</v>
      </c>
    </row>
    <row r="450" spans="1:6" x14ac:dyDescent="0.2">
      <c r="A450" s="3" t="s">
        <v>4670</v>
      </c>
      <c r="B450">
        <v>0</v>
      </c>
      <c r="C450">
        <v>0</v>
      </c>
      <c r="D450" s="419">
        <v>2388.9364733422249</v>
      </c>
      <c r="E450">
        <v>15</v>
      </c>
      <c r="F450">
        <v>14</v>
      </c>
    </row>
    <row r="453" spans="1:6" x14ac:dyDescent="0.2">
      <c r="A453" s="934" t="s">
        <v>4520</v>
      </c>
      <c r="B453" s="934" t="s">
        <v>4671</v>
      </c>
      <c r="C453" s="934"/>
      <c r="D453" s="934"/>
      <c r="E453" s="934"/>
      <c r="F453" s="934"/>
    </row>
    <row r="454" spans="1:6" x14ac:dyDescent="0.2">
      <c r="A454" s="944">
        <v>29</v>
      </c>
      <c r="B454" s="116" t="s">
        <v>4672</v>
      </c>
      <c r="C454" s="899" t="s">
        <v>4673</v>
      </c>
      <c r="D454" s="899" t="s">
        <v>4510</v>
      </c>
      <c r="E454" s="116" t="s">
        <v>4503</v>
      </c>
      <c r="F454" s="116" t="s">
        <v>4504</v>
      </c>
    </row>
    <row r="455" spans="1:6" x14ac:dyDescent="0.2">
      <c r="A455" s="3" t="s">
        <v>4674</v>
      </c>
      <c r="B455">
        <v>0</v>
      </c>
      <c r="C455">
        <v>1</v>
      </c>
      <c r="D455" s="419">
        <v>5215.639311849045</v>
      </c>
      <c r="E455">
        <v>25</v>
      </c>
      <c r="F455">
        <v>20</v>
      </c>
    </row>
    <row r="456" spans="1:6" x14ac:dyDescent="0.2">
      <c r="A456" s="3"/>
      <c r="B456">
        <v>1.1000000000000001</v>
      </c>
      <c r="C456">
        <v>1.5</v>
      </c>
      <c r="D456" s="419">
        <v>5974.8263252684128</v>
      </c>
      <c r="E456">
        <v>25</v>
      </c>
      <c r="F456">
        <v>20</v>
      </c>
    </row>
    <row r="457" spans="1:6" x14ac:dyDescent="0.2">
      <c r="A457" s="3"/>
      <c r="B457">
        <v>1.6</v>
      </c>
      <c r="C457">
        <v>2</v>
      </c>
      <c r="D457" s="419">
        <v>6068.3450523109377</v>
      </c>
      <c r="E457">
        <v>25</v>
      </c>
      <c r="F457">
        <v>20</v>
      </c>
    </row>
    <row r="458" spans="1:6" x14ac:dyDescent="0.2">
      <c r="A458" s="3"/>
      <c r="B458">
        <v>2.1</v>
      </c>
      <c r="C458">
        <v>3</v>
      </c>
      <c r="D458" s="419">
        <v>7378.3626076365754</v>
      </c>
      <c r="E458">
        <v>25</v>
      </c>
      <c r="F458">
        <v>20</v>
      </c>
    </row>
    <row r="459" spans="1:6" x14ac:dyDescent="0.2">
      <c r="A459" s="3"/>
      <c r="B459">
        <v>3.1</v>
      </c>
      <c r="C459">
        <v>5</v>
      </c>
      <c r="D459" s="419">
        <v>8134.7527370290263</v>
      </c>
      <c r="E459">
        <v>25</v>
      </c>
      <c r="F459">
        <v>20</v>
      </c>
    </row>
    <row r="460" spans="1:6" x14ac:dyDescent="0.2">
      <c r="A460" s="3"/>
      <c r="B460">
        <v>5.0999999999999996</v>
      </c>
      <c r="C460">
        <v>7.5</v>
      </c>
      <c r="D460" s="419">
        <v>11316.307504296892</v>
      </c>
      <c r="E460">
        <v>25</v>
      </c>
      <c r="F460">
        <v>20</v>
      </c>
    </row>
    <row r="461" spans="1:6" x14ac:dyDescent="0.2">
      <c r="A461" s="3"/>
      <c r="B461">
        <v>7.6</v>
      </c>
      <c r="C461">
        <v>10</v>
      </c>
      <c r="D461" s="419">
        <v>14374.813447090328</v>
      </c>
      <c r="E461">
        <v>25</v>
      </c>
      <c r="F461">
        <v>20</v>
      </c>
    </row>
    <row r="462" spans="1:6" x14ac:dyDescent="0.2">
      <c r="A462" s="3"/>
      <c r="B462">
        <v>10.1</v>
      </c>
      <c r="C462">
        <v>20</v>
      </c>
      <c r="D462" s="419">
        <v>25944.468684113283</v>
      </c>
      <c r="E462">
        <v>25</v>
      </c>
      <c r="F462">
        <v>20</v>
      </c>
    </row>
    <row r="463" spans="1:6" x14ac:dyDescent="0.2">
      <c r="A463" s="3"/>
      <c r="B463">
        <v>20.100000000000001</v>
      </c>
      <c r="C463">
        <v>30</v>
      </c>
      <c r="D463" s="419">
        <v>39315.823046232101</v>
      </c>
      <c r="E463">
        <v>25</v>
      </c>
      <c r="F463">
        <v>20</v>
      </c>
    </row>
    <row r="464" spans="1:6" x14ac:dyDescent="0.2">
      <c r="A464" s="3"/>
      <c r="B464">
        <v>30.1</v>
      </c>
      <c r="C464" t="s">
        <v>687</v>
      </c>
      <c r="D464" s="419" t="s">
        <v>687</v>
      </c>
      <c r="E464">
        <v>25</v>
      </c>
      <c r="F464">
        <v>20</v>
      </c>
    </row>
    <row r="467" spans="1:6" x14ac:dyDescent="0.2">
      <c r="A467" s="934" t="s">
        <v>4520</v>
      </c>
      <c r="B467" s="934" t="s">
        <v>4675</v>
      </c>
      <c r="C467" s="934"/>
      <c r="D467" s="934"/>
      <c r="E467" s="934"/>
      <c r="F467" s="934"/>
    </row>
    <row r="468" spans="1:6" x14ac:dyDescent="0.2">
      <c r="A468" s="944">
        <v>29</v>
      </c>
      <c r="B468" s="116" t="s">
        <v>4598</v>
      </c>
      <c r="C468" s="116" t="s">
        <v>4599</v>
      </c>
      <c r="D468" s="899" t="s">
        <v>4510</v>
      </c>
      <c r="E468" s="116" t="s">
        <v>4503</v>
      </c>
      <c r="F468" s="116" t="s">
        <v>4504</v>
      </c>
    </row>
    <row r="469" spans="1:6" x14ac:dyDescent="0.2">
      <c r="A469" s="3" t="s">
        <v>4676</v>
      </c>
      <c r="B469">
        <v>0</v>
      </c>
      <c r="C469">
        <v>0.5</v>
      </c>
      <c r="D469" s="419">
        <v>1164.8152551020407</v>
      </c>
      <c r="E469">
        <v>25</v>
      </c>
      <c r="F469">
        <v>22</v>
      </c>
    </row>
    <row r="470" spans="1:6" x14ac:dyDescent="0.2">
      <c r="A470" s="3"/>
      <c r="B470">
        <v>0.6</v>
      </c>
      <c r="C470">
        <v>0.75</v>
      </c>
      <c r="D470" s="419">
        <v>1144.2540807453415</v>
      </c>
      <c r="E470">
        <v>25</v>
      </c>
      <c r="F470">
        <v>22</v>
      </c>
    </row>
    <row r="471" spans="1:6" x14ac:dyDescent="0.2">
      <c r="A471" s="57"/>
      <c r="B471">
        <v>0.85</v>
      </c>
      <c r="C471">
        <v>1</v>
      </c>
      <c r="D471" s="419">
        <v>1388.8773414634147</v>
      </c>
      <c r="E471">
        <v>25</v>
      </c>
      <c r="F471">
        <v>22</v>
      </c>
    </row>
    <row r="472" spans="1:6" x14ac:dyDescent="0.2">
      <c r="A472" s="57"/>
      <c r="B472">
        <v>1.1000000000000001</v>
      </c>
      <c r="C472">
        <v>1.5</v>
      </c>
      <c r="D472" s="419">
        <v>1670.349835443038</v>
      </c>
      <c r="E472">
        <v>25</v>
      </c>
      <c r="F472">
        <v>22</v>
      </c>
    </row>
    <row r="473" spans="1:6" x14ac:dyDescent="0.2">
      <c r="A473" s="57"/>
      <c r="B473">
        <v>1.6</v>
      </c>
      <c r="C473">
        <v>2</v>
      </c>
      <c r="D473" s="419">
        <v>1941.5815227272728</v>
      </c>
      <c r="E473">
        <v>25</v>
      </c>
      <c r="F473">
        <v>22</v>
      </c>
    </row>
    <row r="474" spans="1:6" x14ac:dyDescent="0.2">
      <c r="A474" s="57"/>
      <c r="B474">
        <v>2.1</v>
      </c>
      <c r="C474">
        <v>2.5</v>
      </c>
      <c r="D474" s="419">
        <v>3278.7820298507463</v>
      </c>
      <c r="E474">
        <v>25</v>
      </c>
      <c r="F474">
        <v>22</v>
      </c>
    </row>
    <row r="475" spans="1:6" x14ac:dyDescent="0.2">
      <c r="A475" s="57"/>
      <c r="B475">
        <v>2.6</v>
      </c>
      <c r="C475">
        <v>3</v>
      </c>
      <c r="D475" s="419">
        <v>4146.8759701492536</v>
      </c>
      <c r="E475">
        <v>25</v>
      </c>
      <c r="F475">
        <v>22</v>
      </c>
    </row>
    <row r="476" spans="1:6" x14ac:dyDescent="0.2">
      <c r="A476" s="57"/>
      <c r="B476">
        <v>2.1</v>
      </c>
      <c r="C476">
        <v>4</v>
      </c>
      <c r="D476" s="419">
        <v>5349.9816799999999</v>
      </c>
      <c r="E476">
        <v>25</v>
      </c>
      <c r="F476">
        <v>22</v>
      </c>
    </row>
    <row r="477" spans="1:6" x14ac:dyDescent="0.2">
      <c r="A477" s="3"/>
      <c r="B477">
        <v>4.0999999999999996</v>
      </c>
      <c r="C477">
        <v>6</v>
      </c>
      <c r="D477" s="419">
        <v>3323.0808539325849</v>
      </c>
      <c r="E477">
        <v>25</v>
      </c>
      <c r="F477">
        <v>22</v>
      </c>
    </row>
    <row r="478" spans="1:6" x14ac:dyDescent="0.2">
      <c r="A478" s="3"/>
      <c r="B478">
        <v>6.1</v>
      </c>
      <c r="C478">
        <v>8</v>
      </c>
      <c r="D478" s="419">
        <v>4204.0393825503361</v>
      </c>
      <c r="E478">
        <v>25</v>
      </c>
      <c r="F478">
        <v>22</v>
      </c>
    </row>
    <row r="479" spans="1:6" x14ac:dyDescent="0.2">
      <c r="A479" s="3"/>
      <c r="B479">
        <v>8.1</v>
      </c>
      <c r="C479">
        <v>10</v>
      </c>
      <c r="D479" s="419">
        <v>8429.8018791946306</v>
      </c>
      <c r="E479">
        <v>25</v>
      </c>
      <c r="F479">
        <v>22</v>
      </c>
    </row>
    <row r="480" spans="1:6" x14ac:dyDescent="0.2">
      <c r="A480" s="3"/>
      <c r="B480">
        <v>10.1</v>
      </c>
      <c r="C480">
        <v>12</v>
      </c>
      <c r="D480" s="419">
        <v>8540.2004026845643</v>
      </c>
      <c r="E480">
        <v>25</v>
      </c>
      <c r="F480">
        <v>22</v>
      </c>
    </row>
    <row r="481" spans="1:6" x14ac:dyDescent="0.2">
      <c r="A481" s="3"/>
      <c r="B481">
        <v>12.1</v>
      </c>
      <c r="C481">
        <v>14</v>
      </c>
      <c r="D481" s="419">
        <v>10271.688724832215</v>
      </c>
      <c r="E481">
        <v>25</v>
      </c>
      <c r="F481">
        <v>22</v>
      </c>
    </row>
    <row r="482" spans="1:6" x14ac:dyDescent="0.2">
      <c r="A482" s="3"/>
      <c r="B482">
        <v>14.1</v>
      </c>
      <c r="C482">
        <v>16</v>
      </c>
      <c r="D482" s="419">
        <v>12693.517181208053</v>
      </c>
      <c r="E482">
        <v>25</v>
      </c>
      <c r="F482">
        <v>22</v>
      </c>
    </row>
    <row r="483" spans="1:6" x14ac:dyDescent="0.2">
      <c r="A483" s="3"/>
      <c r="B483">
        <v>16.100000000000001</v>
      </c>
      <c r="C483">
        <v>18</v>
      </c>
      <c r="D483" s="419">
        <v>14466.350738255034</v>
      </c>
      <c r="E483">
        <v>25</v>
      </c>
      <c r="F483">
        <v>22</v>
      </c>
    </row>
    <row r="484" spans="1:6" x14ac:dyDescent="0.2">
      <c r="A484" s="3"/>
      <c r="B484">
        <v>18.100000000000001</v>
      </c>
      <c r="C484">
        <v>20</v>
      </c>
      <c r="D484" s="419">
        <v>17242.745906040269</v>
      </c>
      <c r="E484">
        <v>25</v>
      </c>
      <c r="F484">
        <v>22</v>
      </c>
    </row>
    <row r="485" spans="1:6" x14ac:dyDescent="0.2">
      <c r="A485" s="3"/>
      <c r="B485">
        <v>20.100000000000001</v>
      </c>
      <c r="C485">
        <v>24</v>
      </c>
      <c r="D485" s="419">
        <v>24824.633154362418</v>
      </c>
      <c r="E485">
        <v>25</v>
      </c>
      <c r="F485">
        <v>22</v>
      </c>
    </row>
    <row r="486" spans="1:6" x14ac:dyDescent="0.2">
      <c r="A486" s="3"/>
      <c r="B486">
        <v>24.1</v>
      </c>
      <c r="C486">
        <v>42</v>
      </c>
      <c r="D486" s="419">
        <v>73614.901610738249</v>
      </c>
      <c r="E486">
        <v>25</v>
      </c>
      <c r="F486">
        <v>22</v>
      </c>
    </row>
    <row r="487" spans="1:6" x14ac:dyDescent="0.2">
      <c r="A487" s="3"/>
      <c r="B487">
        <v>42.1</v>
      </c>
      <c r="C487" t="s">
        <v>687</v>
      </c>
      <c r="D487" s="419" t="s">
        <v>687</v>
      </c>
      <c r="E487">
        <v>25</v>
      </c>
      <c r="F487">
        <v>22</v>
      </c>
    </row>
    <row r="490" spans="1:6" x14ac:dyDescent="0.2">
      <c r="A490" s="934" t="s">
        <v>4677</v>
      </c>
      <c r="B490" s="934" t="s">
        <v>4678</v>
      </c>
      <c r="C490" s="934"/>
      <c r="D490" s="934"/>
      <c r="E490" s="934"/>
      <c r="F490" s="934"/>
    </row>
    <row r="491" spans="1:6" x14ac:dyDescent="0.2">
      <c r="A491" s="944">
        <v>38</v>
      </c>
      <c r="B491" s="116"/>
      <c r="C491" s="116"/>
      <c r="D491" s="899" t="s">
        <v>4510</v>
      </c>
      <c r="E491" s="116" t="s">
        <v>4503</v>
      </c>
      <c r="F491" s="116" t="s">
        <v>4504</v>
      </c>
    </row>
    <row r="492" spans="1:6" x14ac:dyDescent="0.2">
      <c r="A492" s="3" t="s">
        <v>4679</v>
      </c>
      <c r="B492">
        <v>0</v>
      </c>
      <c r="C492">
        <v>0</v>
      </c>
      <c r="D492" s="419">
        <v>373.99500000000006</v>
      </c>
      <c r="E492">
        <v>10</v>
      </c>
      <c r="F492">
        <v>8</v>
      </c>
    </row>
    <row r="495" spans="1:6" x14ac:dyDescent="0.2">
      <c r="A495" s="934" t="s">
        <v>4501</v>
      </c>
      <c r="B495" s="934" t="s">
        <v>4680</v>
      </c>
      <c r="C495" s="934"/>
      <c r="D495" s="934"/>
      <c r="E495" s="934"/>
      <c r="F495" s="934"/>
    </row>
    <row r="496" spans="1:6" x14ac:dyDescent="0.2">
      <c r="A496" s="944">
        <v>43</v>
      </c>
      <c r="B496" s="116" t="s">
        <v>4598</v>
      </c>
      <c r="C496" s="116" t="s">
        <v>4599</v>
      </c>
      <c r="D496" s="899" t="s">
        <v>4510</v>
      </c>
      <c r="E496" s="116" t="s">
        <v>4503</v>
      </c>
      <c r="F496" s="116" t="s">
        <v>4504</v>
      </c>
    </row>
    <row r="497" spans="1:6" x14ac:dyDescent="0.2">
      <c r="A497" s="3" t="s">
        <v>4681</v>
      </c>
      <c r="B497">
        <v>0</v>
      </c>
      <c r="C497">
        <v>0.75</v>
      </c>
      <c r="D497" s="419">
        <v>5046.2119844357976</v>
      </c>
      <c r="E497">
        <v>15</v>
      </c>
      <c r="F497">
        <v>14</v>
      </c>
    </row>
    <row r="498" spans="1:6" x14ac:dyDescent="0.2">
      <c r="A498" s="3"/>
      <c r="B498">
        <v>0.76</v>
      </c>
      <c r="C498">
        <v>1</v>
      </c>
      <c r="D498" s="419">
        <v>3719.3050000000003</v>
      </c>
      <c r="E498">
        <v>15</v>
      </c>
      <c r="F498">
        <v>14</v>
      </c>
    </row>
    <row r="499" spans="1:6" x14ac:dyDescent="0.2">
      <c r="A499" s="3"/>
      <c r="B499">
        <v>1.1000000000000001</v>
      </c>
      <c r="C499">
        <v>1.5</v>
      </c>
      <c r="D499" s="419">
        <v>3762.3734647887327</v>
      </c>
      <c r="E499">
        <v>15</v>
      </c>
      <c r="F499">
        <v>14</v>
      </c>
    </row>
    <row r="500" spans="1:6" x14ac:dyDescent="0.2">
      <c r="A500" s="3"/>
      <c r="B500">
        <v>1.6</v>
      </c>
      <c r="C500">
        <v>2</v>
      </c>
      <c r="D500" s="419">
        <v>3899.756109589041</v>
      </c>
      <c r="E500">
        <v>15</v>
      </c>
      <c r="F500">
        <v>14</v>
      </c>
    </row>
    <row r="501" spans="1:6" x14ac:dyDescent="0.2">
      <c r="A501" s="3"/>
      <c r="B501">
        <v>2.1</v>
      </c>
      <c r="C501">
        <v>2.5</v>
      </c>
      <c r="D501" s="419">
        <v>3894.0035399999997</v>
      </c>
      <c r="E501">
        <v>15</v>
      </c>
      <c r="F501">
        <v>14</v>
      </c>
    </row>
    <row r="502" spans="1:6" x14ac:dyDescent="0.2">
      <c r="A502" s="3"/>
      <c r="B502">
        <v>2.6</v>
      </c>
      <c r="C502">
        <v>3</v>
      </c>
      <c r="D502" s="419">
        <v>4108.8077378640774</v>
      </c>
      <c r="E502">
        <v>15</v>
      </c>
      <c r="F502">
        <v>14</v>
      </c>
    </row>
    <row r="503" spans="1:6" x14ac:dyDescent="0.2">
      <c r="A503" s="3"/>
      <c r="B503">
        <v>3.1</v>
      </c>
      <c r="C503">
        <v>4</v>
      </c>
      <c r="D503" s="419">
        <v>4281.420210752688</v>
      </c>
      <c r="E503">
        <v>15</v>
      </c>
      <c r="F503">
        <v>14</v>
      </c>
    </row>
    <row r="504" spans="1:6" x14ac:dyDescent="0.2">
      <c r="A504" s="3"/>
      <c r="B504">
        <v>4.0999999999999996</v>
      </c>
      <c r="C504">
        <v>6</v>
      </c>
      <c r="D504" s="419">
        <v>6813.2262666666675</v>
      </c>
      <c r="E504">
        <v>15</v>
      </c>
      <c r="F504">
        <v>14</v>
      </c>
    </row>
    <row r="505" spans="1:6" x14ac:dyDescent="0.2">
      <c r="A505" s="3"/>
      <c r="B505">
        <v>6.1</v>
      </c>
      <c r="C505">
        <v>8</v>
      </c>
      <c r="D505" s="419">
        <v>9089.8655287356323</v>
      </c>
      <c r="E505">
        <v>15</v>
      </c>
      <c r="F505">
        <v>14</v>
      </c>
    </row>
    <row r="506" spans="1:6" x14ac:dyDescent="0.2">
      <c r="A506" s="3"/>
      <c r="B506">
        <v>8.1</v>
      </c>
      <c r="C506">
        <v>10</v>
      </c>
      <c r="D506" s="419">
        <v>12176.345693430656</v>
      </c>
      <c r="E506">
        <v>15</v>
      </c>
      <c r="F506">
        <v>14</v>
      </c>
    </row>
    <row r="507" spans="1:6" x14ac:dyDescent="0.2">
      <c r="A507" s="3"/>
      <c r="B507">
        <v>10.1</v>
      </c>
      <c r="C507">
        <v>12</v>
      </c>
      <c r="D507" s="419">
        <v>12145.340729927009</v>
      </c>
      <c r="E507">
        <v>15</v>
      </c>
      <c r="F507">
        <v>14</v>
      </c>
    </row>
    <row r="508" spans="1:6" x14ac:dyDescent="0.2">
      <c r="A508" s="3"/>
      <c r="B508">
        <v>12.1</v>
      </c>
      <c r="C508">
        <v>14</v>
      </c>
      <c r="D508" s="419">
        <v>10284.360875912409</v>
      </c>
      <c r="E508">
        <v>15</v>
      </c>
      <c r="F508">
        <v>14</v>
      </c>
    </row>
    <row r="509" spans="1:6" x14ac:dyDescent="0.2">
      <c r="A509" s="3"/>
      <c r="B509">
        <v>14.1</v>
      </c>
      <c r="C509">
        <v>16</v>
      </c>
      <c r="D509" s="419">
        <v>12564.606131386863</v>
      </c>
      <c r="E509">
        <v>15</v>
      </c>
      <c r="F509">
        <v>14</v>
      </c>
    </row>
    <row r="510" spans="1:6" x14ac:dyDescent="0.2">
      <c r="A510" s="3"/>
      <c r="B510">
        <v>16.100000000000001</v>
      </c>
      <c r="C510">
        <v>18</v>
      </c>
      <c r="D510" s="419">
        <v>10867.900729927009</v>
      </c>
      <c r="E510">
        <v>15</v>
      </c>
      <c r="F510">
        <v>14</v>
      </c>
    </row>
    <row r="511" spans="1:6" x14ac:dyDescent="0.2">
      <c r="A511" s="3"/>
      <c r="B511">
        <v>18.100000000000001</v>
      </c>
      <c r="C511">
        <v>20</v>
      </c>
      <c r="D511" s="419">
        <v>14743.154452554745</v>
      </c>
      <c r="E511">
        <v>15</v>
      </c>
      <c r="F511">
        <v>14</v>
      </c>
    </row>
    <row r="512" spans="1:6" x14ac:dyDescent="0.2">
      <c r="A512" s="3"/>
      <c r="B512">
        <v>20.100000000000001</v>
      </c>
      <c r="C512">
        <v>24</v>
      </c>
      <c r="D512" s="419">
        <v>19627.052846715331</v>
      </c>
      <c r="E512">
        <v>15</v>
      </c>
      <c r="F512">
        <v>14</v>
      </c>
    </row>
    <row r="513" spans="1:6" x14ac:dyDescent="0.2">
      <c r="A513" s="3"/>
      <c r="B513">
        <v>24.1</v>
      </c>
      <c r="C513">
        <v>30</v>
      </c>
      <c r="D513" s="419">
        <v>22949.66189781022</v>
      </c>
      <c r="E513">
        <v>15</v>
      </c>
      <c r="F513">
        <v>14</v>
      </c>
    </row>
    <row r="514" spans="1:6" x14ac:dyDescent="0.2">
      <c r="A514" s="3"/>
      <c r="B514">
        <v>30.1</v>
      </c>
      <c r="C514">
        <v>36</v>
      </c>
      <c r="D514" s="419">
        <v>30908.188029197081</v>
      </c>
      <c r="E514">
        <v>15</v>
      </c>
      <c r="F514">
        <v>14</v>
      </c>
    </row>
    <row r="515" spans="1:6" x14ac:dyDescent="0.2">
      <c r="A515" s="3"/>
      <c r="B515">
        <v>36.1</v>
      </c>
      <c r="C515" t="s">
        <v>687</v>
      </c>
      <c r="D515" s="419" t="s">
        <v>687</v>
      </c>
      <c r="E515">
        <v>15</v>
      </c>
      <c r="F515">
        <v>14</v>
      </c>
    </row>
    <row r="518" spans="1:6" x14ac:dyDescent="0.2">
      <c r="A518" s="112" t="s">
        <v>4535</v>
      </c>
      <c r="B518" s="934" t="s">
        <v>4682</v>
      </c>
      <c r="C518" s="268"/>
      <c r="D518" s="945"/>
      <c r="E518" s="268"/>
      <c r="F518" s="268"/>
    </row>
    <row r="519" spans="1:6" x14ac:dyDescent="0.2">
      <c r="A519" s="944">
        <v>11</v>
      </c>
      <c r="B519" s="116" t="s">
        <v>2113</v>
      </c>
      <c r="C519" s="116" t="s">
        <v>1642</v>
      </c>
      <c r="D519" s="116" t="s">
        <v>4510</v>
      </c>
      <c r="E519" s="116" t="s">
        <v>4503</v>
      </c>
      <c r="F519" s="116" t="s">
        <v>4504</v>
      </c>
    </row>
    <row r="520" spans="1:6" x14ac:dyDescent="0.2">
      <c r="A520" s="3" t="s">
        <v>4692</v>
      </c>
      <c r="B520" t="s">
        <v>4683</v>
      </c>
      <c r="C520" t="s">
        <v>4684</v>
      </c>
      <c r="D520" s="772">
        <v>141.97940658644674</v>
      </c>
      <c r="E520" s="16" t="s">
        <v>4514</v>
      </c>
      <c r="F520" s="16" t="s">
        <v>4514</v>
      </c>
    </row>
    <row r="521" spans="1:6" x14ac:dyDescent="0.2">
      <c r="A521" s="3" t="s">
        <v>4657</v>
      </c>
      <c r="B521" t="s">
        <v>4685</v>
      </c>
      <c r="C521" t="s">
        <v>4684</v>
      </c>
      <c r="D521" s="772">
        <v>161.36828829521963</v>
      </c>
      <c r="E521" s="16" t="s">
        <v>4514</v>
      </c>
      <c r="F521" s="16" t="s">
        <v>4514</v>
      </c>
    </row>
    <row r="522" spans="1:6" x14ac:dyDescent="0.2">
      <c r="A522" s="57">
        <v>45</v>
      </c>
      <c r="B522" t="s">
        <v>2724</v>
      </c>
      <c r="C522" t="s">
        <v>4538</v>
      </c>
      <c r="D522" s="772">
        <v>0.59123254393035707</v>
      </c>
      <c r="E522">
        <v>10</v>
      </c>
      <c r="F522">
        <v>8.5</v>
      </c>
    </row>
    <row r="523" spans="1:6" x14ac:dyDescent="0.2">
      <c r="A523" s="3"/>
      <c r="B523" t="s">
        <v>2726</v>
      </c>
      <c r="C523" t="s">
        <v>4538</v>
      </c>
      <c r="D523" s="772">
        <v>1.126709292175156</v>
      </c>
      <c r="E523">
        <v>10</v>
      </c>
      <c r="F523">
        <v>8.5</v>
      </c>
    </row>
    <row r="524" spans="1:6" x14ac:dyDescent="0.2">
      <c r="A524" s="3"/>
      <c r="B524" t="s">
        <v>4686</v>
      </c>
      <c r="C524" t="s">
        <v>4684</v>
      </c>
      <c r="D524" s="772">
        <v>154.25917476796141</v>
      </c>
      <c r="E524" s="16" t="s">
        <v>4514</v>
      </c>
      <c r="F524" s="16" t="s">
        <v>4514</v>
      </c>
    </row>
    <row r="525" spans="1:6" x14ac:dyDescent="0.2">
      <c r="A525" s="3"/>
      <c r="B525" t="s">
        <v>4687</v>
      </c>
      <c r="C525" t="s">
        <v>4684</v>
      </c>
      <c r="D525" s="772">
        <v>315.59314730733558</v>
      </c>
      <c r="E525" s="16" t="s">
        <v>4514</v>
      </c>
      <c r="F525" s="16" t="s">
        <v>4514</v>
      </c>
    </row>
    <row r="526" spans="1:6" x14ac:dyDescent="0.2">
      <c r="A526" s="3"/>
      <c r="B526" s="694" t="s">
        <v>4688</v>
      </c>
      <c r="C526" t="s">
        <v>4684</v>
      </c>
      <c r="D526" s="772">
        <v>53.464585133466812</v>
      </c>
      <c r="E526">
        <v>20</v>
      </c>
      <c r="F526">
        <v>20</v>
      </c>
    </row>
    <row r="527" spans="1:6" x14ac:dyDescent="0.2">
      <c r="A527" s="3"/>
      <c r="B527" s="694" t="s">
        <v>4689</v>
      </c>
      <c r="C527" t="s">
        <v>4538</v>
      </c>
      <c r="D527" s="772">
        <v>0.68347232074690323</v>
      </c>
      <c r="E527" s="16" t="s">
        <v>4514</v>
      </c>
      <c r="F527" s="16" t="s">
        <v>4514</v>
      </c>
    </row>
    <row r="528" spans="1:6" x14ac:dyDescent="0.2">
      <c r="A528" s="3"/>
      <c r="B528" t="s">
        <v>4690</v>
      </c>
      <c r="C528" t="s">
        <v>4538</v>
      </c>
      <c r="D528" s="772">
        <v>2.4077393728305987</v>
      </c>
      <c r="E528" s="16" t="s">
        <v>4514</v>
      </c>
      <c r="F528" s="16" t="s">
        <v>4514</v>
      </c>
    </row>
    <row r="529" spans="1:6" x14ac:dyDescent="0.2">
      <c r="B529" t="s">
        <v>2725</v>
      </c>
      <c r="C529" t="s">
        <v>4684</v>
      </c>
      <c r="D529" s="772">
        <v>75.899652955911066</v>
      </c>
      <c r="E529">
        <v>20</v>
      </c>
      <c r="F529">
        <v>20</v>
      </c>
    </row>
    <row r="530" spans="1:6" x14ac:dyDescent="0.2">
      <c r="B530" t="s">
        <v>4691</v>
      </c>
      <c r="C530" t="s">
        <v>4684</v>
      </c>
      <c r="D530" s="772">
        <v>680.7116045139486</v>
      </c>
      <c r="E530" s="16" t="s">
        <v>4514</v>
      </c>
      <c r="F530" s="16" t="s">
        <v>4514</v>
      </c>
    </row>
    <row r="533" spans="1:6" x14ac:dyDescent="0.2">
      <c r="A533" s="934" t="s">
        <v>4516</v>
      </c>
      <c r="B533" s="934" t="s">
        <v>4693</v>
      </c>
      <c r="C533" s="934"/>
      <c r="D533" s="934"/>
      <c r="E533" s="934"/>
      <c r="F533" s="934"/>
    </row>
    <row r="534" spans="1:6" x14ac:dyDescent="0.2">
      <c r="A534" s="944">
        <v>2</v>
      </c>
      <c r="B534" s="116"/>
      <c r="C534" s="116" t="s">
        <v>1642</v>
      </c>
      <c r="D534" s="116" t="s">
        <v>4510</v>
      </c>
      <c r="E534" s="116" t="s">
        <v>4503</v>
      </c>
      <c r="F534" s="116" t="s">
        <v>4504</v>
      </c>
    </row>
    <row r="535" spans="1:6" x14ac:dyDescent="0.2">
      <c r="A535" s="3" t="s">
        <v>4697</v>
      </c>
      <c r="B535" t="s">
        <v>1871</v>
      </c>
      <c r="C535" t="s">
        <v>1429</v>
      </c>
      <c r="D535" s="772">
        <v>44</v>
      </c>
      <c r="E535" s="694">
        <v>40</v>
      </c>
      <c r="F535" s="694">
        <v>35</v>
      </c>
    </row>
    <row r="536" spans="1:6" x14ac:dyDescent="0.2">
      <c r="A536" s="3"/>
      <c r="B536" t="s">
        <v>1872</v>
      </c>
      <c r="C536" t="s">
        <v>4694</v>
      </c>
      <c r="D536" s="772">
        <v>460</v>
      </c>
      <c r="E536" s="694">
        <v>40</v>
      </c>
      <c r="F536" s="694">
        <v>35</v>
      </c>
    </row>
    <row r="537" spans="1:6" x14ac:dyDescent="0.2">
      <c r="A537" s="3"/>
      <c r="B537" t="s">
        <v>4695</v>
      </c>
      <c r="C537" t="s">
        <v>2457</v>
      </c>
      <c r="D537" s="772">
        <v>47.774999999999999</v>
      </c>
      <c r="E537" s="694">
        <v>40</v>
      </c>
      <c r="F537" s="694">
        <v>35</v>
      </c>
    </row>
    <row r="538" spans="1:6" x14ac:dyDescent="0.2">
      <c r="A538" s="3"/>
      <c r="B538" t="s">
        <v>4696</v>
      </c>
      <c r="C538" t="s">
        <v>2457</v>
      </c>
      <c r="D538" s="772">
        <v>43.491623083060013</v>
      </c>
      <c r="E538" s="694">
        <v>40</v>
      </c>
      <c r="F538" s="694">
        <v>35</v>
      </c>
    </row>
    <row r="541" spans="1:6" x14ac:dyDescent="0.2">
      <c r="A541" s="934" t="s">
        <v>4520</v>
      </c>
      <c r="B541" s="934" t="s">
        <v>4698</v>
      </c>
      <c r="C541" s="934"/>
      <c r="D541" s="934"/>
      <c r="E541" s="934"/>
      <c r="F541" s="934"/>
    </row>
    <row r="542" spans="1:6" x14ac:dyDescent="0.2">
      <c r="A542" s="944">
        <v>29</v>
      </c>
      <c r="B542" s="116" t="s">
        <v>4672</v>
      </c>
      <c r="C542" s="116" t="s">
        <v>4699</v>
      </c>
      <c r="D542" s="899" t="s">
        <v>4510</v>
      </c>
      <c r="E542" s="116" t="s">
        <v>4503</v>
      </c>
      <c r="F542" s="116" t="s">
        <v>4504</v>
      </c>
    </row>
    <row r="543" spans="1:6" x14ac:dyDescent="0.2">
      <c r="A543" s="3" t="s">
        <v>4700</v>
      </c>
      <c r="B543">
        <v>0</v>
      </c>
      <c r="C543">
        <v>0.33333333333333331</v>
      </c>
      <c r="D543" s="419">
        <v>2576.0571507413197</v>
      </c>
      <c r="E543">
        <v>25</v>
      </c>
      <c r="F543">
        <v>22</v>
      </c>
    </row>
    <row r="544" spans="1:6" x14ac:dyDescent="0.2">
      <c r="A544" s="3"/>
      <c r="B544">
        <v>0.34</v>
      </c>
      <c r="C544">
        <v>0.5</v>
      </c>
      <c r="D544" s="419">
        <v>3281.4726797331573</v>
      </c>
      <c r="E544">
        <v>25</v>
      </c>
      <c r="F544">
        <v>22</v>
      </c>
    </row>
    <row r="545" spans="1:6" x14ac:dyDescent="0.2">
      <c r="A545" s="3"/>
      <c r="B545">
        <v>0.51</v>
      </c>
      <c r="C545">
        <v>0.75</v>
      </c>
      <c r="D545" s="419">
        <v>2703.2428881584933</v>
      </c>
      <c r="E545">
        <v>25</v>
      </c>
      <c r="F545">
        <v>22</v>
      </c>
    </row>
    <row r="546" spans="1:6" x14ac:dyDescent="0.2">
      <c r="A546" s="3"/>
      <c r="B546">
        <v>0.76</v>
      </c>
      <c r="C546">
        <v>1</v>
      </c>
      <c r="D546" s="419">
        <v>3740.58217089759</v>
      </c>
      <c r="E546">
        <v>25</v>
      </c>
      <c r="F546">
        <v>22</v>
      </c>
    </row>
    <row r="547" spans="1:6" x14ac:dyDescent="0.2">
      <c r="A547" s="3"/>
      <c r="B547">
        <v>1.1000000000000001</v>
      </c>
      <c r="C547">
        <v>1.5</v>
      </c>
      <c r="D547" s="419">
        <v>3059.3629529265804</v>
      </c>
      <c r="E547">
        <v>25</v>
      </c>
      <c r="F547">
        <v>22</v>
      </c>
    </row>
    <row r="548" spans="1:6" x14ac:dyDescent="0.2">
      <c r="A548" s="3"/>
      <c r="B548">
        <v>1.6</v>
      </c>
      <c r="C548">
        <v>2</v>
      </c>
      <c r="D548" s="419">
        <v>3689.7078759307205</v>
      </c>
      <c r="E548">
        <v>25</v>
      </c>
      <c r="F548">
        <v>22</v>
      </c>
    </row>
    <row r="549" spans="1:6" x14ac:dyDescent="0.2">
      <c r="A549" s="3"/>
      <c r="B549">
        <v>2.1</v>
      </c>
      <c r="C549">
        <v>4</v>
      </c>
      <c r="D549" s="419">
        <v>3958.3489700850441</v>
      </c>
      <c r="E549">
        <v>25</v>
      </c>
      <c r="F549">
        <v>22</v>
      </c>
    </row>
    <row r="550" spans="1:6" x14ac:dyDescent="0.2">
      <c r="A550" s="3"/>
      <c r="B550">
        <v>4.0999999999999996</v>
      </c>
      <c r="C550" t="s">
        <v>687</v>
      </c>
      <c r="D550" s="419" t="s">
        <v>687</v>
      </c>
      <c r="E550">
        <v>25</v>
      </c>
      <c r="F550">
        <v>22</v>
      </c>
    </row>
    <row r="553" spans="1:6" x14ac:dyDescent="0.2">
      <c r="A553" s="934" t="s">
        <v>4501</v>
      </c>
      <c r="B553" s="934" t="s">
        <v>4701</v>
      </c>
      <c r="C553" s="934"/>
      <c r="D553" s="934"/>
      <c r="E553" s="934"/>
      <c r="F553" s="934"/>
    </row>
    <row r="554" spans="1:6" x14ac:dyDescent="0.2">
      <c r="A554" s="944">
        <v>43</v>
      </c>
      <c r="B554" s="116"/>
      <c r="C554" s="116"/>
      <c r="D554" s="116" t="s">
        <v>2343</v>
      </c>
      <c r="E554" s="116" t="s">
        <v>4503</v>
      </c>
      <c r="F554" s="116" t="s">
        <v>4504</v>
      </c>
    </row>
    <row r="555" spans="1:6" x14ac:dyDescent="0.2">
      <c r="A555" s="3" t="s">
        <v>4702</v>
      </c>
      <c r="B555">
        <v>0</v>
      </c>
      <c r="C555">
        <v>0</v>
      </c>
      <c r="D555" s="419">
        <v>25803.68440885692</v>
      </c>
      <c r="E555">
        <v>15</v>
      </c>
      <c r="F555">
        <v>14</v>
      </c>
    </row>
    <row r="558" spans="1:6" x14ac:dyDescent="0.2">
      <c r="A558" s="934" t="s">
        <v>4501</v>
      </c>
      <c r="B558" s="934" t="s">
        <v>4703</v>
      </c>
      <c r="C558" s="934"/>
      <c r="D558" s="934"/>
      <c r="E558" s="934"/>
      <c r="F558" s="934"/>
    </row>
    <row r="559" spans="1:6" x14ac:dyDescent="0.2">
      <c r="A559" s="944">
        <v>43</v>
      </c>
      <c r="B559" s="116" t="s">
        <v>4598</v>
      </c>
      <c r="C559" s="116" t="s">
        <v>4599</v>
      </c>
      <c r="D559" s="899" t="s">
        <v>4510</v>
      </c>
      <c r="E559" s="116" t="s">
        <v>4503</v>
      </c>
      <c r="F559" s="116" t="s">
        <v>4504</v>
      </c>
    </row>
    <row r="560" spans="1:6" x14ac:dyDescent="0.2">
      <c r="A560" s="3" t="s">
        <v>4704</v>
      </c>
      <c r="B560">
        <v>0</v>
      </c>
      <c r="C560">
        <v>2</v>
      </c>
      <c r="D560" s="419">
        <v>1917.9132555761435</v>
      </c>
      <c r="E560">
        <v>15</v>
      </c>
      <c r="F560">
        <v>14</v>
      </c>
    </row>
    <row r="561" spans="1:6" x14ac:dyDescent="0.2">
      <c r="A561" s="3"/>
      <c r="B561">
        <v>2.1</v>
      </c>
      <c r="C561">
        <v>3</v>
      </c>
      <c r="D561" s="419">
        <v>2012.2775307939435</v>
      </c>
      <c r="E561">
        <v>15</v>
      </c>
      <c r="F561">
        <v>14</v>
      </c>
    </row>
    <row r="562" spans="1:6" x14ac:dyDescent="0.2">
      <c r="A562" s="3"/>
      <c r="B562">
        <v>3.1</v>
      </c>
      <c r="C562">
        <v>6</v>
      </c>
      <c r="D562" s="419">
        <v>3229.2703536375971</v>
      </c>
      <c r="E562">
        <v>15</v>
      </c>
      <c r="F562">
        <v>14</v>
      </c>
    </row>
    <row r="563" spans="1:6" x14ac:dyDescent="0.2">
      <c r="A563" s="3"/>
      <c r="B563">
        <v>6.1</v>
      </c>
      <c r="C563">
        <v>12</v>
      </c>
      <c r="D563" s="419">
        <v>5131.3008277058216</v>
      </c>
      <c r="E563">
        <v>15</v>
      </c>
      <c r="F563">
        <v>14</v>
      </c>
    </row>
    <row r="564" spans="1:6" x14ac:dyDescent="0.2">
      <c r="A564" s="3"/>
      <c r="B564">
        <v>12.1</v>
      </c>
      <c r="C564">
        <v>16</v>
      </c>
      <c r="D564" s="419">
        <v>6932.5703263810165</v>
      </c>
      <c r="E564">
        <v>15</v>
      </c>
      <c r="F564">
        <v>14</v>
      </c>
    </row>
    <row r="565" spans="1:6" x14ac:dyDescent="0.2">
      <c r="A565" s="3"/>
      <c r="B565">
        <v>16.100000000000001</v>
      </c>
      <c r="C565">
        <v>24</v>
      </c>
      <c r="D565" s="419">
        <v>6272.4431261963609</v>
      </c>
      <c r="E565">
        <v>15</v>
      </c>
      <c r="F565">
        <v>14</v>
      </c>
    </row>
    <row r="566" spans="1:6" x14ac:dyDescent="0.2">
      <c r="A566" s="3"/>
      <c r="B566">
        <v>48.1</v>
      </c>
      <c r="C566">
        <v>60</v>
      </c>
      <c r="D566" s="419">
        <v>25150.900552878997</v>
      </c>
      <c r="E566">
        <v>15</v>
      </c>
      <c r="F566">
        <v>14</v>
      </c>
    </row>
    <row r="567" spans="1:6" x14ac:dyDescent="0.2">
      <c r="A567" s="3"/>
      <c r="B567">
        <v>60.1</v>
      </c>
      <c r="C567" t="s">
        <v>687</v>
      </c>
      <c r="D567" s="419" t="s">
        <v>687</v>
      </c>
      <c r="E567">
        <v>15</v>
      </c>
      <c r="F567">
        <v>14</v>
      </c>
    </row>
    <row r="570" spans="1:6" x14ac:dyDescent="0.2">
      <c r="A570" s="934" t="s">
        <v>4705</v>
      </c>
      <c r="B570" s="934" t="s">
        <v>4706</v>
      </c>
      <c r="C570" s="934"/>
      <c r="D570" s="934"/>
      <c r="E570" s="934"/>
      <c r="F570" s="934"/>
    </row>
    <row r="571" spans="1:6" x14ac:dyDescent="0.2">
      <c r="A571" s="944">
        <v>42</v>
      </c>
      <c r="B571" s="116"/>
      <c r="C571" s="116"/>
      <c r="D571" s="899" t="s">
        <v>4510</v>
      </c>
      <c r="E571" s="116" t="s">
        <v>4503</v>
      </c>
      <c r="F571" s="116" t="s">
        <v>4504</v>
      </c>
    </row>
    <row r="572" spans="1:6" x14ac:dyDescent="0.2">
      <c r="A572" s="3" t="s">
        <v>4707</v>
      </c>
      <c r="B572">
        <v>0</v>
      </c>
      <c r="C572">
        <v>0</v>
      </c>
      <c r="D572" s="419">
        <v>40.5</v>
      </c>
      <c r="E572">
        <v>10</v>
      </c>
      <c r="F572">
        <v>8</v>
      </c>
    </row>
    <row r="575" spans="1:6" x14ac:dyDescent="0.2">
      <c r="A575" s="934" t="s">
        <v>4708</v>
      </c>
      <c r="B575" s="934" t="s">
        <v>4709</v>
      </c>
      <c r="C575" s="934"/>
      <c r="D575" s="934"/>
      <c r="E575" s="934"/>
      <c r="F575" s="934"/>
    </row>
    <row r="576" spans="1:6" x14ac:dyDescent="0.2">
      <c r="A576" s="944">
        <v>37</v>
      </c>
      <c r="B576" s="116"/>
      <c r="C576" s="116"/>
      <c r="D576" s="899" t="s">
        <v>4510</v>
      </c>
      <c r="E576" s="116" t="s">
        <v>4503</v>
      </c>
      <c r="F576" s="116" t="s">
        <v>4504</v>
      </c>
    </row>
    <row r="577" spans="1:6" x14ac:dyDescent="0.2">
      <c r="A577" s="3" t="s">
        <v>4710</v>
      </c>
      <c r="B577">
        <v>0</v>
      </c>
      <c r="C577">
        <v>0</v>
      </c>
      <c r="D577" s="419">
        <v>1325.79</v>
      </c>
      <c r="E577">
        <v>10</v>
      </c>
      <c r="F577">
        <v>8</v>
      </c>
    </row>
    <row r="580" spans="1:6" x14ac:dyDescent="0.2">
      <c r="A580" s="934" t="s">
        <v>4711</v>
      </c>
      <c r="B580" s="934" t="s">
        <v>4712</v>
      </c>
      <c r="C580" s="934"/>
      <c r="D580" s="934"/>
      <c r="E580" s="934"/>
      <c r="F580" s="934"/>
    </row>
    <row r="581" spans="1:6" x14ac:dyDescent="0.2">
      <c r="A581" s="944">
        <v>33</v>
      </c>
      <c r="B581" s="116" t="s">
        <v>4713</v>
      </c>
      <c r="C581" s="116" t="s">
        <v>4714</v>
      </c>
      <c r="D581" s="899" t="s">
        <v>4510</v>
      </c>
      <c r="E581" s="116" t="s">
        <v>4503</v>
      </c>
      <c r="F581" s="116" t="s">
        <v>4504</v>
      </c>
    </row>
    <row r="582" spans="1:6" x14ac:dyDescent="0.2">
      <c r="A582" s="3" t="s">
        <v>4715</v>
      </c>
      <c r="B582">
        <v>0</v>
      </c>
      <c r="C582">
        <v>40</v>
      </c>
      <c r="D582" s="419">
        <v>11819.011094724414</v>
      </c>
      <c r="E582">
        <v>25</v>
      </c>
      <c r="F582">
        <v>20</v>
      </c>
    </row>
    <row r="583" spans="1:6" x14ac:dyDescent="0.2">
      <c r="A583" s="3"/>
      <c r="B583">
        <v>41</v>
      </c>
      <c r="C583">
        <v>50</v>
      </c>
      <c r="D583" s="419">
        <v>19549.880379099992</v>
      </c>
      <c r="E583">
        <v>25</v>
      </c>
      <c r="F583">
        <v>20</v>
      </c>
    </row>
    <row r="584" spans="1:6" x14ac:dyDescent="0.2">
      <c r="A584" s="3"/>
      <c r="B584">
        <v>51</v>
      </c>
      <c r="C584">
        <v>70</v>
      </c>
      <c r="D584" s="419">
        <v>12020.535105142055</v>
      </c>
      <c r="E584">
        <v>25</v>
      </c>
      <c r="F584">
        <v>20</v>
      </c>
    </row>
    <row r="585" spans="1:6" x14ac:dyDescent="0.2">
      <c r="A585" s="3"/>
      <c r="B585">
        <v>71</v>
      </c>
      <c r="C585">
        <v>135</v>
      </c>
      <c r="D585" s="419">
        <v>20040.334255400758</v>
      </c>
      <c r="E585">
        <v>25</v>
      </c>
      <c r="F585">
        <v>20</v>
      </c>
    </row>
    <row r="586" spans="1:6" x14ac:dyDescent="0.2">
      <c r="A586" s="3"/>
      <c r="B586">
        <v>136</v>
      </c>
      <c r="C586">
        <v>250</v>
      </c>
      <c r="D586" s="419">
        <v>18510.94773980886</v>
      </c>
      <c r="E586">
        <v>25</v>
      </c>
      <c r="F586">
        <v>20</v>
      </c>
    </row>
    <row r="587" spans="1:6" x14ac:dyDescent="0.2">
      <c r="A587" s="3"/>
      <c r="B587">
        <v>251</v>
      </c>
      <c r="C587">
        <v>280</v>
      </c>
      <c r="D587" s="419">
        <v>14240.9850689179</v>
      </c>
      <c r="E587">
        <v>25</v>
      </c>
      <c r="F587">
        <v>20</v>
      </c>
    </row>
    <row r="588" spans="1:6" x14ac:dyDescent="0.2">
      <c r="A588" s="3"/>
      <c r="B588">
        <v>281</v>
      </c>
      <c r="C588">
        <v>400</v>
      </c>
      <c r="D588" s="419">
        <v>29096.748194595144</v>
      </c>
      <c r="E588">
        <v>25</v>
      </c>
      <c r="F588">
        <v>20</v>
      </c>
    </row>
    <row r="589" spans="1:6" x14ac:dyDescent="0.2">
      <c r="A589" s="3"/>
      <c r="B589">
        <v>401</v>
      </c>
      <c r="C589">
        <v>500</v>
      </c>
      <c r="D589" s="419">
        <v>33574.029433749412</v>
      </c>
      <c r="E589">
        <v>25</v>
      </c>
      <c r="F589">
        <v>20</v>
      </c>
    </row>
    <row r="590" spans="1:6" x14ac:dyDescent="0.2">
      <c r="A590" s="3"/>
      <c r="B590">
        <v>501</v>
      </c>
      <c r="C590">
        <v>3000</v>
      </c>
      <c r="D590" s="419">
        <v>103986.0495722809</v>
      </c>
      <c r="E590">
        <v>25</v>
      </c>
      <c r="F590">
        <v>20</v>
      </c>
    </row>
    <row r="591" spans="1:6" x14ac:dyDescent="0.2">
      <c r="A591" s="3"/>
      <c r="B591">
        <v>3001</v>
      </c>
      <c r="C591">
        <v>5000</v>
      </c>
      <c r="D591" s="419">
        <v>122001.26860563346</v>
      </c>
      <c r="E591">
        <v>25</v>
      </c>
      <c r="F591">
        <v>20</v>
      </c>
    </row>
    <row r="592" spans="1:6" x14ac:dyDescent="0.2">
      <c r="A592" s="3"/>
      <c r="B592">
        <v>5001</v>
      </c>
      <c r="C592" t="s">
        <v>687</v>
      </c>
      <c r="D592" s="419" t="s">
        <v>687</v>
      </c>
      <c r="E592">
        <v>25</v>
      </c>
      <c r="F592">
        <v>20</v>
      </c>
    </row>
    <row r="595" spans="1:6" x14ac:dyDescent="0.2">
      <c r="A595" s="934" t="s">
        <v>4501</v>
      </c>
      <c r="B595" s="934" t="s">
        <v>4716</v>
      </c>
      <c r="C595" s="934"/>
      <c r="D595" s="934"/>
      <c r="E595" s="934"/>
      <c r="F595" s="934"/>
    </row>
    <row r="596" spans="1:6" x14ac:dyDescent="0.2">
      <c r="A596" s="944">
        <v>43</v>
      </c>
      <c r="B596" s="116"/>
      <c r="C596" s="116"/>
      <c r="D596" s="899" t="s">
        <v>4510</v>
      </c>
      <c r="E596" s="116" t="s">
        <v>4503</v>
      </c>
      <c r="F596" s="116" t="s">
        <v>4504</v>
      </c>
    </row>
    <row r="597" spans="1:6" x14ac:dyDescent="0.2">
      <c r="A597" s="3" t="s">
        <v>4717</v>
      </c>
      <c r="B597">
        <v>0</v>
      </c>
      <c r="C597">
        <v>0</v>
      </c>
      <c r="D597" s="419">
        <v>3047.1155477538618</v>
      </c>
      <c r="E597">
        <v>15</v>
      </c>
      <c r="F597">
        <v>14</v>
      </c>
    </row>
    <row r="600" spans="1:6" x14ac:dyDescent="0.2">
      <c r="A600" s="3" t="s">
        <v>4526</v>
      </c>
      <c r="B600">
        <v>0</v>
      </c>
      <c r="C600">
        <v>0</v>
      </c>
      <c r="D600" s="772">
        <v>64</v>
      </c>
      <c r="E600" t="s">
        <v>4514</v>
      </c>
      <c r="F600" t="s">
        <v>4514</v>
      </c>
    </row>
    <row r="601" spans="1:6" x14ac:dyDescent="0.2">
      <c r="A601" s="3"/>
      <c r="B601" t="s">
        <v>4718</v>
      </c>
      <c r="D601" t="s">
        <v>4513</v>
      </c>
      <c r="E601" t="s">
        <v>4503</v>
      </c>
      <c r="F601" t="s">
        <v>4504</v>
      </c>
    </row>
    <row r="602" spans="1:6" x14ac:dyDescent="0.2">
      <c r="A602" s="113" t="s">
        <v>4719</v>
      </c>
      <c r="B602" s="116">
        <v>0</v>
      </c>
      <c r="C602" s="116">
        <v>0</v>
      </c>
      <c r="D602" s="950">
        <v>284.5</v>
      </c>
      <c r="E602" s="116" t="s">
        <v>4514</v>
      </c>
      <c r="F602" s="116" t="s">
        <v>4514</v>
      </c>
    </row>
    <row r="605" spans="1:6" x14ac:dyDescent="0.2">
      <c r="A605" s="934" t="s">
        <v>4644</v>
      </c>
      <c r="B605" s="934" t="s">
        <v>4720</v>
      </c>
      <c r="C605" s="934"/>
      <c r="D605" s="934"/>
      <c r="E605" s="934"/>
      <c r="F605" s="934"/>
    </row>
    <row r="606" spans="1:6" x14ac:dyDescent="0.2">
      <c r="A606" s="944">
        <v>16</v>
      </c>
      <c r="B606" s="952" t="s">
        <v>4652</v>
      </c>
      <c r="C606" s="899" t="s">
        <v>4653</v>
      </c>
      <c r="D606" s="116" t="s">
        <v>4510</v>
      </c>
      <c r="E606" s="116" t="s">
        <v>4503</v>
      </c>
      <c r="F606" s="116" t="s">
        <v>4504</v>
      </c>
    </row>
    <row r="607" spans="1:6" x14ac:dyDescent="0.2">
      <c r="A607" s="3" t="s">
        <v>4721</v>
      </c>
      <c r="B607">
        <v>0</v>
      </c>
      <c r="C607">
        <v>60</v>
      </c>
      <c r="D607" s="419">
        <v>648.92857142857144</v>
      </c>
      <c r="E607">
        <v>10</v>
      </c>
      <c r="F607">
        <v>7</v>
      </c>
    </row>
    <row r="608" spans="1:6" x14ac:dyDescent="0.2">
      <c r="A608" s="3"/>
      <c r="B608">
        <v>61</v>
      </c>
      <c r="C608">
        <v>100</v>
      </c>
      <c r="D608" s="419">
        <v>1067.8571428571429</v>
      </c>
      <c r="E608">
        <v>10</v>
      </c>
      <c r="F608">
        <v>7</v>
      </c>
    </row>
    <row r="609" spans="1:6" x14ac:dyDescent="0.2">
      <c r="A609" s="3"/>
      <c r="B609">
        <v>101</v>
      </c>
      <c r="C609">
        <v>120</v>
      </c>
      <c r="D609" s="419">
        <v>745.85714285714289</v>
      </c>
      <c r="E609">
        <v>10</v>
      </c>
      <c r="F609">
        <v>7</v>
      </c>
    </row>
    <row r="610" spans="1:6" x14ac:dyDescent="0.2">
      <c r="A610" s="3"/>
      <c r="B610">
        <v>121</v>
      </c>
      <c r="C610">
        <v>155</v>
      </c>
      <c r="D610" s="419">
        <v>821.42857142857133</v>
      </c>
      <c r="E610">
        <v>10</v>
      </c>
      <c r="F610">
        <v>7</v>
      </c>
    </row>
    <row r="611" spans="1:6" x14ac:dyDescent="0.2">
      <c r="A611" s="3"/>
      <c r="B611">
        <v>156</v>
      </c>
      <c r="C611">
        <v>200</v>
      </c>
      <c r="D611" s="419">
        <v>903.57142857142856</v>
      </c>
      <c r="E611">
        <v>10</v>
      </c>
      <c r="F611">
        <v>7</v>
      </c>
    </row>
    <row r="612" spans="1:6" x14ac:dyDescent="0.2">
      <c r="A612" s="3"/>
      <c r="B612">
        <v>201</v>
      </c>
      <c r="C612">
        <v>205</v>
      </c>
      <c r="D612" s="419">
        <v>1412.8571428571427</v>
      </c>
      <c r="E612">
        <v>10</v>
      </c>
      <c r="F612">
        <v>7</v>
      </c>
    </row>
    <row r="613" spans="1:6" x14ac:dyDescent="0.2">
      <c r="A613" s="3"/>
      <c r="B613">
        <v>206</v>
      </c>
      <c r="C613">
        <v>295</v>
      </c>
      <c r="D613" s="419">
        <v>1150</v>
      </c>
      <c r="E613">
        <v>10</v>
      </c>
      <c r="F613">
        <v>7</v>
      </c>
    </row>
    <row r="614" spans="1:6" x14ac:dyDescent="0.2">
      <c r="A614" s="3"/>
      <c r="B614">
        <v>296</v>
      </c>
      <c r="C614">
        <v>300</v>
      </c>
      <c r="D614" s="419">
        <v>1288</v>
      </c>
      <c r="E614">
        <v>10</v>
      </c>
      <c r="F614">
        <v>7</v>
      </c>
    </row>
    <row r="615" spans="1:6" x14ac:dyDescent="0.2">
      <c r="A615" s="3"/>
      <c r="B615">
        <v>301</v>
      </c>
      <c r="C615">
        <v>540</v>
      </c>
      <c r="D615" s="419">
        <v>1827.6785714285716</v>
      </c>
      <c r="E615">
        <v>10</v>
      </c>
      <c r="F615">
        <v>7</v>
      </c>
    </row>
    <row r="616" spans="1:6" x14ac:dyDescent="0.2">
      <c r="A616" s="3"/>
      <c r="B616">
        <v>541</v>
      </c>
      <c r="C616">
        <v>550</v>
      </c>
      <c r="D616" s="419">
        <v>1339.5735294117649</v>
      </c>
      <c r="E616">
        <v>10</v>
      </c>
      <c r="F616">
        <v>7</v>
      </c>
    </row>
    <row r="617" spans="1:6" x14ac:dyDescent="0.2">
      <c r="A617" s="3"/>
      <c r="B617">
        <v>551</v>
      </c>
      <c r="C617">
        <v>850</v>
      </c>
      <c r="D617" s="419">
        <v>1913.6764705882354</v>
      </c>
      <c r="E617">
        <v>10</v>
      </c>
      <c r="F617">
        <v>7</v>
      </c>
    </row>
    <row r="618" spans="1:6" x14ac:dyDescent="0.2">
      <c r="A618" s="3"/>
      <c r="B618">
        <v>851</v>
      </c>
      <c r="C618">
        <v>1000</v>
      </c>
      <c r="D618" s="419">
        <v>1653.4642857142858</v>
      </c>
      <c r="E618">
        <v>10</v>
      </c>
      <c r="F618">
        <v>7</v>
      </c>
    </row>
    <row r="619" spans="1:6" x14ac:dyDescent="0.2">
      <c r="A619" s="3"/>
      <c r="B619">
        <v>1001</v>
      </c>
      <c r="C619">
        <v>1050</v>
      </c>
      <c r="D619" s="419">
        <v>3015</v>
      </c>
      <c r="E619">
        <v>10</v>
      </c>
      <c r="F619">
        <v>7</v>
      </c>
    </row>
    <row r="620" spans="1:6" x14ac:dyDescent="0.2">
      <c r="A620" s="3"/>
      <c r="B620">
        <v>1051</v>
      </c>
      <c r="C620">
        <v>1200</v>
      </c>
      <c r="D620" s="419">
        <v>2413.1964285714284</v>
      </c>
      <c r="E620">
        <v>10</v>
      </c>
      <c r="F620">
        <v>7</v>
      </c>
    </row>
    <row r="621" spans="1:6" x14ac:dyDescent="0.2">
      <c r="A621" s="3"/>
      <c r="B621">
        <v>1201</v>
      </c>
      <c r="C621">
        <v>1450</v>
      </c>
      <c r="D621" s="419">
        <v>1917.875</v>
      </c>
      <c r="E621">
        <v>10</v>
      </c>
      <c r="F621">
        <v>7</v>
      </c>
    </row>
    <row r="622" spans="1:6" x14ac:dyDescent="0.2">
      <c r="A622" s="3"/>
      <c r="B622">
        <v>1451</v>
      </c>
      <c r="C622">
        <v>1500</v>
      </c>
      <c r="D622" s="419">
        <v>3619.2413793103447</v>
      </c>
      <c r="E622">
        <v>10</v>
      </c>
      <c r="F622">
        <v>7</v>
      </c>
    </row>
    <row r="623" spans="1:6" x14ac:dyDescent="0.2">
      <c r="A623" s="3"/>
      <c r="B623">
        <v>1501</v>
      </c>
      <c r="C623">
        <v>2000</v>
      </c>
      <c r="D623" s="419">
        <v>4125.1886304909558</v>
      </c>
      <c r="E623">
        <v>10</v>
      </c>
      <c r="F623">
        <v>7</v>
      </c>
    </row>
    <row r="624" spans="1:6" x14ac:dyDescent="0.2">
      <c r="A624" s="3"/>
      <c r="B624">
        <v>2001</v>
      </c>
      <c r="C624">
        <v>2450</v>
      </c>
      <c r="D624" s="419">
        <v>3836.3617571059431</v>
      </c>
      <c r="E624">
        <v>10</v>
      </c>
      <c r="F624">
        <v>7</v>
      </c>
    </row>
    <row r="625" spans="1:6" x14ac:dyDescent="0.2">
      <c r="A625" s="3"/>
      <c r="B625">
        <v>2451</v>
      </c>
      <c r="C625">
        <v>2500</v>
      </c>
      <c r="D625" s="419">
        <v>5598.2635658914724</v>
      </c>
      <c r="E625">
        <v>10</v>
      </c>
      <c r="F625">
        <v>7</v>
      </c>
    </row>
    <row r="626" spans="1:6" x14ac:dyDescent="0.2">
      <c r="A626" s="3"/>
      <c r="B626">
        <v>2501</v>
      </c>
      <c r="C626">
        <v>2550</v>
      </c>
      <c r="D626" s="419">
        <v>7703.9793281653738</v>
      </c>
      <c r="E626">
        <v>10</v>
      </c>
      <c r="F626">
        <v>7</v>
      </c>
    </row>
    <row r="627" spans="1:6" x14ac:dyDescent="0.2">
      <c r="A627" s="3"/>
      <c r="B627">
        <v>2551</v>
      </c>
      <c r="C627">
        <v>3000</v>
      </c>
      <c r="D627" s="419">
        <v>5615.0490956072354</v>
      </c>
      <c r="E627">
        <v>10</v>
      </c>
      <c r="F627">
        <v>7</v>
      </c>
    </row>
    <row r="628" spans="1:6" x14ac:dyDescent="0.2">
      <c r="A628" s="3"/>
      <c r="B628">
        <v>3001</v>
      </c>
      <c r="C628">
        <v>4200</v>
      </c>
      <c r="D628" s="419">
        <v>8250.3772609819116</v>
      </c>
      <c r="E628">
        <v>10</v>
      </c>
      <c r="F628">
        <v>7</v>
      </c>
    </row>
    <row r="629" spans="1:6" x14ac:dyDescent="0.2">
      <c r="A629" s="3"/>
      <c r="B629">
        <v>4201</v>
      </c>
      <c r="C629">
        <v>5200</v>
      </c>
      <c r="D629" s="419">
        <v>11687.261780104711</v>
      </c>
      <c r="E629">
        <v>10</v>
      </c>
      <c r="F629">
        <v>7</v>
      </c>
    </row>
    <row r="630" spans="1:6" x14ac:dyDescent="0.2">
      <c r="A630" s="3"/>
      <c r="B630">
        <v>5201</v>
      </c>
      <c r="C630">
        <v>5300</v>
      </c>
      <c r="D630" s="419">
        <v>13787.82722513089</v>
      </c>
      <c r="E630">
        <v>10</v>
      </c>
      <c r="F630">
        <v>7</v>
      </c>
    </row>
    <row r="631" spans="1:6" x14ac:dyDescent="0.2">
      <c r="A631" s="3"/>
      <c r="B631">
        <v>5301</v>
      </c>
      <c r="C631">
        <v>6500</v>
      </c>
      <c r="D631" s="419">
        <v>14716.570680628272</v>
      </c>
      <c r="E631">
        <v>10</v>
      </c>
      <c r="F631">
        <v>7</v>
      </c>
    </row>
    <row r="632" spans="1:6" x14ac:dyDescent="0.2">
      <c r="A632" s="3"/>
      <c r="B632">
        <v>6501</v>
      </c>
      <c r="C632">
        <v>6600</v>
      </c>
      <c r="D632" s="419">
        <v>17680.523560209422</v>
      </c>
      <c r="E632">
        <v>10</v>
      </c>
      <c r="F632">
        <v>7</v>
      </c>
    </row>
    <row r="633" spans="1:6" x14ac:dyDescent="0.2">
      <c r="A633" s="3"/>
      <c r="B633">
        <v>6601</v>
      </c>
      <c r="C633" t="s">
        <v>687</v>
      </c>
      <c r="D633" s="419" t="s">
        <v>687</v>
      </c>
      <c r="E633">
        <v>10</v>
      </c>
      <c r="F633">
        <v>7</v>
      </c>
    </row>
    <row r="636" spans="1:6" x14ac:dyDescent="0.2">
      <c r="A636" s="934" t="s">
        <v>4520</v>
      </c>
      <c r="B636" s="934" t="s">
        <v>4722</v>
      </c>
      <c r="C636" s="934"/>
      <c r="D636" s="934"/>
      <c r="E636" s="934"/>
      <c r="F636" s="934"/>
    </row>
    <row r="637" spans="1:6" x14ac:dyDescent="0.2">
      <c r="A637" s="944">
        <v>29</v>
      </c>
      <c r="B637" s="116" t="s">
        <v>4598</v>
      </c>
      <c r="C637" s="116" t="s">
        <v>4599</v>
      </c>
      <c r="D637" s="899" t="s">
        <v>4510</v>
      </c>
      <c r="E637" s="116" t="s">
        <v>4503</v>
      </c>
      <c r="F637" s="116" t="s">
        <v>4504</v>
      </c>
    </row>
    <row r="638" spans="1:6" x14ac:dyDescent="0.2">
      <c r="A638" s="3" t="s">
        <v>4723</v>
      </c>
      <c r="B638">
        <v>0</v>
      </c>
      <c r="C638">
        <v>0.5</v>
      </c>
      <c r="D638" s="419">
        <v>381.38052840909091</v>
      </c>
      <c r="E638">
        <v>25</v>
      </c>
      <c r="F638">
        <v>22</v>
      </c>
    </row>
    <row r="639" spans="1:6" x14ac:dyDescent="0.2">
      <c r="A639" s="3"/>
      <c r="B639">
        <v>0.6</v>
      </c>
      <c r="C639">
        <v>0.75</v>
      </c>
      <c r="D639" s="419">
        <v>476.07522959183672</v>
      </c>
      <c r="E639">
        <v>25</v>
      </c>
      <c r="F639">
        <v>22</v>
      </c>
    </row>
    <row r="640" spans="1:6" x14ac:dyDescent="0.2">
      <c r="A640" s="57"/>
      <c r="B640">
        <v>0.85</v>
      </c>
      <c r="C640">
        <v>1</v>
      </c>
      <c r="D640" s="419">
        <v>502.01873035230352</v>
      </c>
      <c r="E640">
        <v>25</v>
      </c>
      <c r="F640">
        <v>22</v>
      </c>
    </row>
    <row r="641" spans="1:6" x14ac:dyDescent="0.2">
      <c r="A641" s="57"/>
      <c r="B641">
        <v>1.1000000000000001</v>
      </c>
      <c r="C641">
        <v>1.5</v>
      </c>
      <c r="D641" s="419">
        <v>549.80072815533981</v>
      </c>
      <c r="E641">
        <v>25</v>
      </c>
      <c r="F641">
        <v>22</v>
      </c>
    </row>
    <row r="642" spans="1:6" x14ac:dyDescent="0.2">
      <c r="A642" s="57"/>
      <c r="B642">
        <v>1.6</v>
      </c>
      <c r="C642">
        <v>2</v>
      </c>
      <c r="D642" s="419">
        <v>607.9558369047619</v>
      </c>
      <c r="E642">
        <v>25</v>
      </c>
      <c r="F642">
        <v>22</v>
      </c>
    </row>
    <row r="643" spans="1:6" x14ac:dyDescent="0.2">
      <c r="A643" s="57"/>
      <c r="B643">
        <v>2.1</v>
      </c>
      <c r="C643">
        <v>3</v>
      </c>
      <c r="D643" s="419">
        <v>975.54205769230771</v>
      </c>
      <c r="E643">
        <v>25</v>
      </c>
      <c r="F643">
        <v>22</v>
      </c>
    </row>
    <row r="644" spans="1:6" x14ac:dyDescent="0.2">
      <c r="A644" s="57"/>
      <c r="B644">
        <v>2.1</v>
      </c>
      <c r="C644">
        <v>4</v>
      </c>
      <c r="D644" s="419">
        <v>1264.9228454545455</v>
      </c>
      <c r="E644">
        <v>25</v>
      </c>
      <c r="F644">
        <v>22</v>
      </c>
    </row>
    <row r="645" spans="1:6" x14ac:dyDescent="0.2">
      <c r="A645" s="57"/>
      <c r="B645">
        <v>4.0999999999999996</v>
      </c>
      <c r="C645">
        <v>6</v>
      </c>
      <c r="D645" s="419">
        <v>1772.9046636363637</v>
      </c>
      <c r="E645">
        <v>25</v>
      </c>
      <c r="F645">
        <v>22</v>
      </c>
    </row>
    <row r="646" spans="1:6" x14ac:dyDescent="0.2">
      <c r="A646" s="57"/>
      <c r="B646">
        <v>6.1</v>
      </c>
      <c r="C646" t="s">
        <v>687</v>
      </c>
      <c r="D646" s="419" t="s">
        <v>687</v>
      </c>
      <c r="E646">
        <v>25</v>
      </c>
      <c r="F646">
        <v>22</v>
      </c>
    </row>
    <row r="649" spans="1:6" x14ac:dyDescent="0.2">
      <c r="A649" s="934" t="s">
        <v>4724</v>
      </c>
      <c r="B649" s="934" t="s">
        <v>4725</v>
      </c>
      <c r="C649" s="934"/>
      <c r="D649" s="934"/>
      <c r="E649" s="934"/>
      <c r="F649" s="934"/>
    </row>
    <row r="650" spans="1:6" x14ac:dyDescent="0.2">
      <c r="A650" s="944">
        <v>36</v>
      </c>
      <c r="B650" s="116"/>
      <c r="C650" s="116"/>
      <c r="D650" s="899" t="s">
        <v>4510</v>
      </c>
      <c r="E650" s="116" t="s">
        <v>4503</v>
      </c>
      <c r="F650" s="116" t="s">
        <v>4504</v>
      </c>
    </row>
    <row r="651" spans="1:6" x14ac:dyDescent="0.2">
      <c r="A651" s="3" t="s">
        <v>4726</v>
      </c>
      <c r="B651">
        <v>0</v>
      </c>
      <c r="C651">
        <v>0</v>
      </c>
      <c r="D651" s="419">
        <v>20680.739999999998</v>
      </c>
      <c r="E651">
        <v>10</v>
      </c>
      <c r="F651">
        <v>8</v>
      </c>
    </row>
    <row r="654" spans="1:6" x14ac:dyDescent="0.2">
      <c r="A654" s="934" t="s">
        <v>4724</v>
      </c>
      <c r="B654" s="934" t="s">
        <v>4727</v>
      </c>
      <c r="C654" s="934"/>
      <c r="D654" s="934"/>
      <c r="E654" s="934"/>
      <c r="F654" s="934"/>
    </row>
    <row r="655" spans="1:6" x14ac:dyDescent="0.2">
      <c r="A655" s="944">
        <v>36</v>
      </c>
      <c r="B655" s="116"/>
      <c r="C655" s="116"/>
      <c r="D655" s="899" t="s">
        <v>4510</v>
      </c>
      <c r="E655" s="116" t="s">
        <v>4503</v>
      </c>
      <c r="F655" s="116" t="s">
        <v>4504</v>
      </c>
    </row>
    <row r="656" spans="1:6" x14ac:dyDescent="0.2">
      <c r="A656" s="3" t="s">
        <v>4728</v>
      </c>
      <c r="B656">
        <v>0</v>
      </c>
      <c r="C656">
        <v>0</v>
      </c>
      <c r="D656" s="419">
        <v>107.74000000000001</v>
      </c>
      <c r="E656">
        <v>10</v>
      </c>
      <c r="F656">
        <v>8</v>
      </c>
    </row>
    <row r="659" spans="1:6" x14ac:dyDescent="0.2">
      <c r="A659" s="934" t="s">
        <v>4705</v>
      </c>
      <c r="B659" s="934" t="s">
        <v>4729</v>
      </c>
      <c r="C659" s="934"/>
      <c r="D659" s="934"/>
      <c r="E659" s="934"/>
      <c r="F659" s="934"/>
    </row>
    <row r="660" spans="1:6" x14ac:dyDescent="0.2">
      <c r="A660" s="944">
        <v>42</v>
      </c>
      <c r="B660" s="116"/>
      <c r="C660" s="116"/>
      <c r="D660" s="899" t="s">
        <v>4510</v>
      </c>
      <c r="E660" s="116" t="s">
        <v>4503</v>
      </c>
      <c r="F660" s="116" t="s">
        <v>4504</v>
      </c>
    </row>
    <row r="661" spans="1:6" x14ac:dyDescent="0.2">
      <c r="A661" s="3" t="s">
        <v>4730</v>
      </c>
      <c r="B661">
        <v>0</v>
      </c>
      <c r="C661">
        <v>0</v>
      </c>
      <c r="D661" s="419">
        <v>142.66999999999999</v>
      </c>
      <c r="E661">
        <v>10</v>
      </c>
      <c r="F661">
        <v>8</v>
      </c>
    </row>
    <row r="664" spans="1:6" x14ac:dyDescent="0.2">
      <c r="A664" s="934" t="s">
        <v>4705</v>
      </c>
      <c r="B664" s="934" t="s">
        <v>4731</v>
      </c>
      <c r="C664" s="934"/>
      <c r="D664" s="934"/>
      <c r="E664" s="934"/>
      <c r="F664" s="934"/>
    </row>
    <row r="665" spans="1:6" x14ac:dyDescent="0.2">
      <c r="A665" s="944">
        <v>42</v>
      </c>
      <c r="B665" s="116"/>
      <c r="C665" s="116"/>
      <c r="D665" s="899" t="s">
        <v>4510</v>
      </c>
      <c r="E665" s="116" t="s">
        <v>4503</v>
      </c>
      <c r="F665" s="116" t="s">
        <v>4504</v>
      </c>
    </row>
    <row r="666" spans="1:6" x14ac:dyDescent="0.2">
      <c r="A666" s="3" t="s">
        <v>4732</v>
      </c>
      <c r="B666">
        <v>0</v>
      </c>
      <c r="C666">
        <v>0</v>
      </c>
      <c r="D666" s="419">
        <v>557.33500000000004</v>
      </c>
      <c r="E666">
        <v>10</v>
      </c>
      <c r="F666">
        <v>8</v>
      </c>
    </row>
    <row r="669" spans="1:6" x14ac:dyDescent="0.2">
      <c r="A669" s="934" t="s">
        <v>4705</v>
      </c>
      <c r="B669" s="934" t="s">
        <v>4733</v>
      </c>
      <c r="C669" s="934"/>
      <c r="D669" s="934"/>
      <c r="E669" s="934"/>
      <c r="F669" s="934"/>
    </row>
    <row r="670" spans="1:6" x14ac:dyDescent="0.2">
      <c r="A670" s="944">
        <v>42</v>
      </c>
      <c r="B670" s="116"/>
      <c r="C670" s="116"/>
      <c r="D670" s="899" t="s">
        <v>4510</v>
      </c>
      <c r="E670" s="116" t="s">
        <v>4503</v>
      </c>
      <c r="F670" s="116" t="s">
        <v>4504</v>
      </c>
    </row>
    <row r="671" spans="1:6" x14ac:dyDescent="0.2">
      <c r="A671" s="3" t="s">
        <v>4734</v>
      </c>
      <c r="B671">
        <v>0</v>
      </c>
      <c r="C671">
        <v>0</v>
      </c>
      <c r="D671" s="419">
        <v>378.8</v>
      </c>
      <c r="E671">
        <v>10</v>
      </c>
      <c r="F671">
        <v>8</v>
      </c>
    </row>
    <row r="674" spans="1:6" x14ac:dyDescent="0.2">
      <c r="A674" s="934" t="s">
        <v>4705</v>
      </c>
      <c r="B674" s="934" t="s">
        <v>4735</v>
      </c>
      <c r="C674" s="934"/>
      <c r="D674" s="934"/>
      <c r="E674" s="934"/>
      <c r="F674" s="934"/>
    </row>
    <row r="675" spans="1:6" x14ac:dyDescent="0.2">
      <c r="A675" s="944">
        <v>42</v>
      </c>
      <c r="B675" s="116"/>
      <c r="C675" s="116"/>
      <c r="D675" s="899" t="s">
        <v>4510</v>
      </c>
      <c r="E675" s="116" t="s">
        <v>4503</v>
      </c>
      <c r="F675" s="116" t="s">
        <v>4504</v>
      </c>
    </row>
    <row r="676" spans="1:6" x14ac:dyDescent="0.2">
      <c r="A676" s="3" t="s">
        <v>4736</v>
      </c>
      <c r="B676">
        <v>0</v>
      </c>
      <c r="C676">
        <v>0</v>
      </c>
      <c r="D676" s="419">
        <v>597.23500000000001</v>
      </c>
      <c r="E676">
        <v>10</v>
      </c>
      <c r="F676">
        <v>8</v>
      </c>
    </row>
    <row r="679" spans="1:6" x14ac:dyDescent="0.2">
      <c r="A679" s="934" t="s">
        <v>4705</v>
      </c>
      <c r="B679" s="934" t="s">
        <v>4737</v>
      </c>
      <c r="C679" s="934"/>
      <c r="D679" s="934"/>
      <c r="E679" s="934"/>
      <c r="F679" s="934"/>
    </row>
    <row r="680" spans="1:6" x14ac:dyDescent="0.2">
      <c r="A680" s="944">
        <v>42</v>
      </c>
      <c r="B680" s="116"/>
      <c r="C680" s="116"/>
      <c r="D680" s="899" t="s">
        <v>4510</v>
      </c>
      <c r="E680" s="116" t="s">
        <v>4503</v>
      </c>
      <c r="F680" s="116" t="s">
        <v>4504</v>
      </c>
    </row>
    <row r="681" spans="1:6" x14ac:dyDescent="0.2">
      <c r="A681" s="3" t="s">
        <v>4738</v>
      </c>
      <c r="B681">
        <v>0</v>
      </c>
      <c r="C681">
        <v>0</v>
      </c>
      <c r="D681" s="419">
        <v>382.68</v>
      </c>
      <c r="E681">
        <v>10</v>
      </c>
      <c r="F681">
        <v>8</v>
      </c>
    </row>
    <row r="684" spans="1:6" x14ac:dyDescent="0.2">
      <c r="A684" s="934" t="s">
        <v>4705</v>
      </c>
      <c r="B684" s="934" t="s">
        <v>4739</v>
      </c>
      <c r="C684" s="934"/>
      <c r="D684" s="934"/>
      <c r="E684" s="934"/>
      <c r="F684" s="934"/>
    </row>
    <row r="685" spans="1:6" x14ac:dyDescent="0.2">
      <c r="A685" s="944">
        <v>42</v>
      </c>
      <c r="B685" s="116"/>
      <c r="C685" s="116"/>
      <c r="D685" s="899" t="s">
        <v>4510</v>
      </c>
      <c r="E685" s="116" t="s">
        <v>4503</v>
      </c>
      <c r="F685" s="116" t="s">
        <v>4504</v>
      </c>
    </row>
    <row r="686" spans="1:6" x14ac:dyDescent="0.2">
      <c r="A686" s="3" t="s">
        <v>4740</v>
      </c>
      <c r="B686">
        <v>0</v>
      </c>
      <c r="C686">
        <v>0</v>
      </c>
      <c r="D686" s="419">
        <v>340.42500000000001</v>
      </c>
      <c r="E686">
        <v>10</v>
      </c>
      <c r="F686">
        <v>8</v>
      </c>
    </row>
    <row r="689" spans="1:6" x14ac:dyDescent="0.2">
      <c r="A689" s="934" t="s">
        <v>4705</v>
      </c>
      <c r="B689" s="934" t="s">
        <v>4741</v>
      </c>
      <c r="C689" s="934"/>
      <c r="D689" s="934"/>
      <c r="E689" s="934"/>
      <c r="F689" s="934"/>
    </row>
    <row r="690" spans="1:6" x14ac:dyDescent="0.2">
      <c r="A690" s="944">
        <v>42</v>
      </c>
      <c r="B690" s="116"/>
      <c r="C690" s="116"/>
      <c r="D690" s="899" t="s">
        <v>4510</v>
      </c>
      <c r="E690" s="116" t="s">
        <v>4503</v>
      </c>
      <c r="F690" s="116" t="s">
        <v>4504</v>
      </c>
    </row>
    <row r="691" spans="1:6" x14ac:dyDescent="0.2">
      <c r="A691" s="3" t="s">
        <v>4742</v>
      </c>
      <c r="B691">
        <v>0</v>
      </c>
      <c r="C691">
        <v>0</v>
      </c>
      <c r="D691" s="419">
        <v>1342.2349999999999</v>
      </c>
      <c r="E691">
        <v>10</v>
      </c>
      <c r="F691">
        <v>8</v>
      </c>
    </row>
    <row r="694" spans="1:6" x14ac:dyDescent="0.2">
      <c r="A694" s="934" t="s">
        <v>4724</v>
      </c>
      <c r="B694" s="934" t="s">
        <v>4743</v>
      </c>
      <c r="C694" s="934"/>
      <c r="D694" s="934"/>
      <c r="E694" s="934"/>
      <c r="F694" s="934"/>
    </row>
    <row r="695" spans="1:6" x14ac:dyDescent="0.2">
      <c r="A695" s="944">
        <v>36</v>
      </c>
      <c r="B695" s="116" t="s">
        <v>3383</v>
      </c>
      <c r="C695" s="116"/>
      <c r="D695" s="899" t="s">
        <v>4510</v>
      </c>
      <c r="E695" s="116" t="s">
        <v>4503</v>
      </c>
      <c r="F695" s="116" t="s">
        <v>4504</v>
      </c>
    </row>
    <row r="696" spans="1:6" x14ac:dyDescent="0.2">
      <c r="A696" s="3" t="s">
        <v>4746</v>
      </c>
      <c r="B696" t="s">
        <v>4744</v>
      </c>
      <c r="C696" t="s">
        <v>4744</v>
      </c>
      <c r="D696" s="419">
        <v>1828.625</v>
      </c>
      <c r="E696">
        <v>10</v>
      </c>
      <c r="F696">
        <v>8</v>
      </c>
    </row>
    <row r="697" spans="1:6" x14ac:dyDescent="0.2">
      <c r="A697" s="3"/>
      <c r="B697" t="s">
        <v>4745</v>
      </c>
      <c r="C697" t="s">
        <v>4745</v>
      </c>
      <c r="D697" s="419">
        <v>616.5</v>
      </c>
      <c r="E697">
        <v>10</v>
      </c>
      <c r="F697">
        <v>8</v>
      </c>
    </row>
    <row r="700" spans="1:6" x14ac:dyDescent="0.2">
      <c r="A700" s="934" t="s">
        <v>4724</v>
      </c>
      <c r="B700" s="934" t="s">
        <v>4747</v>
      </c>
      <c r="C700" s="934"/>
      <c r="D700" s="934"/>
      <c r="E700" s="934"/>
      <c r="F700" s="934"/>
    </row>
    <row r="701" spans="1:6" x14ac:dyDescent="0.2">
      <c r="A701" s="944">
        <v>36</v>
      </c>
      <c r="B701" s="116"/>
      <c r="C701" s="116"/>
      <c r="D701" s="899" t="s">
        <v>4510</v>
      </c>
      <c r="E701" s="116" t="s">
        <v>4503</v>
      </c>
      <c r="F701" s="116" t="s">
        <v>4504</v>
      </c>
    </row>
    <row r="702" spans="1:6" x14ac:dyDescent="0.2">
      <c r="A702" s="3" t="s">
        <v>4748</v>
      </c>
      <c r="B702">
        <v>0</v>
      </c>
      <c r="C702">
        <v>0</v>
      </c>
      <c r="D702" s="419">
        <v>355.56</v>
      </c>
      <c r="E702">
        <v>10</v>
      </c>
      <c r="F702">
        <v>8</v>
      </c>
    </row>
    <row r="705" spans="1:6" x14ac:dyDescent="0.2">
      <c r="A705" s="934" t="s">
        <v>4705</v>
      </c>
      <c r="B705" s="934" t="s">
        <v>4749</v>
      </c>
      <c r="C705" s="934"/>
      <c r="D705" s="934"/>
      <c r="E705" s="934"/>
      <c r="F705" s="934"/>
    </row>
    <row r="706" spans="1:6" x14ac:dyDescent="0.2">
      <c r="A706" s="944">
        <v>42</v>
      </c>
      <c r="B706" s="116"/>
      <c r="C706" s="116"/>
      <c r="D706" s="899" t="s">
        <v>4510</v>
      </c>
      <c r="E706" s="116" t="s">
        <v>4503</v>
      </c>
      <c r="F706" s="116" t="s">
        <v>4504</v>
      </c>
    </row>
    <row r="707" spans="1:6" x14ac:dyDescent="0.2">
      <c r="A707" s="3" t="s">
        <v>4750</v>
      </c>
      <c r="B707">
        <v>0</v>
      </c>
      <c r="C707">
        <v>0</v>
      </c>
      <c r="D707" s="419">
        <v>553.5</v>
      </c>
      <c r="E707">
        <v>10</v>
      </c>
      <c r="F707">
        <v>8</v>
      </c>
    </row>
    <row r="710" spans="1:6" x14ac:dyDescent="0.2">
      <c r="A710" s="934" t="s">
        <v>4520</v>
      </c>
      <c r="B710" s="934" t="s">
        <v>4751</v>
      </c>
      <c r="C710" s="934"/>
      <c r="D710" s="934"/>
      <c r="E710" s="934"/>
      <c r="F710" s="934"/>
    </row>
    <row r="711" spans="1:6" x14ac:dyDescent="0.2">
      <c r="A711" s="944">
        <v>29</v>
      </c>
      <c r="B711" s="116" t="s">
        <v>4672</v>
      </c>
      <c r="C711" s="116" t="s">
        <v>4699</v>
      </c>
      <c r="D711" s="899" t="s">
        <v>4510</v>
      </c>
      <c r="E711" s="116" t="s">
        <v>4503</v>
      </c>
      <c r="F711" s="116" t="s">
        <v>4504</v>
      </c>
    </row>
    <row r="712" spans="1:6" x14ac:dyDescent="0.2">
      <c r="A712" s="3" t="s">
        <v>4752</v>
      </c>
      <c r="B712">
        <v>0</v>
      </c>
      <c r="C712">
        <v>1</v>
      </c>
      <c r="D712" s="419">
        <v>2673.5819322709162</v>
      </c>
      <c r="E712">
        <v>25</v>
      </c>
      <c r="F712">
        <v>20</v>
      </c>
    </row>
    <row r="713" spans="1:6" x14ac:dyDescent="0.2">
      <c r="A713" s="3"/>
      <c r="B713">
        <v>1.1000000000000001</v>
      </c>
      <c r="C713" t="s">
        <v>687</v>
      </c>
      <c r="D713" s="419" t="s">
        <v>687</v>
      </c>
      <c r="E713">
        <v>25</v>
      </c>
      <c r="F713">
        <v>20</v>
      </c>
    </row>
    <row r="716" spans="1:6" x14ac:dyDescent="0.2">
      <c r="A716" s="934" t="s">
        <v>4596</v>
      </c>
      <c r="B716" s="934" t="s">
        <v>4753</v>
      </c>
      <c r="C716" s="934"/>
      <c r="D716" s="934"/>
      <c r="E716" s="934"/>
      <c r="F716" s="934"/>
    </row>
    <row r="717" spans="1:6" x14ac:dyDescent="0.2">
      <c r="A717" s="944">
        <v>35</v>
      </c>
      <c r="B717" s="116" t="s">
        <v>4598</v>
      </c>
      <c r="C717" s="116" t="s">
        <v>4599</v>
      </c>
      <c r="D717" s="899" t="s">
        <v>4510</v>
      </c>
      <c r="E717" s="116" t="s">
        <v>4503</v>
      </c>
      <c r="F717" s="116" t="s">
        <v>4504</v>
      </c>
    </row>
    <row r="718" spans="1:6" x14ac:dyDescent="0.2">
      <c r="A718" s="3" t="s">
        <v>4754</v>
      </c>
      <c r="B718">
        <v>0</v>
      </c>
      <c r="C718">
        <v>0.5</v>
      </c>
      <c r="D718" s="419">
        <v>86</v>
      </c>
      <c r="E718">
        <v>25</v>
      </c>
      <c r="F718">
        <v>20</v>
      </c>
    </row>
    <row r="719" spans="1:6" x14ac:dyDescent="0.2">
      <c r="A719" s="3"/>
      <c r="B719">
        <v>0.6</v>
      </c>
      <c r="C719">
        <v>0.75</v>
      </c>
      <c r="D719" s="419">
        <v>94</v>
      </c>
      <c r="E719">
        <v>25</v>
      </c>
      <c r="F719">
        <v>20</v>
      </c>
    </row>
    <row r="720" spans="1:6" x14ac:dyDescent="0.2">
      <c r="A720" s="3"/>
      <c r="B720">
        <v>0.76</v>
      </c>
      <c r="C720">
        <v>1</v>
      </c>
      <c r="D720" s="419">
        <v>112</v>
      </c>
      <c r="E720">
        <v>25</v>
      </c>
      <c r="F720">
        <v>20</v>
      </c>
    </row>
    <row r="721" spans="1:6" x14ac:dyDescent="0.2">
      <c r="A721" s="3"/>
      <c r="B721">
        <v>1.1000000000000001</v>
      </c>
      <c r="C721">
        <v>1.5</v>
      </c>
      <c r="D721" s="419">
        <v>168</v>
      </c>
      <c r="E721">
        <v>25</v>
      </c>
      <c r="F721">
        <v>20</v>
      </c>
    </row>
    <row r="722" spans="1:6" x14ac:dyDescent="0.2">
      <c r="A722" s="3"/>
      <c r="B722">
        <v>1.51</v>
      </c>
      <c r="C722">
        <v>2</v>
      </c>
      <c r="D722" s="419">
        <v>221</v>
      </c>
      <c r="E722">
        <v>25</v>
      </c>
      <c r="F722">
        <v>20</v>
      </c>
    </row>
    <row r="723" spans="1:6" x14ac:dyDescent="0.2">
      <c r="A723" s="3"/>
      <c r="B723">
        <v>2.1</v>
      </c>
      <c r="C723">
        <v>3</v>
      </c>
      <c r="D723" s="419">
        <v>535</v>
      </c>
      <c r="E723">
        <v>25</v>
      </c>
      <c r="F723">
        <v>20</v>
      </c>
    </row>
    <row r="724" spans="1:6" x14ac:dyDescent="0.2">
      <c r="A724" s="3"/>
      <c r="B724">
        <v>3.1</v>
      </c>
      <c r="C724">
        <v>4</v>
      </c>
      <c r="D724" s="419">
        <v>745</v>
      </c>
      <c r="E724">
        <v>25</v>
      </c>
      <c r="F724">
        <v>20</v>
      </c>
    </row>
    <row r="725" spans="1:6" x14ac:dyDescent="0.2">
      <c r="A725" s="3"/>
      <c r="B725">
        <v>4.0999999999999996</v>
      </c>
      <c r="C725">
        <v>6</v>
      </c>
      <c r="D725" s="419">
        <v>1183.2912922943299</v>
      </c>
      <c r="E725">
        <v>25</v>
      </c>
      <c r="F725">
        <v>20</v>
      </c>
    </row>
    <row r="726" spans="1:6" x14ac:dyDescent="0.2">
      <c r="A726" s="3"/>
      <c r="B726">
        <v>6.1</v>
      </c>
      <c r="C726">
        <v>8</v>
      </c>
      <c r="D726" s="419">
        <v>2546.809935210013</v>
      </c>
      <c r="E726">
        <v>25</v>
      </c>
      <c r="F726">
        <v>20</v>
      </c>
    </row>
    <row r="727" spans="1:6" x14ac:dyDescent="0.2">
      <c r="A727" s="3"/>
      <c r="B727">
        <v>8.1</v>
      </c>
      <c r="C727">
        <v>10</v>
      </c>
      <c r="D727" s="419">
        <v>3343.2641795643849</v>
      </c>
      <c r="E727">
        <v>25</v>
      </c>
      <c r="F727">
        <v>20</v>
      </c>
    </row>
    <row r="728" spans="1:6" x14ac:dyDescent="0.2">
      <c r="A728" s="3"/>
      <c r="B728">
        <v>10.1</v>
      </c>
      <c r="C728">
        <v>12</v>
      </c>
      <c r="D728" s="419">
        <v>3308.8022170682825</v>
      </c>
      <c r="E728">
        <v>25</v>
      </c>
      <c r="F728">
        <v>20</v>
      </c>
    </row>
    <row r="729" spans="1:6" x14ac:dyDescent="0.2">
      <c r="A729" s="3"/>
      <c r="B729">
        <v>12.1</v>
      </c>
      <c r="C729" t="s">
        <v>687</v>
      </c>
      <c r="D729" s="419" t="s">
        <v>687</v>
      </c>
      <c r="E729">
        <v>25</v>
      </c>
      <c r="F729">
        <v>20</v>
      </c>
    </row>
    <row r="732" spans="1:6" x14ac:dyDescent="0.2">
      <c r="A732" s="934" t="s">
        <v>4596</v>
      </c>
      <c r="B732" s="934" t="s">
        <v>4755</v>
      </c>
      <c r="C732" s="934"/>
      <c r="D732" s="934"/>
      <c r="E732" s="934"/>
      <c r="F732" s="934"/>
    </row>
    <row r="733" spans="1:6" x14ac:dyDescent="0.2">
      <c r="A733" s="944">
        <v>35</v>
      </c>
      <c r="B733" s="116" t="s">
        <v>4598</v>
      </c>
      <c r="C733" s="116" t="s">
        <v>4599</v>
      </c>
      <c r="D733" s="899" t="s">
        <v>4510</v>
      </c>
      <c r="E733" s="116" t="s">
        <v>4503</v>
      </c>
      <c r="F733" s="116" t="s">
        <v>4504</v>
      </c>
    </row>
    <row r="734" spans="1:6" x14ac:dyDescent="0.2">
      <c r="A734" s="3" t="s">
        <v>4757</v>
      </c>
      <c r="B734">
        <v>0</v>
      </c>
      <c r="C734">
        <v>0.5</v>
      </c>
      <c r="D734" s="419">
        <v>128.83954852512139</v>
      </c>
      <c r="E734">
        <v>25</v>
      </c>
      <c r="F734">
        <v>20</v>
      </c>
    </row>
    <row r="735" spans="1:6" x14ac:dyDescent="0.2">
      <c r="A735" s="3"/>
      <c r="B735">
        <v>0.6</v>
      </c>
      <c r="C735">
        <v>0.75</v>
      </c>
      <c r="D735" s="419">
        <v>147.50199593286607</v>
      </c>
      <c r="E735">
        <v>25</v>
      </c>
      <c r="F735">
        <v>20</v>
      </c>
    </row>
    <row r="736" spans="1:6" x14ac:dyDescent="0.2">
      <c r="A736" s="3"/>
      <c r="B736">
        <v>0.76</v>
      </c>
      <c r="C736">
        <v>1</v>
      </c>
      <c r="D736" s="419">
        <v>165.45892277617779</v>
      </c>
      <c r="E736">
        <v>25</v>
      </c>
      <c r="F736">
        <v>20</v>
      </c>
    </row>
    <row r="737" spans="1:6" x14ac:dyDescent="0.2">
      <c r="A737" s="3"/>
      <c r="B737">
        <v>1.1000000000000001</v>
      </c>
      <c r="C737">
        <v>1.5</v>
      </c>
      <c r="D737" s="419">
        <v>234.30425345942169</v>
      </c>
      <c r="E737">
        <v>25</v>
      </c>
      <c r="F737">
        <v>20</v>
      </c>
    </row>
    <row r="738" spans="1:6" x14ac:dyDescent="0.2">
      <c r="A738" s="3"/>
      <c r="B738">
        <v>1.6</v>
      </c>
      <c r="C738">
        <v>2</v>
      </c>
      <c r="D738" s="419">
        <v>297.00740796003362</v>
      </c>
      <c r="E738">
        <v>25</v>
      </c>
      <c r="F738">
        <v>20</v>
      </c>
    </row>
    <row r="739" spans="1:6" x14ac:dyDescent="0.2">
      <c r="A739" s="3"/>
      <c r="B739">
        <v>2.1</v>
      </c>
      <c r="C739">
        <v>3</v>
      </c>
      <c r="D739" s="419">
        <v>500.39976319112048</v>
      </c>
      <c r="E739">
        <v>25</v>
      </c>
      <c r="F739">
        <v>20</v>
      </c>
    </row>
    <row r="740" spans="1:6" x14ac:dyDescent="0.2">
      <c r="A740" s="3"/>
      <c r="B740">
        <v>3.1</v>
      </c>
      <c r="C740">
        <v>4</v>
      </c>
      <c r="D740" s="419">
        <v>636.40287930604438</v>
      </c>
      <c r="E740">
        <v>25</v>
      </c>
      <c r="F740">
        <v>20</v>
      </c>
    </row>
    <row r="741" spans="1:6" x14ac:dyDescent="0.2">
      <c r="A741" s="3"/>
      <c r="B741">
        <v>4.0999999999999996</v>
      </c>
      <c r="C741">
        <v>6</v>
      </c>
      <c r="D741" s="419">
        <v>509.65011818181824</v>
      </c>
      <c r="E741">
        <v>25</v>
      </c>
      <c r="F741">
        <v>20</v>
      </c>
    </row>
    <row r="742" spans="1:6" x14ac:dyDescent="0.2">
      <c r="A742" s="3"/>
      <c r="B742">
        <v>6.1</v>
      </c>
      <c r="C742">
        <v>8</v>
      </c>
      <c r="D742" s="419">
        <v>1509.803581818182</v>
      </c>
      <c r="E742">
        <v>25</v>
      </c>
      <c r="F742">
        <v>20</v>
      </c>
    </row>
    <row r="743" spans="1:6" x14ac:dyDescent="0.2">
      <c r="A743" s="3"/>
      <c r="B743">
        <v>8.1</v>
      </c>
      <c r="C743">
        <v>10</v>
      </c>
      <c r="D743" s="419">
        <v>2218.7854000000002</v>
      </c>
      <c r="E743">
        <v>25</v>
      </c>
      <c r="F743">
        <v>20</v>
      </c>
    </row>
    <row r="744" spans="1:6" x14ac:dyDescent="0.2">
      <c r="A744" s="3"/>
      <c r="B744" s="694">
        <v>10.1</v>
      </c>
      <c r="C744">
        <v>12</v>
      </c>
      <c r="D744" s="419">
        <v>3493.0035818181823</v>
      </c>
      <c r="E744">
        <v>25</v>
      </c>
      <c r="F744">
        <v>20</v>
      </c>
    </row>
    <row r="745" spans="1:6" x14ac:dyDescent="0.2">
      <c r="A745" s="3" t="s">
        <v>4756</v>
      </c>
      <c r="B745" s="694">
        <v>12.1</v>
      </c>
      <c r="C745">
        <v>14</v>
      </c>
      <c r="D745" s="419">
        <v>9497.3730363636369</v>
      </c>
      <c r="E745">
        <v>25</v>
      </c>
      <c r="F745">
        <v>20</v>
      </c>
    </row>
    <row r="746" spans="1:6" x14ac:dyDescent="0.2">
      <c r="A746" s="3"/>
      <c r="B746" s="694">
        <v>14.1</v>
      </c>
      <c r="C746">
        <v>16</v>
      </c>
      <c r="D746" s="419">
        <v>15175.099218181818</v>
      </c>
      <c r="E746">
        <v>25</v>
      </c>
      <c r="F746">
        <v>20</v>
      </c>
    </row>
    <row r="747" spans="1:6" x14ac:dyDescent="0.2">
      <c r="A747" s="3"/>
      <c r="B747" s="694">
        <v>16.100000000000001</v>
      </c>
      <c r="C747">
        <v>18</v>
      </c>
      <c r="D747" s="419">
        <v>26336.568309090911</v>
      </c>
      <c r="E747">
        <v>25</v>
      </c>
      <c r="F747">
        <v>20</v>
      </c>
    </row>
    <row r="748" spans="1:6" x14ac:dyDescent="0.2">
      <c r="A748" s="3"/>
      <c r="B748" s="694">
        <v>18.100000000000001</v>
      </c>
      <c r="C748">
        <v>20</v>
      </c>
      <c r="D748" s="419">
        <v>27037.973036363637</v>
      </c>
      <c r="E748">
        <v>25</v>
      </c>
      <c r="F748">
        <v>20</v>
      </c>
    </row>
    <row r="749" spans="1:6" x14ac:dyDescent="0.2">
      <c r="A749" s="3"/>
      <c r="B749" s="694">
        <v>20.100000000000001</v>
      </c>
      <c r="C749">
        <v>24</v>
      </c>
      <c r="D749" s="419">
        <v>30928.845763636364</v>
      </c>
      <c r="E749">
        <v>25</v>
      </c>
      <c r="F749">
        <v>20</v>
      </c>
    </row>
    <row r="750" spans="1:6" x14ac:dyDescent="0.2">
      <c r="A750" s="3"/>
      <c r="B750" s="694">
        <v>24.1</v>
      </c>
      <c r="C750" t="s">
        <v>687</v>
      </c>
      <c r="D750" s="419" t="s">
        <v>687</v>
      </c>
      <c r="E750">
        <v>25</v>
      </c>
      <c r="F750">
        <v>20</v>
      </c>
    </row>
    <row r="753" spans="1:6" x14ac:dyDescent="0.2">
      <c r="A753" s="934" t="s">
        <v>4596</v>
      </c>
      <c r="B753" s="934" t="s">
        <v>4758</v>
      </c>
      <c r="C753" s="934"/>
      <c r="D753" s="935"/>
      <c r="E753" s="934"/>
      <c r="F753" s="934"/>
    </row>
    <row r="754" spans="1:6" x14ac:dyDescent="0.2">
      <c r="A754" s="944">
        <v>35</v>
      </c>
      <c r="B754" s="116" t="s">
        <v>4598</v>
      </c>
      <c r="C754" s="116" t="s">
        <v>4599</v>
      </c>
      <c r="D754" s="899" t="s">
        <v>4510</v>
      </c>
      <c r="E754" s="116" t="s">
        <v>4503</v>
      </c>
      <c r="F754" s="116" t="s">
        <v>4504</v>
      </c>
    </row>
    <row r="755" spans="1:6" x14ac:dyDescent="0.2">
      <c r="A755" s="3" t="s">
        <v>4760</v>
      </c>
      <c r="B755">
        <v>0</v>
      </c>
      <c r="C755">
        <v>0.5</v>
      </c>
      <c r="D755" s="419">
        <v>740.26144396551717</v>
      </c>
      <c r="E755">
        <v>25</v>
      </c>
      <c r="F755">
        <v>20</v>
      </c>
    </row>
    <row r="756" spans="1:6" x14ac:dyDescent="0.2">
      <c r="A756" s="3"/>
      <c r="B756">
        <v>0.6</v>
      </c>
      <c r="C756">
        <v>0.75</v>
      </c>
      <c r="D756" s="419">
        <v>756.44980603448266</v>
      </c>
      <c r="E756">
        <v>25</v>
      </c>
      <c r="F756">
        <v>20</v>
      </c>
    </row>
    <row r="757" spans="1:6" x14ac:dyDescent="0.2">
      <c r="A757" s="3"/>
      <c r="B757">
        <v>0.76</v>
      </c>
      <c r="C757">
        <v>1</v>
      </c>
      <c r="D757" s="419">
        <v>762.05928879310341</v>
      </c>
      <c r="E757">
        <v>25</v>
      </c>
      <c r="F757">
        <v>20</v>
      </c>
    </row>
    <row r="758" spans="1:6" x14ac:dyDescent="0.2">
      <c r="A758" s="3"/>
      <c r="B758">
        <v>1.1000000000000001</v>
      </c>
      <c r="C758">
        <v>1.5</v>
      </c>
      <c r="D758" s="419">
        <v>832.34657327586206</v>
      </c>
      <c r="E758">
        <v>25</v>
      </c>
      <c r="F758">
        <v>20</v>
      </c>
    </row>
    <row r="759" spans="1:6" x14ac:dyDescent="0.2">
      <c r="A759" s="3"/>
      <c r="B759">
        <v>1.6</v>
      </c>
      <c r="C759">
        <v>2</v>
      </c>
      <c r="D759" s="419">
        <v>819.5775532116046</v>
      </c>
      <c r="E759">
        <v>25</v>
      </c>
      <c r="F759">
        <v>20</v>
      </c>
    </row>
    <row r="760" spans="1:6" x14ac:dyDescent="0.2">
      <c r="A760" s="3"/>
      <c r="B760">
        <v>2.1</v>
      </c>
      <c r="C760">
        <v>2.5</v>
      </c>
      <c r="D760" s="419">
        <v>754.23778894515874</v>
      </c>
      <c r="E760">
        <v>25</v>
      </c>
      <c r="F760">
        <v>20</v>
      </c>
    </row>
    <row r="761" spans="1:6" x14ac:dyDescent="0.2">
      <c r="A761" s="3"/>
      <c r="B761">
        <v>2.6</v>
      </c>
      <c r="C761">
        <v>3</v>
      </c>
      <c r="D761" s="419">
        <v>976.71146485581494</v>
      </c>
      <c r="E761">
        <v>25</v>
      </c>
      <c r="F761">
        <v>20</v>
      </c>
    </row>
    <row r="762" spans="1:6" x14ac:dyDescent="0.2">
      <c r="A762" s="3"/>
      <c r="B762">
        <v>3.1</v>
      </c>
      <c r="C762">
        <v>4</v>
      </c>
      <c r="D762" s="419">
        <v>1166.5479564973525</v>
      </c>
      <c r="E762">
        <v>25</v>
      </c>
      <c r="F762">
        <v>20</v>
      </c>
    </row>
    <row r="763" spans="1:6" x14ac:dyDescent="0.2">
      <c r="A763" s="3"/>
      <c r="B763">
        <v>4.0999999999999996</v>
      </c>
      <c r="C763">
        <v>6</v>
      </c>
      <c r="D763" s="419">
        <v>1648.4738331376229</v>
      </c>
      <c r="E763">
        <v>25</v>
      </c>
      <c r="F763">
        <v>20</v>
      </c>
    </row>
    <row r="764" spans="1:6" x14ac:dyDescent="0.2">
      <c r="A764" s="3"/>
      <c r="B764">
        <v>6.1</v>
      </c>
      <c r="C764">
        <v>8</v>
      </c>
      <c r="D764" s="419">
        <v>2631.2493192641541</v>
      </c>
      <c r="E764">
        <v>25</v>
      </c>
      <c r="F764">
        <v>20</v>
      </c>
    </row>
    <row r="765" spans="1:6" x14ac:dyDescent="0.2">
      <c r="A765" s="3"/>
      <c r="B765">
        <v>8.1</v>
      </c>
      <c r="C765">
        <v>10</v>
      </c>
      <c r="D765" s="419">
        <v>4317.4601627104021</v>
      </c>
      <c r="E765">
        <v>25</v>
      </c>
      <c r="F765">
        <v>20</v>
      </c>
    </row>
    <row r="766" spans="1:6" x14ac:dyDescent="0.2">
      <c r="A766" s="3"/>
      <c r="B766">
        <v>10.1</v>
      </c>
      <c r="C766">
        <v>12</v>
      </c>
      <c r="D766" s="419">
        <v>5117.5928035714278</v>
      </c>
      <c r="E766">
        <v>25</v>
      </c>
      <c r="F766">
        <v>20</v>
      </c>
    </row>
    <row r="767" spans="1:6" x14ac:dyDescent="0.2">
      <c r="A767" s="3" t="s">
        <v>4759</v>
      </c>
      <c r="B767">
        <v>12.1</v>
      </c>
      <c r="C767">
        <v>14</v>
      </c>
      <c r="D767" s="419">
        <v>11974.494936134073</v>
      </c>
      <c r="E767">
        <v>25</v>
      </c>
      <c r="F767">
        <v>20</v>
      </c>
    </row>
    <row r="768" spans="1:6" x14ac:dyDescent="0.2">
      <c r="A768" s="3"/>
      <c r="B768">
        <v>14.1</v>
      </c>
      <c r="C768">
        <v>16</v>
      </c>
      <c r="D768" s="419">
        <v>17391.798762050355</v>
      </c>
      <c r="E768">
        <v>25</v>
      </c>
      <c r="F768">
        <v>20</v>
      </c>
    </row>
    <row r="769" spans="1:6" x14ac:dyDescent="0.2">
      <c r="A769" s="3"/>
      <c r="B769">
        <v>16.100000000000001</v>
      </c>
      <c r="C769">
        <v>18</v>
      </c>
      <c r="D769" s="419">
        <v>27381.034667861262</v>
      </c>
      <c r="E769">
        <v>25</v>
      </c>
      <c r="F769">
        <v>20</v>
      </c>
    </row>
    <row r="770" spans="1:6" x14ac:dyDescent="0.2">
      <c r="A770" s="3"/>
      <c r="B770">
        <v>18.100000000000001</v>
      </c>
      <c r="C770">
        <v>20</v>
      </c>
      <c r="D770" s="419">
        <v>29109.944789041583</v>
      </c>
      <c r="E770">
        <v>25</v>
      </c>
      <c r="F770">
        <v>20</v>
      </c>
    </row>
    <row r="771" spans="1:6" x14ac:dyDescent="0.2">
      <c r="A771" s="3"/>
      <c r="B771">
        <v>20.100000000000001</v>
      </c>
      <c r="C771">
        <v>24</v>
      </c>
      <c r="D771" s="419">
        <v>32873.996547028371</v>
      </c>
      <c r="E771">
        <v>25</v>
      </c>
      <c r="F771">
        <v>20</v>
      </c>
    </row>
    <row r="772" spans="1:6" x14ac:dyDescent="0.2">
      <c r="A772" s="3"/>
      <c r="B772">
        <v>24.1</v>
      </c>
      <c r="C772" t="s">
        <v>687</v>
      </c>
      <c r="D772" s="419" t="s">
        <v>687</v>
      </c>
      <c r="E772">
        <v>25</v>
      </c>
      <c r="F772">
        <v>20</v>
      </c>
    </row>
    <row r="775" spans="1:6" x14ac:dyDescent="0.2">
      <c r="A775" s="934" t="s">
        <v>4501</v>
      </c>
      <c r="B775" s="934" t="s">
        <v>4761</v>
      </c>
      <c r="C775" s="934"/>
      <c r="D775" s="934"/>
      <c r="E775" s="934"/>
      <c r="F775" s="934"/>
    </row>
    <row r="776" spans="1:6" x14ac:dyDescent="0.2">
      <c r="A776" s="944">
        <v>43</v>
      </c>
      <c r="B776" s="116" t="s">
        <v>4598</v>
      </c>
      <c r="C776" s="116" t="s">
        <v>4599</v>
      </c>
      <c r="D776" s="899" t="s">
        <v>4510</v>
      </c>
      <c r="E776" s="116" t="s">
        <v>4503</v>
      </c>
      <c r="F776" s="116" t="s">
        <v>4504</v>
      </c>
    </row>
    <row r="777" spans="1:6" x14ac:dyDescent="0.2">
      <c r="A777" s="3" t="s">
        <v>4762</v>
      </c>
      <c r="B777">
        <v>0</v>
      </c>
      <c r="C777">
        <v>2</v>
      </c>
      <c r="D777" s="419">
        <v>2762.2015890410958</v>
      </c>
      <c r="E777">
        <v>15</v>
      </c>
      <c r="F777">
        <v>14</v>
      </c>
    </row>
    <row r="778" spans="1:6" x14ac:dyDescent="0.2">
      <c r="A778" s="3"/>
      <c r="B778">
        <v>2.1</v>
      </c>
      <c r="C778">
        <v>3</v>
      </c>
      <c r="D778" s="419">
        <v>2952.1338543689321</v>
      </c>
      <c r="E778">
        <v>15</v>
      </c>
      <c r="F778">
        <v>14</v>
      </c>
    </row>
    <row r="779" spans="1:6" x14ac:dyDescent="0.2">
      <c r="A779" s="3"/>
      <c r="B779">
        <v>3.1</v>
      </c>
      <c r="C779">
        <v>4</v>
      </c>
      <c r="D779" s="419">
        <v>3374.8769849462369</v>
      </c>
      <c r="E779">
        <v>15</v>
      </c>
      <c r="F779">
        <v>14</v>
      </c>
    </row>
    <row r="780" spans="1:6" x14ac:dyDescent="0.2">
      <c r="A780" s="3"/>
      <c r="B780">
        <v>4.0999999999999996</v>
      </c>
      <c r="C780">
        <v>6</v>
      </c>
      <c r="D780" s="419">
        <v>5052.9042666666664</v>
      </c>
      <c r="E780">
        <v>15</v>
      </c>
      <c r="F780">
        <v>14</v>
      </c>
    </row>
    <row r="781" spans="1:6" x14ac:dyDescent="0.2">
      <c r="A781" s="3"/>
      <c r="B781">
        <v>6.1</v>
      </c>
      <c r="C781">
        <v>8</v>
      </c>
      <c r="D781" s="419">
        <v>5332.266333333333</v>
      </c>
      <c r="E781">
        <v>15</v>
      </c>
      <c r="F781">
        <v>14</v>
      </c>
    </row>
    <row r="782" spans="1:6" x14ac:dyDescent="0.2">
      <c r="A782" s="3"/>
      <c r="B782">
        <v>8.1</v>
      </c>
      <c r="C782">
        <v>10</v>
      </c>
      <c r="D782" s="419">
        <v>5899.4732846715342</v>
      </c>
      <c r="E782">
        <v>15</v>
      </c>
      <c r="F782">
        <v>14</v>
      </c>
    </row>
    <row r="783" spans="1:6" x14ac:dyDescent="0.2">
      <c r="A783" s="3"/>
      <c r="B783">
        <v>10.1</v>
      </c>
      <c r="C783">
        <v>12</v>
      </c>
      <c r="D783" s="419">
        <v>6787.882043795621</v>
      </c>
      <c r="E783">
        <v>15</v>
      </c>
      <c r="F783">
        <v>14</v>
      </c>
    </row>
    <row r="784" spans="1:6" x14ac:dyDescent="0.2">
      <c r="A784" s="3"/>
      <c r="B784">
        <v>12.1</v>
      </c>
      <c r="C784">
        <v>14</v>
      </c>
      <c r="D784" s="419">
        <v>7395.5316788321179</v>
      </c>
      <c r="E784">
        <v>15</v>
      </c>
      <c r="F784">
        <v>14</v>
      </c>
    </row>
    <row r="785" spans="1:6" x14ac:dyDescent="0.2">
      <c r="A785" s="3"/>
      <c r="B785">
        <v>14.1</v>
      </c>
      <c r="C785">
        <v>16</v>
      </c>
      <c r="D785" s="419">
        <v>8116.5827737226282</v>
      </c>
      <c r="E785">
        <v>15</v>
      </c>
      <c r="F785">
        <v>14</v>
      </c>
    </row>
    <row r="786" spans="1:6" x14ac:dyDescent="0.2">
      <c r="A786" s="3"/>
      <c r="B786">
        <v>16.100000000000001</v>
      </c>
      <c r="C786">
        <v>18</v>
      </c>
      <c r="D786" s="419">
        <v>8534.2178102189791</v>
      </c>
      <c r="E786">
        <v>15</v>
      </c>
      <c r="F786">
        <v>14</v>
      </c>
    </row>
    <row r="787" spans="1:6" x14ac:dyDescent="0.2">
      <c r="A787" s="3"/>
      <c r="B787">
        <v>18.100000000000001</v>
      </c>
      <c r="C787">
        <v>20</v>
      </c>
      <c r="D787" s="419">
        <v>9377.896642335767</v>
      </c>
      <c r="E787">
        <v>15</v>
      </c>
      <c r="F787">
        <v>14</v>
      </c>
    </row>
    <row r="788" spans="1:6" x14ac:dyDescent="0.2">
      <c r="A788" s="3"/>
      <c r="B788">
        <v>20.100000000000001</v>
      </c>
      <c r="C788">
        <v>24</v>
      </c>
      <c r="D788" s="419">
        <v>11593.604671532848</v>
      </c>
      <c r="E788">
        <v>15</v>
      </c>
      <c r="F788">
        <v>14</v>
      </c>
    </row>
    <row r="789" spans="1:6" x14ac:dyDescent="0.2">
      <c r="A789" s="3"/>
      <c r="B789">
        <v>24.1</v>
      </c>
      <c r="C789">
        <v>30</v>
      </c>
      <c r="D789" s="419">
        <v>15914.305401459857</v>
      </c>
      <c r="E789">
        <v>15</v>
      </c>
      <c r="F789">
        <v>14</v>
      </c>
    </row>
    <row r="790" spans="1:6" x14ac:dyDescent="0.2">
      <c r="A790" s="3"/>
      <c r="B790">
        <v>30.1</v>
      </c>
      <c r="C790">
        <v>36</v>
      </c>
      <c r="D790" s="419">
        <v>20239.210510948906</v>
      </c>
      <c r="E790">
        <v>15</v>
      </c>
      <c r="F790">
        <v>14</v>
      </c>
    </row>
    <row r="791" spans="1:6" x14ac:dyDescent="0.2">
      <c r="A791" s="3"/>
      <c r="B791">
        <v>36.1</v>
      </c>
      <c r="C791" t="s">
        <v>687</v>
      </c>
      <c r="D791" s="419" t="s">
        <v>687</v>
      </c>
      <c r="E791">
        <v>15</v>
      </c>
      <c r="F791">
        <v>14</v>
      </c>
    </row>
    <row r="794" spans="1:6" x14ac:dyDescent="0.2">
      <c r="A794" s="934" t="s">
        <v>4506</v>
      </c>
      <c r="B794" s="934" t="s">
        <v>4763</v>
      </c>
      <c r="C794" s="934"/>
      <c r="D794" s="934"/>
      <c r="E794" s="934"/>
      <c r="F794" s="934"/>
    </row>
    <row r="795" spans="1:6" x14ac:dyDescent="0.2">
      <c r="A795" s="944">
        <v>30</v>
      </c>
      <c r="B795" s="116" t="s">
        <v>4508</v>
      </c>
      <c r="C795" s="116" t="s">
        <v>4509</v>
      </c>
      <c r="D795" s="899" t="s">
        <v>4510</v>
      </c>
      <c r="E795" s="116" t="s">
        <v>4503</v>
      </c>
      <c r="F795" s="116" t="s">
        <v>4504</v>
      </c>
    </row>
    <row r="796" spans="1:6" x14ac:dyDescent="0.2">
      <c r="A796" s="3" t="s">
        <v>4764</v>
      </c>
      <c r="B796">
        <v>0</v>
      </c>
      <c r="C796">
        <v>10</v>
      </c>
      <c r="D796" s="419">
        <v>3765.081740826402</v>
      </c>
      <c r="E796">
        <v>20</v>
      </c>
      <c r="F796">
        <v>17</v>
      </c>
    </row>
    <row r="797" spans="1:6" x14ac:dyDescent="0.2">
      <c r="A797" s="3"/>
      <c r="B797">
        <v>11</v>
      </c>
      <c r="C797">
        <v>30</v>
      </c>
      <c r="D797" s="419">
        <v>4254.6995836907727</v>
      </c>
      <c r="E797">
        <v>20</v>
      </c>
      <c r="F797">
        <v>17</v>
      </c>
    </row>
    <row r="798" spans="1:6" x14ac:dyDescent="0.2">
      <c r="A798" s="3"/>
      <c r="B798">
        <v>31</v>
      </c>
      <c r="C798">
        <v>200</v>
      </c>
      <c r="D798" s="419">
        <v>12125.919025502953</v>
      </c>
      <c r="E798">
        <v>20</v>
      </c>
      <c r="F798">
        <v>17</v>
      </c>
    </row>
    <row r="799" spans="1:6" x14ac:dyDescent="0.2">
      <c r="A799" s="3"/>
      <c r="B799">
        <v>301</v>
      </c>
      <c r="C799">
        <v>500</v>
      </c>
      <c r="D799" s="419">
        <v>13969.613526038316</v>
      </c>
      <c r="E799">
        <v>20</v>
      </c>
      <c r="F799">
        <v>17</v>
      </c>
    </row>
    <row r="800" spans="1:6" x14ac:dyDescent="0.2">
      <c r="A800" s="3"/>
      <c r="B800">
        <v>501</v>
      </c>
      <c r="C800">
        <v>750</v>
      </c>
      <c r="D800" s="419">
        <v>17759.918572183145</v>
      </c>
      <c r="E800">
        <v>20</v>
      </c>
      <c r="F800">
        <v>17</v>
      </c>
    </row>
    <row r="801" spans="1:6" x14ac:dyDescent="0.2">
      <c r="A801" s="3"/>
      <c r="B801">
        <v>751</v>
      </c>
      <c r="C801">
        <v>1000</v>
      </c>
      <c r="D801" s="419">
        <v>18367.928438860366</v>
      </c>
      <c r="E801">
        <v>20</v>
      </c>
      <c r="F801">
        <v>17</v>
      </c>
    </row>
    <row r="802" spans="1:6" x14ac:dyDescent="0.2">
      <c r="A802" s="3"/>
      <c r="B802">
        <v>1001</v>
      </c>
      <c r="C802">
        <v>1500</v>
      </c>
      <c r="D802" s="419">
        <v>23207.19064302601</v>
      </c>
      <c r="E802">
        <v>20</v>
      </c>
      <c r="F802">
        <v>17</v>
      </c>
    </row>
    <row r="803" spans="1:6" x14ac:dyDescent="0.2">
      <c r="A803" s="3"/>
      <c r="B803">
        <v>1501</v>
      </c>
      <c r="C803">
        <v>2000</v>
      </c>
      <c r="D803" s="419">
        <v>33543.358376538781</v>
      </c>
      <c r="E803">
        <v>20</v>
      </c>
      <c r="F803">
        <v>17</v>
      </c>
    </row>
    <row r="804" spans="1:6" x14ac:dyDescent="0.2">
      <c r="A804" s="3"/>
      <c r="B804">
        <v>2001</v>
      </c>
      <c r="C804">
        <v>3000</v>
      </c>
      <c r="D804" s="419">
        <v>38246.128569817702</v>
      </c>
      <c r="E804">
        <v>20</v>
      </c>
      <c r="F804">
        <v>17</v>
      </c>
    </row>
    <row r="805" spans="1:6" x14ac:dyDescent="0.2">
      <c r="A805" s="3"/>
      <c r="B805">
        <v>3001</v>
      </c>
      <c r="C805">
        <v>3500</v>
      </c>
      <c r="D805" s="419">
        <v>41894.187769881028</v>
      </c>
      <c r="E805">
        <v>20</v>
      </c>
      <c r="F805">
        <v>17</v>
      </c>
    </row>
    <row r="806" spans="1:6" x14ac:dyDescent="0.2">
      <c r="A806" s="3"/>
      <c r="B806">
        <v>3501</v>
      </c>
      <c r="C806">
        <v>4000</v>
      </c>
      <c r="D806" s="419">
        <v>44289.002142711717</v>
      </c>
      <c r="E806">
        <v>20</v>
      </c>
      <c r="F806">
        <v>17</v>
      </c>
    </row>
    <row r="807" spans="1:6" x14ac:dyDescent="0.2">
      <c r="A807" s="3"/>
      <c r="B807">
        <v>4001</v>
      </c>
      <c r="C807">
        <v>6000</v>
      </c>
      <c r="D807" s="419">
        <v>82333.048086229319</v>
      </c>
      <c r="E807">
        <v>20</v>
      </c>
      <c r="F807">
        <v>17</v>
      </c>
    </row>
    <row r="808" spans="1:6" x14ac:dyDescent="0.2">
      <c r="A808" s="3"/>
      <c r="B808">
        <v>6001</v>
      </c>
      <c r="C808">
        <v>10000</v>
      </c>
      <c r="D808" s="419">
        <v>89174.66776026864</v>
      </c>
      <c r="E808">
        <v>20</v>
      </c>
      <c r="F808">
        <v>17</v>
      </c>
    </row>
    <row r="809" spans="1:6" x14ac:dyDescent="0.2">
      <c r="A809" s="3"/>
      <c r="B809">
        <v>10001</v>
      </c>
      <c r="C809" t="s">
        <v>687</v>
      </c>
      <c r="D809" s="419" t="s">
        <v>687</v>
      </c>
      <c r="E809">
        <v>20</v>
      </c>
      <c r="F809">
        <v>17</v>
      </c>
    </row>
    <row r="812" spans="1:6" x14ac:dyDescent="0.2">
      <c r="A812" s="934" t="s">
        <v>4506</v>
      </c>
      <c r="B812" s="934" t="s">
        <v>4765</v>
      </c>
      <c r="C812" s="934"/>
      <c r="D812" s="934"/>
      <c r="E812" s="934"/>
      <c r="F812" s="934"/>
    </row>
    <row r="813" spans="1:6" x14ac:dyDescent="0.2">
      <c r="A813" s="944">
        <v>30</v>
      </c>
      <c r="B813" s="116" t="s">
        <v>4766</v>
      </c>
      <c r="C813" s="116" t="s">
        <v>4767</v>
      </c>
      <c r="D813" s="899" t="s">
        <v>4510</v>
      </c>
      <c r="E813" s="116" t="s">
        <v>4503</v>
      </c>
      <c r="F813" s="116" t="s">
        <v>4504</v>
      </c>
    </row>
    <row r="814" spans="1:6" x14ac:dyDescent="0.2">
      <c r="A814" s="3" t="s">
        <v>4768</v>
      </c>
      <c r="B814">
        <v>0</v>
      </c>
      <c r="C814">
        <v>0.21</v>
      </c>
      <c r="D814" s="419">
        <v>1430.5603577391205</v>
      </c>
      <c r="E814">
        <v>20</v>
      </c>
      <c r="F814">
        <v>15</v>
      </c>
    </row>
    <row r="815" spans="1:6" x14ac:dyDescent="0.2">
      <c r="A815" s="3"/>
      <c r="B815">
        <v>0.22</v>
      </c>
      <c r="C815">
        <v>0.5</v>
      </c>
      <c r="D815" s="419">
        <v>1698.9532846009226</v>
      </c>
      <c r="E815">
        <v>20</v>
      </c>
      <c r="F815">
        <v>15</v>
      </c>
    </row>
    <row r="816" spans="1:6" x14ac:dyDescent="0.2">
      <c r="A816" s="3"/>
      <c r="B816">
        <v>0.51</v>
      </c>
      <c r="C816">
        <v>0.6</v>
      </c>
      <c r="D816" s="419">
        <v>667.04762473158007</v>
      </c>
      <c r="E816">
        <v>20</v>
      </c>
      <c r="F816">
        <v>15</v>
      </c>
    </row>
    <row r="817" spans="1:6" x14ac:dyDescent="0.2">
      <c r="A817" s="3"/>
      <c r="B817">
        <v>0.61</v>
      </c>
      <c r="C817">
        <v>1</v>
      </c>
      <c r="D817" s="419">
        <v>1376.9078299324747</v>
      </c>
      <c r="E817">
        <v>20</v>
      </c>
      <c r="F817">
        <v>15</v>
      </c>
    </row>
    <row r="818" spans="1:6" x14ac:dyDescent="0.2">
      <c r="A818" s="3"/>
      <c r="B818">
        <v>1.01</v>
      </c>
      <c r="C818">
        <v>1.5</v>
      </c>
      <c r="D818" s="419">
        <v>717.80776274388995</v>
      </c>
      <c r="E818">
        <v>20</v>
      </c>
      <c r="F818">
        <v>15</v>
      </c>
    </row>
    <row r="819" spans="1:6" x14ac:dyDescent="0.2">
      <c r="A819" s="3"/>
      <c r="B819">
        <v>1.51</v>
      </c>
      <c r="C819">
        <v>2</v>
      </c>
      <c r="D819" s="419">
        <v>1063.3180553384593</v>
      </c>
      <c r="E819">
        <v>20</v>
      </c>
      <c r="F819">
        <v>15</v>
      </c>
    </row>
    <row r="820" spans="1:6" x14ac:dyDescent="0.2">
      <c r="A820" s="3"/>
      <c r="B820">
        <v>2.0099999999999998</v>
      </c>
      <c r="C820">
        <v>2.5</v>
      </c>
      <c r="D820" s="419">
        <v>2044.2160303212022</v>
      </c>
      <c r="E820">
        <v>20</v>
      </c>
      <c r="F820">
        <v>15</v>
      </c>
    </row>
    <row r="821" spans="1:6" x14ac:dyDescent="0.2">
      <c r="A821" s="3"/>
      <c r="B821">
        <v>2.5099999999999998</v>
      </c>
      <c r="C821">
        <v>5</v>
      </c>
      <c r="D821" s="419">
        <v>2208.378694324052</v>
      </c>
      <c r="E821">
        <v>20</v>
      </c>
      <c r="F821">
        <v>15</v>
      </c>
    </row>
    <row r="822" spans="1:6" x14ac:dyDescent="0.2">
      <c r="A822" s="3"/>
      <c r="B822">
        <v>5.01</v>
      </c>
      <c r="C822">
        <v>6.3</v>
      </c>
      <c r="D822" s="419">
        <v>1184.6029949577078</v>
      </c>
      <c r="E822">
        <v>20</v>
      </c>
      <c r="F822">
        <v>15</v>
      </c>
    </row>
    <row r="823" spans="1:6" x14ac:dyDescent="0.2">
      <c r="A823" s="3"/>
      <c r="B823">
        <v>6.31</v>
      </c>
      <c r="C823">
        <v>10</v>
      </c>
      <c r="D823" s="419">
        <v>2393.3874108986925</v>
      </c>
      <c r="E823">
        <v>20</v>
      </c>
      <c r="F823">
        <v>15</v>
      </c>
    </row>
    <row r="824" spans="1:6" x14ac:dyDescent="0.2">
      <c r="A824" s="3"/>
      <c r="B824">
        <v>10.01</v>
      </c>
      <c r="C824">
        <v>21</v>
      </c>
      <c r="D824" s="419">
        <v>3340.5799246294214</v>
      </c>
      <c r="E824">
        <v>20</v>
      </c>
      <c r="F824">
        <v>15</v>
      </c>
    </row>
    <row r="825" spans="1:6" x14ac:dyDescent="0.2">
      <c r="A825" s="3"/>
      <c r="B825">
        <v>21.01</v>
      </c>
      <c r="C825" t="s">
        <v>687</v>
      </c>
      <c r="D825" s="419" t="s">
        <v>687</v>
      </c>
      <c r="E825">
        <v>20</v>
      </c>
      <c r="F825">
        <v>15</v>
      </c>
    </row>
    <row r="828" spans="1:6" x14ac:dyDescent="0.2">
      <c r="A828" s="934" t="s">
        <v>4506</v>
      </c>
      <c r="B828" s="934" t="s">
        <v>4769</v>
      </c>
      <c r="C828" s="934"/>
      <c r="D828" s="934"/>
      <c r="E828" s="934"/>
      <c r="F828" s="934"/>
    </row>
    <row r="829" spans="1:6" x14ac:dyDescent="0.2">
      <c r="A829" s="944">
        <v>30</v>
      </c>
      <c r="B829" s="116" t="s">
        <v>4766</v>
      </c>
      <c r="C829" s="116" t="s">
        <v>4767</v>
      </c>
      <c r="D829" s="899" t="s">
        <v>4510</v>
      </c>
      <c r="E829" s="116" t="s">
        <v>4503</v>
      </c>
      <c r="F829" s="116" t="s">
        <v>4504</v>
      </c>
    </row>
    <row r="830" spans="1:6" x14ac:dyDescent="0.2">
      <c r="A830" s="3" t="s">
        <v>4770</v>
      </c>
      <c r="B830">
        <v>0</v>
      </c>
      <c r="C830">
        <v>1</v>
      </c>
      <c r="D830" s="419">
        <v>3165.9942343406765</v>
      </c>
      <c r="E830">
        <v>20</v>
      </c>
      <c r="F830">
        <v>17</v>
      </c>
    </row>
    <row r="831" spans="1:6" x14ac:dyDescent="0.2">
      <c r="A831" s="3"/>
      <c r="B831">
        <v>1.01</v>
      </c>
      <c r="C831">
        <v>2</v>
      </c>
      <c r="D831" s="419">
        <v>3165.9942343406765</v>
      </c>
      <c r="E831">
        <v>20</v>
      </c>
      <c r="F831">
        <v>17</v>
      </c>
    </row>
    <row r="832" spans="1:6" x14ac:dyDescent="0.2">
      <c r="A832" s="3"/>
      <c r="B832">
        <v>2.0099999999999998</v>
      </c>
      <c r="C832">
        <v>4</v>
      </c>
      <c r="D832" s="419">
        <v>3165.9942343406765</v>
      </c>
      <c r="E832">
        <v>20</v>
      </c>
      <c r="F832">
        <v>17</v>
      </c>
    </row>
    <row r="833" spans="1:6" x14ac:dyDescent="0.2">
      <c r="A833" s="3"/>
      <c r="B833">
        <v>4.01</v>
      </c>
      <c r="C833">
        <v>5</v>
      </c>
      <c r="D833" s="419">
        <v>3165.9942343406765</v>
      </c>
      <c r="E833">
        <v>20</v>
      </c>
      <c r="F833">
        <v>17</v>
      </c>
    </row>
    <row r="834" spans="1:6" x14ac:dyDescent="0.2">
      <c r="A834" s="3"/>
      <c r="B834">
        <v>5.01</v>
      </c>
      <c r="C834">
        <v>7</v>
      </c>
      <c r="D834" s="419">
        <v>3599.2012643481967</v>
      </c>
      <c r="E834">
        <v>20</v>
      </c>
      <c r="F834">
        <v>17</v>
      </c>
    </row>
    <row r="835" spans="1:6" x14ac:dyDescent="0.2">
      <c r="A835" s="3"/>
      <c r="B835">
        <v>7.01</v>
      </c>
      <c r="C835">
        <v>11</v>
      </c>
      <c r="D835" s="419">
        <v>3165.9942343406765</v>
      </c>
      <c r="E835">
        <v>20</v>
      </c>
      <c r="F835">
        <v>17</v>
      </c>
    </row>
    <row r="836" spans="1:6" x14ac:dyDescent="0.2">
      <c r="A836" s="3"/>
      <c r="B836">
        <v>11.01</v>
      </c>
      <c r="C836">
        <v>14</v>
      </c>
      <c r="D836" s="419">
        <v>4109.2781132141945</v>
      </c>
      <c r="E836">
        <v>20</v>
      </c>
      <c r="F836">
        <v>17</v>
      </c>
    </row>
    <row r="837" spans="1:6" x14ac:dyDescent="0.2">
      <c r="A837" s="3"/>
      <c r="B837">
        <v>14.01</v>
      </c>
      <c r="C837">
        <v>22</v>
      </c>
      <c r="D837" s="419">
        <v>4552.8161503300189</v>
      </c>
      <c r="E837">
        <v>20</v>
      </c>
      <c r="F837">
        <v>17</v>
      </c>
    </row>
    <row r="838" spans="1:6" x14ac:dyDescent="0.2">
      <c r="A838" s="3"/>
      <c r="B838">
        <v>22.01</v>
      </c>
      <c r="C838">
        <v>29</v>
      </c>
      <c r="D838" s="419">
        <v>4415.4545103623668</v>
      </c>
      <c r="E838">
        <v>20</v>
      </c>
      <c r="F838">
        <v>17</v>
      </c>
    </row>
    <row r="839" spans="1:6" x14ac:dyDescent="0.2">
      <c r="A839" s="3"/>
      <c r="B839">
        <v>29.01</v>
      </c>
      <c r="C839">
        <v>35</v>
      </c>
      <c r="D839" s="419">
        <v>4569.1941480793221</v>
      </c>
      <c r="E839">
        <v>20</v>
      </c>
      <c r="F839">
        <v>17</v>
      </c>
    </row>
    <row r="840" spans="1:6" x14ac:dyDescent="0.2">
      <c r="A840" s="3"/>
      <c r="B840">
        <v>35.01</v>
      </c>
      <c r="C840">
        <v>59</v>
      </c>
      <c r="D840" s="419">
        <v>5503.0238131129645</v>
      </c>
      <c r="E840">
        <v>20</v>
      </c>
      <c r="F840">
        <v>17</v>
      </c>
    </row>
    <row r="841" spans="1:6" x14ac:dyDescent="0.2">
      <c r="A841" s="3"/>
      <c r="B841">
        <v>59.01</v>
      </c>
      <c r="C841">
        <v>132</v>
      </c>
      <c r="D841" s="419">
        <v>6656.4039497412641</v>
      </c>
      <c r="E841">
        <v>20</v>
      </c>
      <c r="F841">
        <v>17</v>
      </c>
    </row>
    <row r="842" spans="1:6" x14ac:dyDescent="0.2">
      <c r="A842" s="3"/>
      <c r="B842">
        <v>132.01</v>
      </c>
      <c r="C842" t="s">
        <v>687</v>
      </c>
      <c r="D842" s="419" t="s">
        <v>687</v>
      </c>
      <c r="E842">
        <v>20</v>
      </c>
      <c r="F842">
        <v>17</v>
      </c>
    </row>
    <row r="845" spans="1:6" x14ac:dyDescent="0.2">
      <c r="A845" s="934" t="s">
        <v>4620</v>
      </c>
      <c r="B845" s="934" t="s">
        <v>4771</v>
      </c>
      <c r="C845" s="934"/>
      <c r="D845" s="934"/>
      <c r="E845" s="934"/>
      <c r="F845" s="934"/>
    </row>
    <row r="846" spans="1:6" x14ac:dyDescent="0.2">
      <c r="A846" s="944">
        <v>15</v>
      </c>
      <c r="B846" s="116" t="s">
        <v>4598</v>
      </c>
      <c r="C846" s="116" t="s">
        <v>4599</v>
      </c>
      <c r="D846" s="899" t="s">
        <v>4622</v>
      </c>
      <c r="E846" s="116" t="s">
        <v>4503</v>
      </c>
      <c r="F846" s="116" t="s">
        <v>4504</v>
      </c>
    </row>
    <row r="847" spans="1:6" x14ac:dyDescent="0.2">
      <c r="A847" s="3" t="s">
        <v>4772</v>
      </c>
      <c r="B847">
        <v>0</v>
      </c>
      <c r="C847">
        <v>0.5</v>
      </c>
      <c r="D847" s="419">
        <v>1.9312269788838421</v>
      </c>
      <c r="E847">
        <v>22</v>
      </c>
      <c r="F847">
        <v>17</v>
      </c>
    </row>
    <row r="848" spans="1:6" x14ac:dyDescent="0.2">
      <c r="A848" s="3"/>
      <c r="B848">
        <v>0.6</v>
      </c>
      <c r="C848">
        <v>0.75</v>
      </c>
      <c r="D848" s="419">
        <v>2.5438388800988618</v>
      </c>
      <c r="E848">
        <v>22</v>
      </c>
      <c r="F848">
        <v>17</v>
      </c>
    </row>
    <row r="849" spans="1:6" x14ac:dyDescent="0.2">
      <c r="A849" s="3"/>
      <c r="B849">
        <v>0.76</v>
      </c>
      <c r="C849">
        <v>1</v>
      </c>
      <c r="D849" s="419">
        <v>3.7370578810951129</v>
      </c>
      <c r="E849">
        <v>22</v>
      </c>
      <c r="F849">
        <v>17</v>
      </c>
    </row>
    <row r="850" spans="1:6" x14ac:dyDescent="0.2">
      <c r="A850" s="3"/>
      <c r="B850">
        <v>1.1000000000000001</v>
      </c>
      <c r="C850">
        <v>1.5</v>
      </c>
      <c r="D850" s="419">
        <v>2.3199999999999998</v>
      </c>
      <c r="E850">
        <v>22</v>
      </c>
      <c r="F850">
        <v>17</v>
      </c>
    </row>
    <row r="851" spans="1:6" x14ac:dyDescent="0.2">
      <c r="A851" s="3"/>
      <c r="B851">
        <v>1.6</v>
      </c>
      <c r="C851">
        <v>2</v>
      </c>
      <c r="D851" s="419">
        <v>2.4700000000000002</v>
      </c>
      <c r="E851">
        <v>22</v>
      </c>
      <c r="F851">
        <v>17</v>
      </c>
    </row>
    <row r="852" spans="1:6" x14ac:dyDescent="0.2">
      <c r="A852" s="3"/>
      <c r="B852">
        <v>2.1</v>
      </c>
      <c r="C852">
        <v>2.5</v>
      </c>
      <c r="D852" s="419">
        <v>3.46</v>
      </c>
      <c r="E852">
        <v>22</v>
      </c>
      <c r="F852">
        <v>17</v>
      </c>
    </row>
    <row r="853" spans="1:6" x14ac:dyDescent="0.2">
      <c r="A853" s="3"/>
      <c r="B853">
        <v>2.6</v>
      </c>
      <c r="C853">
        <v>3</v>
      </c>
      <c r="D853" s="419">
        <v>6.45</v>
      </c>
      <c r="E853">
        <v>22</v>
      </c>
      <c r="F853">
        <v>17</v>
      </c>
    </row>
    <row r="854" spans="1:6" x14ac:dyDescent="0.2">
      <c r="A854" s="3"/>
      <c r="B854">
        <v>3.1</v>
      </c>
      <c r="C854">
        <v>4</v>
      </c>
      <c r="D854" s="419">
        <v>9.6</v>
      </c>
      <c r="E854">
        <v>22</v>
      </c>
      <c r="F854">
        <v>17</v>
      </c>
    </row>
    <row r="855" spans="1:6" x14ac:dyDescent="0.2">
      <c r="A855" s="3"/>
      <c r="B855">
        <v>3.1</v>
      </c>
      <c r="C855">
        <v>6</v>
      </c>
      <c r="D855" s="419">
        <v>12.6</v>
      </c>
      <c r="E855">
        <v>22</v>
      </c>
      <c r="F855">
        <v>17</v>
      </c>
    </row>
    <row r="856" spans="1:6" x14ac:dyDescent="0.2">
      <c r="A856" s="3"/>
      <c r="B856">
        <v>6.1</v>
      </c>
      <c r="C856">
        <v>8</v>
      </c>
      <c r="D856" s="419">
        <v>17.850000000000001</v>
      </c>
      <c r="E856">
        <v>22</v>
      </c>
      <c r="F856">
        <v>17</v>
      </c>
    </row>
    <row r="857" spans="1:6" x14ac:dyDescent="0.2">
      <c r="A857" s="3"/>
      <c r="B857">
        <v>8.1</v>
      </c>
      <c r="C857">
        <v>10</v>
      </c>
      <c r="D857" s="419">
        <v>22.5</v>
      </c>
      <c r="E857">
        <v>22</v>
      </c>
      <c r="F857">
        <v>17</v>
      </c>
    </row>
    <row r="858" spans="1:6" x14ac:dyDescent="0.2">
      <c r="A858" s="3"/>
      <c r="B858">
        <v>10.1</v>
      </c>
      <c r="C858">
        <v>12</v>
      </c>
      <c r="D858" s="419">
        <v>29</v>
      </c>
      <c r="E858">
        <v>22</v>
      </c>
      <c r="F858">
        <v>17</v>
      </c>
    </row>
    <row r="859" spans="1:6" x14ac:dyDescent="0.2">
      <c r="A859" s="3"/>
      <c r="B859">
        <v>12.1</v>
      </c>
      <c r="C859">
        <v>14</v>
      </c>
      <c r="D859" s="419">
        <v>28</v>
      </c>
      <c r="E859">
        <v>22</v>
      </c>
      <c r="F859">
        <v>17</v>
      </c>
    </row>
    <row r="860" spans="1:6" x14ac:dyDescent="0.2">
      <c r="A860" s="3"/>
      <c r="B860">
        <v>14.1</v>
      </c>
      <c r="C860">
        <v>16</v>
      </c>
      <c r="D860" s="419">
        <v>35</v>
      </c>
      <c r="E860">
        <v>22</v>
      </c>
      <c r="F860">
        <v>17</v>
      </c>
    </row>
    <row r="861" spans="1:6" x14ac:dyDescent="0.2">
      <c r="A861" s="3"/>
      <c r="B861">
        <v>16.100000000000001</v>
      </c>
      <c r="C861">
        <v>18</v>
      </c>
      <c r="D861" s="419">
        <v>42.5</v>
      </c>
      <c r="E861">
        <v>22</v>
      </c>
      <c r="F861">
        <v>17</v>
      </c>
    </row>
    <row r="862" spans="1:6" x14ac:dyDescent="0.2">
      <c r="A862" s="3"/>
      <c r="B862">
        <v>18.100000000000001</v>
      </c>
      <c r="C862">
        <v>20</v>
      </c>
      <c r="D862" s="419">
        <v>52.5</v>
      </c>
      <c r="E862">
        <v>22</v>
      </c>
      <c r="F862">
        <v>17</v>
      </c>
    </row>
    <row r="863" spans="1:6" x14ac:dyDescent="0.2">
      <c r="A863" s="3"/>
      <c r="B863">
        <v>20.100000000000001</v>
      </c>
      <c r="C863">
        <v>24</v>
      </c>
      <c r="D863" s="419">
        <v>73.5</v>
      </c>
      <c r="E863">
        <v>22</v>
      </c>
      <c r="F863">
        <v>17</v>
      </c>
    </row>
    <row r="864" spans="1:6" x14ac:dyDescent="0.2">
      <c r="A864" s="3"/>
      <c r="B864">
        <v>24.1</v>
      </c>
      <c r="C864">
        <v>30</v>
      </c>
      <c r="D864" s="419">
        <v>115</v>
      </c>
      <c r="E864">
        <v>22</v>
      </c>
      <c r="F864">
        <v>17</v>
      </c>
    </row>
    <row r="865" spans="1:6" x14ac:dyDescent="0.2">
      <c r="A865" s="3"/>
      <c r="B865">
        <v>30.1</v>
      </c>
      <c r="C865">
        <v>36</v>
      </c>
      <c r="D865" s="419">
        <v>160</v>
      </c>
      <c r="E865">
        <v>22</v>
      </c>
      <c r="F865">
        <v>17</v>
      </c>
    </row>
    <row r="866" spans="1:6" x14ac:dyDescent="0.2">
      <c r="A866" s="3"/>
      <c r="B866">
        <v>36.1</v>
      </c>
      <c r="C866">
        <v>42</v>
      </c>
      <c r="D866" s="419">
        <v>217</v>
      </c>
      <c r="E866">
        <v>22</v>
      </c>
      <c r="F866">
        <v>17</v>
      </c>
    </row>
    <row r="867" spans="1:6" x14ac:dyDescent="0.2">
      <c r="A867" s="3"/>
      <c r="B867">
        <v>42.1</v>
      </c>
      <c r="C867">
        <v>48</v>
      </c>
      <c r="D867" s="419">
        <v>265</v>
      </c>
      <c r="E867">
        <v>22</v>
      </c>
      <c r="F867">
        <v>17</v>
      </c>
    </row>
    <row r="868" spans="1:6" x14ac:dyDescent="0.2">
      <c r="A868" s="3"/>
      <c r="B868">
        <v>48.1</v>
      </c>
      <c r="C868" t="s">
        <v>687</v>
      </c>
      <c r="D868" s="419" t="s">
        <v>687</v>
      </c>
      <c r="E868">
        <v>22</v>
      </c>
      <c r="F868">
        <v>17</v>
      </c>
    </row>
    <row r="871" spans="1:6" x14ac:dyDescent="0.2">
      <c r="A871" s="934" t="s">
        <v>4520</v>
      </c>
      <c r="B871" s="934" t="s">
        <v>4773</v>
      </c>
      <c r="C871" s="934"/>
      <c r="D871" s="934"/>
      <c r="E871" s="934"/>
      <c r="F871" s="934"/>
    </row>
    <row r="872" spans="1:6" x14ac:dyDescent="0.2">
      <c r="A872" s="944">
        <v>29</v>
      </c>
      <c r="B872" s="952" t="s">
        <v>4774</v>
      </c>
      <c r="C872" s="116" t="s">
        <v>4775</v>
      </c>
      <c r="D872" s="899" t="s">
        <v>4510</v>
      </c>
      <c r="E872" s="952" t="s">
        <v>4618</v>
      </c>
      <c r="F872" s="899" t="s">
        <v>4504</v>
      </c>
    </row>
    <row r="873" spans="1:6" x14ac:dyDescent="0.2">
      <c r="A873" s="3" t="s">
        <v>4776</v>
      </c>
      <c r="B873">
        <v>0</v>
      </c>
      <c r="C873">
        <v>1.5</v>
      </c>
      <c r="D873" s="419">
        <v>1592.0114753108576</v>
      </c>
      <c r="E873">
        <v>45</v>
      </c>
      <c r="F873">
        <v>40</v>
      </c>
    </row>
    <row r="874" spans="1:6" x14ac:dyDescent="0.2">
      <c r="A874" s="3"/>
      <c r="B874">
        <v>1.6</v>
      </c>
      <c r="C874">
        <v>2</v>
      </c>
      <c r="D874" s="419">
        <v>2338.2652863410285</v>
      </c>
      <c r="E874">
        <v>45</v>
      </c>
      <c r="F874">
        <v>40</v>
      </c>
    </row>
    <row r="875" spans="1:6" x14ac:dyDescent="0.2">
      <c r="A875" s="3"/>
      <c r="B875">
        <v>2.1</v>
      </c>
      <c r="C875">
        <v>2.5</v>
      </c>
      <c r="D875" s="419">
        <v>3611.0523920066867</v>
      </c>
      <c r="E875">
        <v>45</v>
      </c>
      <c r="F875">
        <v>40</v>
      </c>
    </row>
    <row r="876" spans="1:6" x14ac:dyDescent="0.2">
      <c r="A876" s="3"/>
      <c r="B876">
        <v>2.6</v>
      </c>
      <c r="C876">
        <v>3</v>
      </c>
      <c r="D876" s="419">
        <v>5300.1058353433509</v>
      </c>
      <c r="E876">
        <v>45</v>
      </c>
      <c r="F876">
        <v>40</v>
      </c>
    </row>
    <row r="877" spans="1:6" x14ac:dyDescent="0.2">
      <c r="A877" s="3"/>
      <c r="B877">
        <v>3.1</v>
      </c>
      <c r="C877">
        <v>4</v>
      </c>
      <c r="D877" s="419">
        <v>9224.9830647570034</v>
      </c>
      <c r="E877">
        <v>45</v>
      </c>
      <c r="F877">
        <v>40</v>
      </c>
    </row>
    <row r="878" spans="1:6" x14ac:dyDescent="0.2">
      <c r="A878" s="3"/>
      <c r="B878">
        <v>4.0999999999999996</v>
      </c>
      <c r="C878">
        <v>6</v>
      </c>
      <c r="D878" s="419">
        <v>11428.861838511519</v>
      </c>
      <c r="E878">
        <v>45</v>
      </c>
      <c r="F878">
        <v>40</v>
      </c>
    </row>
    <row r="879" spans="1:6" x14ac:dyDescent="0.2">
      <c r="A879" s="3"/>
      <c r="B879">
        <v>6.1</v>
      </c>
      <c r="C879">
        <v>8</v>
      </c>
      <c r="D879" s="419">
        <v>17349.221932885906</v>
      </c>
      <c r="E879">
        <v>45</v>
      </c>
      <c r="F879">
        <v>40</v>
      </c>
    </row>
    <row r="880" spans="1:6" x14ac:dyDescent="0.2">
      <c r="A880" s="3"/>
      <c r="B880">
        <v>8.1</v>
      </c>
      <c r="C880" t="s">
        <v>687</v>
      </c>
      <c r="D880" s="419" t="s">
        <v>687</v>
      </c>
      <c r="E880">
        <v>45</v>
      </c>
      <c r="F880">
        <v>40</v>
      </c>
    </row>
    <row r="883" spans="1:6" x14ac:dyDescent="0.2">
      <c r="A883" s="944">
        <v>3</v>
      </c>
      <c r="B883" s="116"/>
      <c r="C883" s="116"/>
      <c r="D883" s="116" t="s">
        <v>4646</v>
      </c>
      <c r="E883" s="116" t="s">
        <v>4503</v>
      </c>
    </row>
    <row r="884" spans="1:6" x14ac:dyDescent="0.2">
      <c r="A884" s="3" t="s">
        <v>4778</v>
      </c>
      <c r="B884" t="s">
        <v>4777</v>
      </c>
      <c r="C884" s="3" t="s">
        <v>4778</v>
      </c>
      <c r="D884" s="772">
        <v>15.191208791208791</v>
      </c>
      <c r="E884" t="s">
        <v>4514</v>
      </c>
    </row>
    <row r="887" spans="1:6" x14ac:dyDescent="0.2">
      <c r="A887" s="934" t="s">
        <v>4596</v>
      </c>
      <c r="B887" s="934" t="s">
        <v>4779</v>
      </c>
      <c r="C887" s="934"/>
      <c r="D887" s="934"/>
      <c r="E887" s="934"/>
      <c r="F887" s="934"/>
    </row>
    <row r="888" spans="1:6" x14ac:dyDescent="0.2">
      <c r="A888" s="944">
        <v>35</v>
      </c>
      <c r="B888" s="116" t="s">
        <v>4598</v>
      </c>
      <c r="C888" s="116" t="s">
        <v>4599</v>
      </c>
      <c r="D888" s="899" t="s">
        <v>4510</v>
      </c>
      <c r="E888" s="116" t="s">
        <v>4503</v>
      </c>
      <c r="F888" s="116" t="s">
        <v>4504</v>
      </c>
    </row>
    <row r="889" spans="1:6" x14ac:dyDescent="0.2">
      <c r="A889" s="3" t="s">
        <v>4780</v>
      </c>
      <c r="B889">
        <v>0</v>
      </c>
      <c r="C889">
        <v>0.5</v>
      </c>
      <c r="D889" s="419">
        <v>260.09816326530608</v>
      </c>
      <c r="E889">
        <v>25</v>
      </c>
      <c r="F889">
        <v>20</v>
      </c>
    </row>
    <row r="890" spans="1:6" x14ac:dyDescent="0.2">
      <c r="A890" s="3"/>
      <c r="B890">
        <v>0.6</v>
      </c>
      <c r="C890">
        <v>0.75</v>
      </c>
      <c r="D890" s="419">
        <v>282.54780745341617</v>
      </c>
      <c r="E890">
        <v>25</v>
      </c>
      <c r="F890">
        <v>20</v>
      </c>
    </row>
    <row r="891" spans="1:6" x14ac:dyDescent="0.2">
      <c r="A891" s="3"/>
      <c r="B891">
        <v>0.76</v>
      </c>
      <c r="C891">
        <v>1</v>
      </c>
      <c r="D891" s="419">
        <v>307.49703414634143</v>
      </c>
      <c r="E891">
        <v>25</v>
      </c>
      <c r="F891">
        <v>20</v>
      </c>
    </row>
    <row r="892" spans="1:6" x14ac:dyDescent="0.2">
      <c r="A892" s="3"/>
      <c r="B892">
        <v>1.1000000000000001</v>
      </c>
      <c r="C892">
        <v>1.5</v>
      </c>
      <c r="D892" s="419">
        <v>473.64268354430379</v>
      </c>
      <c r="E892">
        <v>25</v>
      </c>
      <c r="F892">
        <v>20</v>
      </c>
    </row>
    <row r="893" spans="1:6" x14ac:dyDescent="0.2">
      <c r="A893" s="3"/>
      <c r="B893">
        <v>1.6</v>
      </c>
      <c r="C893">
        <v>2</v>
      </c>
      <c r="D893" s="419">
        <v>599.03731818181814</v>
      </c>
      <c r="E893">
        <v>25</v>
      </c>
      <c r="F893">
        <v>20</v>
      </c>
    </row>
    <row r="894" spans="1:6" x14ac:dyDescent="0.2">
      <c r="A894" s="3"/>
      <c r="B894">
        <v>2.1</v>
      </c>
      <c r="C894">
        <v>2.5</v>
      </c>
      <c r="D894" s="419">
        <v>768.14740298507468</v>
      </c>
      <c r="E894">
        <v>25</v>
      </c>
      <c r="F894">
        <v>20</v>
      </c>
    </row>
    <row r="895" spans="1:6" x14ac:dyDescent="0.2">
      <c r="A895" s="3"/>
      <c r="B895">
        <v>2.6</v>
      </c>
      <c r="C895">
        <v>3</v>
      </c>
      <c r="D895" s="419">
        <v>1029.0379104477611</v>
      </c>
      <c r="E895">
        <v>25</v>
      </c>
      <c r="F895">
        <v>20</v>
      </c>
    </row>
    <row r="896" spans="1:6" x14ac:dyDescent="0.2">
      <c r="A896" s="3"/>
      <c r="B896">
        <v>3.1</v>
      </c>
      <c r="C896">
        <v>4</v>
      </c>
      <c r="D896" s="419">
        <v>1644.4010800000003</v>
      </c>
      <c r="E896">
        <v>25</v>
      </c>
      <c r="F896">
        <v>20</v>
      </c>
    </row>
    <row r="897" spans="1:6" x14ac:dyDescent="0.2">
      <c r="A897" s="3"/>
      <c r="B897">
        <v>4.0999999999999996</v>
      </c>
      <c r="C897">
        <v>6</v>
      </c>
      <c r="D897" s="419">
        <v>6040.9246741573043</v>
      </c>
      <c r="E897">
        <v>25</v>
      </c>
      <c r="F897">
        <v>20</v>
      </c>
    </row>
    <row r="898" spans="1:6" x14ac:dyDescent="0.2">
      <c r="A898" s="3"/>
      <c r="B898">
        <v>6.1</v>
      </c>
      <c r="C898">
        <v>8</v>
      </c>
      <c r="D898" s="419">
        <v>9572.4145503355703</v>
      </c>
      <c r="E898">
        <v>25</v>
      </c>
      <c r="F898">
        <v>20</v>
      </c>
    </row>
    <row r="899" spans="1:6" x14ac:dyDescent="0.2">
      <c r="A899" s="956"/>
      <c r="B899">
        <v>8.1</v>
      </c>
      <c r="C899">
        <v>30</v>
      </c>
      <c r="D899" s="419">
        <v>49334.628922752097</v>
      </c>
      <c r="E899">
        <v>25</v>
      </c>
      <c r="F899">
        <v>20</v>
      </c>
    </row>
    <row r="900" spans="1:6" x14ac:dyDescent="0.2">
      <c r="A900" s="956"/>
      <c r="B900">
        <v>30.1</v>
      </c>
      <c r="C900">
        <v>36</v>
      </c>
      <c r="D900" s="419">
        <v>59019.279083141446</v>
      </c>
      <c r="E900">
        <v>25</v>
      </c>
      <c r="F900">
        <v>20</v>
      </c>
    </row>
    <row r="901" spans="1:6" x14ac:dyDescent="0.2">
      <c r="A901" s="956"/>
      <c r="B901">
        <v>36.1</v>
      </c>
      <c r="C901">
        <v>42</v>
      </c>
      <c r="D901" s="419">
        <v>80002.687763985043</v>
      </c>
      <c r="E901">
        <v>25</v>
      </c>
      <c r="F901">
        <v>20</v>
      </c>
    </row>
    <row r="902" spans="1:6" x14ac:dyDescent="0.2">
      <c r="A902" s="956"/>
      <c r="B902">
        <v>42.1</v>
      </c>
      <c r="C902">
        <v>48</v>
      </c>
      <c r="D902" s="419">
        <v>96143.77136463394</v>
      </c>
      <c r="E902">
        <v>25</v>
      </c>
      <c r="F902">
        <v>20</v>
      </c>
    </row>
    <row r="903" spans="1:6" x14ac:dyDescent="0.2">
      <c r="A903" s="3"/>
      <c r="B903">
        <v>48.1</v>
      </c>
      <c r="C903" t="s">
        <v>687</v>
      </c>
      <c r="D903" s="419" t="s">
        <v>687</v>
      </c>
      <c r="E903">
        <v>25</v>
      </c>
      <c r="F903">
        <v>20</v>
      </c>
    </row>
    <row r="906" spans="1:6" x14ac:dyDescent="0.2">
      <c r="A906" s="934" t="s">
        <v>4624</v>
      </c>
      <c r="B906" s="934" t="s">
        <v>4781</v>
      </c>
      <c r="C906" s="934"/>
      <c r="D906" s="934"/>
      <c r="E906" s="934"/>
      <c r="F906" s="934"/>
    </row>
    <row r="907" spans="1:6" x14ac:dyDescent="0.2">
      <c r="A907" s="944">
        <v>23</v>
      </c>
      <c r="B907" s="116" t="s">
        <v>4626</v>
      </c>
      <c r="C907" s="116" t="s">
        <v>4627</v>
      </c>
      <c r="D907" s="116" t="s">
        <v>4510</v>
      </c>
      <c r="E907" s="116" t="s">
        <v>4503</v>
      </c>
      <c r="F907" s="116" t="s">
        <v>4504</v>
      </c>
    </row>
    <row r="908" spans="1:6" x14ac:dyDescent="0.2">
      <c r="A908" s="3" t="s">
        <v>4782</v>
      </c>
      <c r="B908">
        <v>0</v>
      </c>
      <c r="C908" s="694">
        <v>1100</v>
      </c>
      <c r="D908" s="957">
        <v>10925.879875999251</v>
      </c>
      <c r="E908">
        <v>35</v>
      </c>
      <c r="F908">
        <v>30</v>
      </c>
    </row>
    <row r="909" spans="1:6" x14ac:dyDescent="0.2">
      <c r="A909" s="3"/>
      <c r="B909">
        <v>1101</v>
      </c>
      <c r="C909" s="694">
        <v>2400</v>
      </c>
      <c r="D909" s="957">
        <v>15033.777689958049</v>
      </c>
      <c r="E909">
        <v>35</v>
      </c>
      <c r="F909">
        <v>30</v>
      </c>
    </row>
    <row r="910" spans="1:6" x14ac:dyDescent="0.2">
      <c r="A910" s="3"/>
      <c r="B910">
        <v>2401</v>
      </c>
      <c r="C910" s="694">
        <v>3000</v>
      </c>
      <c r="D910" s="957">
        <v>18123.913110825615</v>
      </c>
      <c r="E910">
        <v>35</v>
      </c>
      <c r="F910">
        <v>30</v>
      </c>
    </row>
    <row r="911" spans="1:6" x14ac:dyDescent="0.2">
      <c r="A911" s="3"/>
      <c r="B911">
        <v>3001</v>
      </c>
      <c r="C911" s="694">
        <v>4300</v>
      </c>
      <c r="D911" s="957">
        <v>25327.233246383039</v>
      </c>
      <c r="E911">
        <v>35</v>
      </c>
      <c r="F911">
        <v>30</v>
      </c>
    </row>
    <row r="912" spans="1:6" x14ac:dyDescent="0.2">
      <c r="A912" s="3"/>
      <c r="B912">
        <v>4301</v>
      </c>
      <c r="C912" s="694">
        <v>5100</v>
      </c>
      <c r="D912" s="957">
        <v>27899.146705242172</v>
      </c>
      <c r="E912">
        <v>35</v>
      </c>
      <c r="F912">
        <v>30</v>
      </c>
    </row>
    <row r="913" spans="1:6" x14ac:dyDescent="0.2">
      <c r="A913" s="3"/>
      <c r="B913">
        <v>5101</v>
      </c>
      <c r="C913" s="694">
        <v>6100</v>
      </c>
      <c r="D913" s="957">
        <v>31920.470343344543</v>
      </c>
      <c r="E913">
        <v>35</v>
      </c>
      <c r="F913">
        <v>30</v>
      </c>
    </row>
    <row r="914" spans="1:6" x14ac:dyDescent="0.2">
      <c r="A914" s="3"/>
      <c r="B914">
        <v>6101</v>
      </c>
      <c r="C914" s="694">
        <v>8000</v>
      </c>
      <c r="D914" s="957">
        <v>40900.418617903975</v>
      </c>
      <c r="E914">
        <v>35</v>
      </c>
      <c r="F914">
        <v>30</v>
      </c>
    </row>
    <row r="915" spans="1:6" x14ac:dyDescent="0.2">
      <c r="A915" s="3"/>
      <c r="B915">
        <v>8001</v>
      </c>
      <c r="C915" s="694">
        <v>10000</v>
      </c>
      <c r="D915" s="957">
        <v>48707.45393314898</v>
      </c>
      <c r="E915">
        <v>35</v>
      </c>
      <c r="F915">
        <v>30</v>
      </c>
    </row>
    <row r="916" spans="1:6" x14ac:dyDescent="0.2">
      <c r="A916" s="3"/>
      <c r="B916">
        <v>10001</v>
      </c>
      <c r="C916" s="694">
        <v>30000</v>
      </c>
      <c r="D916" s="957">
        <v>109987.48232351081</v>
      </c>
      <c r="E916">
        <v>35</v>
      </c>
      <c r="F916">
        <v>30</v>
      </c>
    </row>
    <row r="917" spans="1:6" x14ac:dyDescent="0.2">
      <c r="A917" s="3"/>
      <c r="B917">
        <v>30001</v>
      </c>
      <c r="C917" s="694" t="s">
        <v>687</v>
      </c>
      <c r="D917" s="957" t="s">
        <v>687</v>
      </c>
      <c r="E917">
        <v>35</v>
      </c>
      <c r="F917">
        <v>30</v>
      </c>
    </row>
    <row r="920" spans="1:6" x14ac:dyDescent="0.2">
      <c r="A920" s="934" t="s">
        <v>4506</v>
      </c>
      <c r="B920" s="934" t="s">
        <v>4783</v>
      </c>
      <c r="C920" s="934"/>
      <c r="D920" s="934"/>
      <c r="E920" s="934"/>
      <c r="F920" s="934"/>
    </row>
    <row r="921" spans="1:6" x14ac:dyDescent="0.2">
      <c r="A921" s="944">
        <v>30</v>
      </c>
      <c r="B921" s="116" t="s">
        <v>4766</v>
      </c>
      <c r="C921" s="116" t="s">
        <v>4767</v>
      </c>
      <c r="D921" s="899" t="s">
        <v>4510</v>
      </c>
      <c r="E921" s="116" t="s">
        <v>4503</v>
      </c>
      <c r="F921" s="116" t="s">
        <v>4504</v>
      </c>
    </row>
    <row r="922" spans="1:6" x14ac:dyDescent="0.2">
      <c r="A922" s="3" t="s">
        <v>4784</v>
      </c>
      <c r="B922">
        <v>0</v>
      </c>
      <c r="C922">
        <v>0.21</v>
      </c>
      <c r="D922" s="419">
        <v>1774.520225173663</v>
      </c>
      <c r="E922">
        <v>20</v>
      </c>
      <c r="F922">
        <v>15</v>
      </c>
    </row>
    <row r="923" spans="1:6" x14ac:dyDescent="0.2">
      <c r="A923" s="3"/>
      <c r="B923">
        <v>0.22</v>
      </c>
      <c r="C923">
        <v>0.5</v>
      </c>
      <c r="D923" s="419">
        <v>1894.3850274614583</v>
      </c>
      <c r="E923">
        <v>20</v>
      </c>
      <c r="F923">
        <v>15</v>
      </c>
    </row>
    <row r="924" spans="1:6" x14ac:dyDescent="0.2">
      <c r="A924" s="3"/>
      <c r="B924">
        <v>0.51</v>
      </c>
      <c r="C924">
        <v>0.8</v>
      </c>
      <c r="D924" s="419">
        <v>3294.9791846286298</v>
      </c>
      <c r="E924">
        <v>20</v>
      </c>
      <c r="F924">
        <v>15</v>
      </c>
    </row>
    <row r="925" spans="1:6" x14ac:dyDescent="0.2">
      <c r="A925" s="3"/>
      <c r="B925">
        <v>0.81</v>
      </c>
      <c r="C925">
        <v>1</v>
      </c>
      <c r="D925" s="419">
        <v>1657.2611794573418</v>
      </c>
      <c r="E925">
        <v>20</v>
      </c>
      <c r="F925">
        <v>15</v>
      </c>
    </row>
    <row r="926" spans="1:6" x14ac:dyDescent="0.2">
      <c r="A926" s="3"/>
      <c r="B926">
        <v>1.01</v>
      </c>
      <c r="C926">
        <v>2</v>
      </c>
      <c r="D926" s="419">
        <v>3251.9842011993123</v>
      </c>
      <c r="E926">
        <v>20</v>
      </c>
      <c r="F926">
        <v>15</v>
      </c>
    </row>
    <row r="927" spans="1:6" x14ac:dyDescent="0.2">
      <c r="A927" s="3"/>
      <c r="B927">
        <v>2.0099999999999998</v>
      </c>
      <c r="C927">
        <v>2.5</v>
      </c>
      <c r="D927" s="419">
        <v>2124.9944840368903</v>
      </c>
      <c r="E927">
        <v>20</v>
      </c>
      <c r="F927">
        <v>15</v>
      </c>
    </row>
    <row r="928" spans="1:6" x14ac:dyDescent="0.2">
      <c r="A928" s="3"/>
      <c r="B928">
        <v>2.5099999999999998</v>
      </c>
      <c r="C928">
        <v>3</v>
      </c>
      <c r="D928" s="419">
        <v>3251.9842011993123</v>
      </c>
      <c r="E928">
        <v>20</v>
      </c>
      <c r="F928">
        <v>15</v>
      </c>
    </row>
    <row r="929" spans="1:6" x14ac:dyDescent="0.2">
      <c r="A929" s="3"/>
      <c r="B929">
        <v>3.01</v>
      </c>
      <c r="C929">
        <v>3.17</v>
      </c>
      <c r="D929" s="419">
        <v>2406.4161937560611</v>
      </c>
      <c r="E929">
        <v>20</v>
      </c>
      <c r="F929">
        <v>15</v>
      </c>
    </row>
    <row r="930" spans="1:6" x14ac:dyDescent="0.2">
      <c r="A930" s="3"/>
      <c r="B930">
        <v>3.1799999999999997</v>
      </c>
      <c r="C930">
        <v>4</v>
      </c>
      <c r="D930" s="419">
        <v>3251.9842011993123</v>
      </c>
      <c r="E930">
        <v>20</v>
      </c>
      <c r="F930">
        <v>15</v>
      </c>
    </row>
    <row r="931" spans="1:6" x14ac:dyDescent="0.2">
      <c r="A931" s="3"/>
      <c r="B931">
        <v>4.01</v>
      </c>
      <c r="C931">
        <v>5</v>
      </c>
      <c r="D931" s="419">
        <v>2552.3385617585946</v>
      </c>
      <c r="E931">
        <v>20</v>
      </c>
      <c r="F931">
        <v>15</v>
      </c>
    </row>
    <row r="932" spans="1:6" x14ac:dyDescent="0.2">
      <c r="A932" s="3"/>
      <c r="B932">
        <v>5.01</v>
      </c>
      <c r="C932">
        <v>7</v>
      </c>
      <c r="D932" s="419">
        <v>3251.9842011993123</v>
      </c>
      <c r="E932">
        <v>20</v>
      </c>
      <c r="F932">
        <v>15</v>
      </c>
    </row>
    <row r="933" spans="1:6" x14ac:dyDescent="0.2">
      <c r="A933" s="3"/>
      <c r="B933">
        <v>7.01</v>
      </c>
      <c r="C933">
        <v>10</v>
      </c>
      <c r="D933" s="419">
        <v>2737.3472783332354</v>
      </c>
      <c r="E933">
        <v>20</v>
      </c>
      <c r="F933">
        <v>15</v>
      </c>
    </row>
    <row r="934" spans="1:6" x14ac:dyDescent="0.2">
      <c r="A934" s="3"/>
      <c r="B934">
        <v>10.01</v>
      </c>
      <c r="C934">
        <v>21</v>
      </c>
      <c r="D934" s="419">
        <v>3684.5397920639643</v>
      </c>
      <c r="E934">
        <v>20</v>
      </c>
      <c r="F934">
        <v>15</v>
      </c>
    </row>
    <row r="935" spans="1:6" x14ac:dyDescent="0.2">
      <c r="A935" s="3"/>
      <c r="B935">
        <v>21.01</v>
      </c>
      <c r="C935" t="s">
        <v>687</v>
      </c>
      <c r="D935" s="419" t="s">
        <v>687</v>
      </c>
      <c r="E935">
        <v>20</v>
      </c>
      <c r="F935">
        <v>15</v>
      </c>
    </row>
    <row r="938" spans="1:6" x14ac:dyDescent="0.2">
      <c r="A938" s="934" t="s">
        <v>4596</v>
      </c>
      <c r="B938" s="934" t="s">
        <v>4785</v>
      </c>
      <c r="C938" s="934"/>
      <c r="D938" s="934"/>
      <c r="E938" s="934"/>
      <c r="F938" s="934"/>
    </row>
    <row r="939" spans="1:6" x14ac:dyDescent="0.2">
      <c r="A939" s="944">
        <v>35</v>
      </c>
      <c r="B939" s="116" t="s">
        <v>4598</v>
      </c>
      <c r="C939" s="116" t="s">
        <v>4599</v>
      </c>
      <c r="D939" s="899" t="s">
        <v>4510</v>
      </c>
      <c r="E939" s="116" t="s">
        <v>4503</v>
      </c>
      <c r="F939" s="116" t="s">
        <v>4504</v>
      </c>
    </row>
    <row r="940" spans="1:6" x14ac:dyDescent="0.2">
      <c r="A940" s="3" t="s">
        <v>4786</v>
      </c>
      <c r="B940">
        <v>0</v>
      </c>
      <c r="C940">
        <v>1</v>
      </c>
      <c r="D940" s="419">
        <v>317.83100975609756</v>
      </c>
      <c r="E940">
        <v>25</v>
      </c>
      <c r="F940">
        <v>20</v>
      </c>
    </row>
    <row r="941" spans="1:6" x14ac:dyDescent="0.2">
      <c r="A941" s="3"/>
      <c r="B941">
        <v>1.1000000000000001</v>
      </c>
      <c r="C941">
        <v>2</v>
      </c>
      <c r="D941" s="419">
        <v>468.17123628865829</v>
      </c>
      <c r="E941">
        <v>25</v>
      </c>
      <c r="F941">
        <v>20</v>
      </c>
    </row>
    <row r="942" spans="1:6" x14ac:dyDescent="0.2">
      <c r="A942" s="3"/>
      <c r="B942">
        <v>2.1</v>
      </c>
      <c r="C942">
        <v>3</v>
      </c>
      <c r="D942" s="419">
        <v>761.47524388103591</v>
      </c>
      <c r="E942">
        <v>25</v>
      </c>
      <c r="F942">
        <v>20</v>
      </c>
    </row>
    <row r="943" spans="1:6" x14ac:dyDescent="0.2">
      <c r="A943" s="3"/>
      <c r="B943">
        <v>3.1</v>
      </c>
      <c r="C943">
        <v>4</v>
      </c>
      <c r="D943" s="419">
        <v>1023.1879828009146</v>
      </c>
      <c r="E943">
        <v>25</v>
      </c>
      <c r="F943">
        <v>20</v>
      </c>
    </row>
    <row r="944" spans="1:6" x14ac:dyDescent="0.2">
      <c r="A944" s="3"/>
      <c r="B944">
        <v>4.0999999999999996</v>
      </c>
      <c r="C944">
        <v>6</v>
      </c>
      <c r="D944" s="419">
        <v>1045.1288577751598</v>
      </c>
      <c r="E944">
        <v>25</v>
      </c>
      <c r="F944">
        <v>20</v>
      </c>
    </row>
    <row r="945" spans="1:6" x14ac:dyDescent="0.2">
      <c r="A945" s="3"/>
      <c r="B945">
        <v>6.1</v>
      </c>
      <c r="C945">
        <v>8</v>
      </c>
      <c r="D945" s="419">
        <v>1499.216706700558</v>
      </c>
      <c r="E945">
        <v>25</v>
      </c>
      <c r="F945">
        <v>20</v>
      </c>
    </row>
    <row r="946" spans="1:6" x14ac:dyDescent="0.2">
      <c r="A946" s="3"/>
      <c r="B946">
        <v>8.1</v>
      </c>
      <c r="C946">
        <v>10</v>
      </c>
      <c r="D946" s="419">
        <v>2730.5081374852439</v>
      </c>
      <c r="E946">
        <v>25</v>
      </c>
      <c r="F946">
        <v>20</v>
      </c>
    </row>
    <row r="947" spans="1:6" x14ac:dyDescent="0.2">
      <c r="A947" s="3"/>
      <c r="B947">
        <v>10.1</v>
      </c>
      <c r="C947">
        <v>12</v>
      </c>
      <c r="D947" s="419">
        <v>3467.076863583452</v>
      </c>
      <c r="E947">
        <v>25</v>
      </c>
      <c r="F947">
        <v>20</v>
      </c>
    </row>
    <row r="948" spans="1:6" x14ac:dyDescent="0.2">
      <c r="A948" s="3"/>
      <c r="B948">
        <v>12.1</v>
      </c>
      <c r="C948" t="s">
        <v>687</v>
      </c>
      <c r="D948" s="419" t="s">
        <v>687</v>
      </c>
      <c r="E948">
        <v>25</v>
      </c>
      <c r="F948">
        <v>20</v>
      </c>
    </row>
    <row r="951" spans="1:6" x14ac:dyDescent="0.2">
      <c r="A951" s="934" t="s">
        <v>4506</v>
      </c>
      <c r="B951" s="934" t="s">
        <v>4787</v>
      </c>
      <c r="C951" s="934"/>
      <c r="D951" s="934"/>
      <c r="E951" s="934"/>
      <c r="F951" s="934"/>
    </row>
    <row r="952" spans="1:6" x14ac:dyDescent="0.2">
      <c r="A952" s="944">
        <v>30</v>
      </c>
      <c r="B952" s="116" t="s">
        <v>4766</v>
      </c>
      <c r="C952" s="116" t="s">
        <v>4767</v>
      </c>
      <c r="D952" s="899" t="s">
        <v>4510</v>
      </c>
      <c r="E952" s="116" t="s">
        <v>4503</v>
      </c>
      <c r="F952" s="116" t="s">
        <v>4504</v>
      </c>
    </row>
    <row r="953" spans="1:6" x14ac:dyDescent="0.2">
      <c r="A953" s="3" t="s">
        <v>4788</v>
      </c>
      <c r="B953">
        <v>0</v>
      </c>
      <c r="C953">
        <v>1</v>
      </c>
      <c r="D953" s="419">
        <v>3680.6311572067534</v>
      </c>
      <c r="E953">
        <v>20</v>
      </c>
      <c r="F953">
        <v>17</v>
      </c>
    </row>
    <row r="954" spans="1:6" x14ac:dyDescent="0.2">
      <c r="A954" s="3"/>
      <c r="B954">
        <v>1.01</v>
      </c>
      <c r="C954">
        <v>2</v>
      </c>
      <c r="D954" s="419">
        <v>3680.6311572067534</v>
      </c>
      <c r="E954">
        <v>20</v>
      </c>
      <c r="F954">
        <v>17</v>
      </c>
    </row>
    <row r="955" spans="1:6" x14ac:dyDescent="0.2">
      <c r="A955" s="3"/>
      <c r="B955">
        <v>2.0099999999999998</v>
      </c>
      <c r="C955">
        <v>4</v>
      </c>
      <c r="D955" s="419">
        <v>3680.6311572067534</v>
      </c>
      <c r="E955">
        <v>20</v>
      </c>
      <c r="F955">
        <v>17</v>
      </c>
    </row>
    <row r="956" spans="1:6" x14ac:dyDescent="0.2">
      <c r="A956" s="3"/>
      <c r="B956">
        <v>4.01</v>
      </c>
      <c r="C956">
        <v>5</v>
      </c>
      <c r="D956" s="419">
        <v>3680.6311572067534</v>
      </c>
      <c r="E956">
        <v>20</v>
      </c>
      <c r="F956">
        <v>17</v>
      </c>
    </row>
    <row r="957" spans="1:6" x14ac:dyDescent="0.2">
      <c r="A957" s="3"/>
      <c r="B957">
        <v>5.01</v>
      </c>
      <c r="C957">
        <v>7</v>
      </c>
      <c r="D957" s="419">
        <v>3680.6311572067534</v>
      </c>
      <c r="E957">
        <v>20</v>
      </c>
      <c r="F957">
        <v>17</v>
      </c>
    </row>
    <row r="958" spans="1:6" x14ac:dyDescent="0.2">
      <c r="A958" s="3"/>
      <c r="B958">
        <v>7.01</v>
      </c>
      <c r="C958">
        <v>11</v>
      </c>
      <c r="D958" s="419">
        <v>3680.6311572067534</v>
      </c>
      <c r="E958">
        <v>20</v>
      </c>
      <c r="F958">
        <v>17</v>
      </c>
    </row>
    <row r="959" spans="1:6" x14ac:dyDescent="0.2">
      <c r="A959" s="3"/>
      <c r="B959">
        <v>11.01</v>
      </c>
      <c r="C959">
        <v>14</v>
      </c>
      <c r="D959" s="419">
        <v>4695.5733417958018</v>
      </c>
      <c r="E959">
        <v>20</v>
      </c>
      <c r="F959">
        <v>17</v>
      </c>
    </row>
    <row r="960" spans="1:6" x14ac:dyDescent="0.2">
      <c r="A960" s="3"/>
      <c r="B960">
        <v>14.01</v>
      </c>
      <c r="C960">
        <v>29</v>
      </c>
      <c r="D960" s="419">
        <v>5001.7497389439741</v>
      </c>
      <c r="E960">
        <v>20</v>
      </c>
      <c r="F960">
        <v>17</v>
      </c>
    </row>
    <row r="961" spans="1:6" x14ac:dyDescent="0.2">
      <c r="A961" s="3"/>
      <c r="B961">
        <v>29.01</v>
      </c>
      <c r="C961">
        <v>35</v>
      </c>
      <c r="D961" s="419">
        <v>5155.4893766609293</v>
      </c>
      <c r="E961">
        <v>20</v>
      </c>
      <c r="F961">
        <v>17</v>
      </c>
    </row>
    <row r="962" spans="1:6" x14ac:dyDescent="0.2">
      <c r="A962" s="3"/>
      <c r="B962">
        <v>35.01</v>
      </c>
      <c r="C962">
        <v>59</v>
      </c>
      <c r="D962" s="419">
        <v>6859.1551118682983</v>
      </c>
      <c r="E962">
        <v>20</v>
      </c>
      <c r="F962">
        <v>17</v>
      </c>
    </row>
    <row r="963" spans="1:6" x14ac:dyDescent="0.2">
      <c r="A963" s="3"/>
      <c r="B963">
        <v>59.01</v>
      </c>
      <c r="C963">
        <v>98</v>
      </c>
      <c r="D963" s="419">
        <v>7352.1766738116858</v>
      </c>
      <c r="E963">
        <v>20</v>
      </c>
      <c r="F963">
        <v>17</v>
      </c>
    </row>
    <row r="964" spans="1:6" x14ac:dyDescent="0.2">
      <c r="A964" s="3"/>
      <c r="B964">
        <v>98.01</v>
      </c>
      <c r="C964">
        <v>132</v>
      </c>
      <c r="D964" s="419">
        <v>8019.603101716275</v>
      </c>
      <c r="E964">
        <v>20</v>
      </c>
      <c r="F964">
        <v>17</v>
      </c>
    </row>
    <row r="965" spans="1:6" x14ac:dyDescent="0.2">
      <c r="A965" s="3"/>
      <c r="B965">
        <v>132.01</v>
      </c>
      <c r="C965" t="s">
        <v>687</v>
      </c>
      <c r="D965" s="419" t="s">
        <v>687</v>
      </c>
      <c r="E965">
        <v>20</v>
      </c>
      <c r="F965">
        <v>17</v>
      </c>
    </row>
    <row r="968" spans="1:6" x14ac:dyDescent="0.2">
      <c r="A968" s="934" t="s">
        <v>4596</v>
      </c>
      <c r="B968" s="934" t="s">
        <v>4789</v>
      </c>
      <c r="C968" s="934"/>
      <c r="D968" s="934"/>
      <c r="E968" s="934"/>
      <c r="F968" s="934"/>
    </row>
    <row r="969" spans="1:6" x14ac:dyDescent="0.2">
      <c r="A969" s="944">
        <v>35</v>
      </c>
      <c r="B969" s="116" t="s">
        <v>4598</v>
      </c>
      <c r="C969" s="116" t="s">
        <v>4599</v>
      </c>
      <c r="D969" s="899" t="s">
        <v>4510</v>
      </c>
      <c r="E969" s="116" t="s">
        <v>4503</v>
      </c>
      <c r="F969" s="116" t="s">
        <v>4504</v>
      </c>
    </row>
    <row r="970" spans="1:6" x14ac:dyDescent="0.2">
      <c r="A970" s="3" t="s">
        <v>4790</v>
      </c>
      <c r="B970">
        <v>0</v>
      </c>
      <c r="C970">
        <v>1</v>
      </c>
      <c r="D970" s="419">
        <v>1207.272967032967</v>
      </c>
      <c r="E970">
        <v>25</v>
      </c>
      <c r="F970">
        <v>20</v>
      </c>
    </row>
    <row r="971" spans="1:6" x14ac:dyDescent="0.2">
      <c r="A971" s="3"/>
      <c r="B971">
        <v>1.1000000000000001</v>
      </c>
      <c r="C971">
        <v>1.5</v>
      </c>
      <c r="D971" s="419">
        <v>1723.1306593406593</v>
      </c>
      <c r="E971">
        <v>25</v>
      </c>
      <c r="F971">
        <v>20</v>
      </c>
    </row>
    <row r="972" spans="1:6" x14ac:dyDescent="0.2">
      <c r="A972" s="3"/>
      <c r="B972">
        <v>1.6</v>
      </c>
      <c r="C972">
        <v>2</v>
      </c>
      <c r="D972" s="419">
        <v>1414.6933333692275</v>
      </c>
      <c r="E972">
        <v>25</v>
      </c>
      <c r="F972">
        <v>20</v>
      </c>
    </row>
    <row r="973" spans="1:6" x14ac:dyDescent="0.2">
      <c r="A973" s="3"/>
      <c r="B973">
        <v>2.1</v>
      </c>
      <c r="C973">
        <v>3</v>
      </c>
      <c r="D973" s="419">
        <v>2482.1433022573333</v>
      </c>
      <c r="E973">
        <v>25</v>
      </c>
      <c r="F973">
        <v>20</v>
      </c>
    </row>
    <row r="974" spans="1:6" x14ac:dyDescent="0.2">
      <c r="A974" s="3"/>
      <c r="B974">
        <v>3.1</v>
      </c>
      <c r="C974">
        <v>4</v>
      </c>
      <c r="D974" s="419">
        <v>4004.9512980917061</v>
      </c>
      <c r="E974">
        <v>25</v>
      </c>
      <c r="F974">
        <v>20</v>
      </c>
    </row>
    <row r="975" spans="1:6" x14ac:dyDescent="0.2">
      <c r="A975" s="3"/>
      <c r="B975">
        <v>4.0999999999999996</v>
      </c>
      <c r="C975">
        <v>6</v>
      </c>
      <c r="D975" s="419">
        <v>2714.3535021394746</v>
      </c>
      <c r="E975">
        <v>25</v>
      </c>
      <c r="F975">
        <v>20</v>
      </c>
    </row>
    <row r="976" spans="1:6" x14ac:dyDescent="0.2">
      <c r="A976" s="3"/>
      <c r="B976">
        <v>6.1</v>
      </c>
      <c r="C976">
        <v>8</v>
      </c>
      <c r="D976" s="419">
        <v>4334.6072933153191</v>
      </c>
      <c r="E976">
        <v>25</v>
      </c>
      <c r="F976">
        <v>20</v>
      </c>
    </row>
    <row r="977" spans="1:6" x14ac:dyDescent="0.2">
      <c r="A977" s="3"/>
      <c r="B977">
        <v>8.1</v>
      </c>
      <c r="C977">
        <v>10</v>
      </c>
      <c r="D977" s="419">
        <v>5587.5543049125572</v>
      </c>
      <c r="E977">
        <v>25</v>
      </c>
      <c r="F977">
        <v>20</v>
      </c>
    </row>
    <row r="978" spans="1:6" x14ac:dyDescent="0.2">
      <c r="A978" s="3"/>
      <c r="B978">
        <v>10.1</v>
      </c>
      <c r="C978">
        <v>12</v>
      </c>
      <c r="D978" s="419">
        <v>7631.5667775126039</v>
      </c>
      <c r="E978">
        <v>25</v>
      </c>
      <c r="F978">
        <v>20</v>
      </c>
    </row>
    <row r="979" spans="1:6" x14ac:dyDescent="0.2">
      <c r="A979" s="3"/>
      <c r="B979">
        <v>12.1</v>
      </c>
      <c r="C979">
        <v>14</v>
      </c>
      <c r="D979" s="419">
        <v>24748.502523442836</v>
      </c>
      <c r="E979">
        <v>25</v>
      </c>
      <c r="F979">
        <v>20</v>
      </c>
    </row>
    <row r="980" spans="1:6" x14ac:dyDescent="0.2">
      <c r="A980" s="3"/>
      <c r="B980">
        <v>14.1</v>
      </c>
      <c r="C980">
        <v>16</v>
      </c>
      <c r="D980" s="419">
        <v>28530.258869128291</v>
      </c>
      <c r="E980">
        <v>25</v>
      </c>
      <c r="F980">
        <v>20</v>
      </c>
    </row>
    <row r="981" spans="1:6" x14ac:dyDescent="0.2">
      <c r="A981" s="3"/>
      <c r="B981">
        <v>16.100000000000001</v>
      </c>
      <c r="C981">
        <v>20</v>
      </c>
      <c r="D981" s="419">
        <v>46615.65881913164</v>
      </c>
      <c r="E981">
        <v>25</v>
      </c>
      <c r="F981">
        <v>20</v>
      </c>
    </row>
    <row r="982" spans="1:6" x14ac:dyDescent="0.2">
      <c r="A982" s="3"/>
      <c r="B982">
        <v>20.100000000000001</v>
      </c>
      <c r="C982">
        <v>24</v>
      </c>
      <c r="D982" s="419">
        <v>65149.016724246409</v>
      </c>
      <c r="E982">
        <v>25</v>
      </c>
      <c r="F982">
        <v>20</v>
      </c>
    </row>
    <row r="983" spans="1:6" x14ac:dyDescent="0.2">
      <c r="A983" s="3"/>
      <c r="B983">
        <v>24.1</v>
      </c>
      <c r="C983">
        <v>30</v>
      </c>
      <c r="D983" s="419">
        <v>80302.681490252042</v>
      </c>
      <c r="E983">
        <v>25</v>
      </c>
      <c r="F983">
        <v>20</v>
      </c>
    </row>
    <row r="984" spans="1:6" x14ac:dyDescent="0.2">
      <c r="A984" s="3"/>
      <c r="B984">
        <v>30.1</v>
      </c>
      <c r="C984">
        <v>48</v>
      </c>
      <c r="D984" s="419">
        <v>220985.84305316926</v>
      </c>
      <c r="E984">
        <v>25</v>
      </c>
      <c r="F984">
        <v>20</v>
      </c>
    </row>
    <row r="985" spans="1:6" x14ac:dyDescent="0.2">
      <c r="A985" s="3"/>
      <c r="B985">
        <v>48.1</v>
      </c>
      <c r="C985" t="s">
        <v>687</v>
      </c>
      <c r="D985" s="419" t="s">
        <v>687</v>
      </c>
      <c r="E985">
        <v>25</v>
      </c>
      <c r="F985">
        <v>20</v>
      </c>
    </row>
    <row r="988" spans="1:6" x14ac:dyDescent="0.2">
      <c r="A988" s="934" t="s">
        <v>4791</v>
      </c>
      <c r="B988" s="934" t="s">
        <v>4792</v>
      </c>
      <c r="C988" s="934"/>
      <c r="D988" s="934"/>
      <c r="E988" s="934"/>
      <c r="F988" s="934"/>
    </row>
    <row r="989" spans="1:6" x14ac:dyDescent="0.2">
      <c r="A989" s="944">
        <v>21</v>
      </c>
      <c r="B989" s="116" t="s">
        <v>4598</v>
      </c>
      <c r="C989" s="116" t="s">
        <v>4599</v>
      </c>
      <c r="D989" s="899" t="s">
        <v>4622</v>
      </c>
      <c r="E989" s="116" t="s">
        <v>4503</v>
      </c>
      <c r="F989" s="116" t="s">
        <v>4504</v>
      </c>
    </row>
    <row r="990" spans="1:6" x14ac:dyDescent="0.2">
      <c r="A990" s="3" t="s">
        <v>4793</v>
      </c>
      <c r="B990">
        <v>0</v>
      </c>
      <c r="C990">
        <v>0.5</v>
      </c>
      <c r="D990" s="419">
        <v>23</v>
      </c>
      <c r="E990">
        <v>45</v>
      </c>
      <c r="F990">
        <v>40</v>
      </c>
    </row>
    <row r="991" spans="1:6" x14ac:dyDescent="0.2">
      <c r="A991" s="3"/>
      <c r="B991">
        <v>0.6</v>
      </c>
      <c r="C991">
        <v>0.75</v>
      </c>
      <c r="D991" s="419">
        <v>29.5</v>
      </c>
      <c r="E991">
        <v>45</v>
      </c>
      <c r="F991">
        <v>40</v>
      </c>
    </row>
    <row r="992" spans="1:6" x14ac:dyDescent="0.2">
      <c r="A992" s="3"/>
      <c r="B992">
        <v>0.76</v>
      </c>
      <c r="C992">
        <v>1</v>
      </c>
      <c r="D992" s="419">
        <v>37.5</v>
      </c>
      <c r="E992">
        <v>45</v>
      </c>
      <c r="F992">
        <v>40</v>
      </c>
    </row>
    <row r="993" spans="1:6" x14ac:dyDescent="0.2">
      <c r="A993" s="3"/>
      <c r="B993">
        <v>1.1000000000000001</v>
      </c>
      <c r="C993">
        <v>1.25</v>
      </c>
      <c r="D993" s="419">
        <v>45</v>
      </c>
      <c r="E993">
        <v>45</v>
      </c>
      <c r="F993">
        <v>40</v>
      </c>
    </row>
    <row r="994" spans="1:6" x14ac:dyDescent="0.2">
      <c r="A994" s="3"/>
      <c r="B994">
        <v>1.26</v>
      </c>
      <c r="C994">
        <v>1.5</v>
      </c>
      <c r="D994" s="419">
        <v>57</v>
      </c>
      <c r="E994">
        <v>45</v>
      </c>
      <c r="F994">
        <v>40</v>
      </c>
    </row>
    <row r="995" spans="1:6" x14ac:dyDescent="0.2">
      <c r="A995" s="3"/>
      <c r="B995">
        <v>1.6</v>
      </c>
      <c r="C995">
        <v>2</v>
      </c>
      <c r="D995" s="419">
        <v>82.5</v>
      </c>
      <c r="E995">
        <v>45</v>
      </c>
      <c r="F995">
        <v>40</v>
      </c>
    </row>
    <row r="996" spans="1:6" x14ac:dyDescent="0.2">
      <c r="A996" s="3"/>
      <c r="B996">
        <v>2.1</v>
      </c>
      <c r="C996">
        <v>2.5</v>
      </c>
      <c r="D996" s="419">
        <v>153</v>
      </c>
      <c r="E996">
        <v>45</v>
      </c>
      <c r="F996">
        <v>40</v>
      </c>
    </row>
    <row r="997" spans="1:6" x14ac:dyDescent="0.2">
      <c r="A997" s="3"/>
      <c r="B997">
        <v>2.6</v>
      </c>
      <c r="C997">
        <v>3</v>
      </c>
      <c r="D997" s="419">
        <v>190</v>
      </c>
      <c r="E997">
        <v>45</v>
      </c>
      <c r="F997">
        <v>40</v>
      </c>
    </row>
    <row r="998" spans="1:6" x14ac:dyDescent="0.2">
      <c r="A998" s="3"/>
      <c r="B998">
        <v>3.1</v>
      </c>
      <c r="C998">
        <v>4</v>
      </c>
      <c r="D998" s="419">
        <v>231</v>
      </c>
      <c r="E998">
        <v>45</v>
      </c>
      <c r="F998">
        <v>40</v>
      </c>
    </row>
    <row r="999" spans="1:6" x14ac:dyDescent="0.2">
      <c r="A999" s="3"/>
      <c r="B999">
        <v>4.0999999999999996</v>
      </c>
      <c r="C999">
        <v>6</v>
      </c>
      <c r="D999" s="419">
        <v>325</v>
      </c>
      <c r="E999">
        <v>45</v>
      </c>
      <c r="F999">
        <v>40</v>
      </c>
    </row>
    <row r="1000" spans="1:6" x14ac:dyDescent="0.2">
      <c r="A1000" s="3"/>
      <c r="B1000">
        <v>6.1</v>
      </c>
      <c r="C1000">
        <v>8</v>
      </c>
      <c r="D1000" s="419">
        <v>475</v>
      </c>
      <c r="E1000">
        <v>45</v>
      </c>
      <c r="F1000">
        <v>40</v>
      </c>
    </row>
    <row r="1001" spans="1:6" x14ac:dyDescent="0.2">
      <c r="A1001" s="3"/>
      <c r="B1001">
        <v>8.1</v>
      </c>
      <c r="C1001">
        <v>10</v>
      </c>
      <c r="D1001" s="419">
        <v>565</v>
      </c>
      <c r="E1001">
        <v>45</v>
      </c>
      <c r="F1001">
        <v>40</v>
      </c>
    </row>
    <row r="1002" spans="1:6" x14ac:dyDescent="0.2">
      <c r="A1002" s="3"/>
      <c r="B1002">
        <v>10.1</v>
      </c>
      <c r="C1002">
        <v>12</v>
      </c>
      <c r="D1002" s="419">
        <v>725</v>
      </c>
      <c r="E1002">
        <v>45</v>
      </c>
      <c r="F1002">
        <v>40</v>
      </c>
    </row>
    <row r="1003" spans="1:6" x14ac:dyDescent="0.2">
      <c r="A1003" s="3"/>
      <c r="B1003">
        <v>12.1</v>
      </c>
      <c r="C1003">
        <v>16</v>
      </c>
      <c r="D1003" s="419">
        <v>328.39642490634219</v>
      </c>
      <c r="E1003">
        <v>45</v>
      </c>
      <c r="F1003">
        <v>40</v>
      </c>
    </row>
    <row r="1004" spans="1:6" x14ac:dyDescent="0.2">
      <c r="A1004" s="3"/>
      <c r="B1004">
        <v>16.100000000000001</v>
      </c>
      <c r="C1004">
        <v>24</v>
      </c>
      <c r="D1004" s="419">
        <v>574.9220707070707</v>
      </c>
      <c r="E1004">
        <v>45</v>
      </c>
      <c r="F1004">
        <v>40</v>
      </c>
    </row>
    <row r="1005" spans="1:6" x14ac:dyDescent="0.2">
      <c r="A1005" s="3"/>
      <c r="B1005">
        <v>24.1</v>
      </c>
      <c r="C1005">
        <v>36</v>
      </c>
      <c r="D1005" s="419">
        <v>1302.2010248742749</v>
      </c>
      <c r="E1005">
        <v>45</v>
      </c>
      <c r="F1005">
        <v>40</v>
      </c>
    </row>
    <row r="1006" spans="1:6" x14ac:dyDescent="0.2">
      <c r="A1006" s="3"/>
      <c r="B1006">
        <v>36.1</v>
      </c>
      <c r="C1006">
        <v>48</v>
      </c>
      <c r="D1006" s="419">
        <v>2074.2913701060911</v>
      </c>
      <c r="E1006">
        <v>45</v>
      </c>
      <c r="F1006">
        <v>40</v>
      </c>
    </row>
    <row r="1007" spans="1:6" x14ac:dyDescent="0.2">
      <c r="A1007" s="3"/>
      <c r="B1007">
        <v>48.1</v>
      </c>
      <c r="C1007" t="s">
        <v>687</v>
      </c>
      <c r="D1007" s="419" t="s">
        <v>687</v>
      </c>
      <c r="E1007">
        <v>45</v>
      </c>
      <c r="F1007">
        <v>40</v>
      </c>
    </row>
    <row r="1010" spans="1:6" x14ac:dyDescent="0.2">
      <c r="A1010" s="934" t="s">
        <v>4624</v>
      </c>
      <c r="B1010" s="934" t="s">
        <v>4794</v>
      </c>
      <c r="C1010" s="934"/>
      <c r="D1010" s="934"/>
      <c r="E1010" s="934"/>
      <c r="F1010" s="934"/>
    </row>
    <row r="1011" spans="1:6" x14ac:dyDescent="0.2">
      <c r="A1011" s="944">
        <v>23</v>
      </c>
      <c r="B1011" s="116" t="s">
        <v>4626</v>
      </c>
      <c r="C1011" s="116" t="s">
        <v>4627</v>
      </c>
      <c r="D1011" s="116" t="s">
        <v>4510</v>
      </c>
      <c r="E1011" s="116" t="s">
        <v>4503</v>
      </c>
      <c r="F1011" s="116" t="s">
        <v>4504</v>
      </c>
    </row>
    <row r="1012" spans="1:6" x14ac:dyDescent="0.2">
      <c r="A1012" s="3" t="s">
        <v>4795</v>
      </c>
      <c r="B1012">
        <v>0</v>
      </c>
      <c r="C1012" s="694">
        <v>180</v>
      </c>
      <c r="D1012" s="957">
        <v>34393.230182367304</v>
      </c>
      <c r="E1012">
        <v>35</v>
      </c>
      <c r="F1012">
        <v>30</v>
      </c>
    </row>
    <row r="1013" spans="1:6" x14ac:dyDescent="0.2">
      <c r="A1013" s="3"/>
      <c r="B1013">
        <v>181</v>
      </c>
      <c r="C1013" s="694">
        <v>1400</v>
      </c>
      <c r="D1013" s="957">
        <v>53241.5665617294</v>
      </c>
      <c r="E1013">
        <v>35</v>
      </c>
      <c r="F1013">
        <v>30</v>
      </c>
    </row>
    <row r="1014" spans="1:6" x14ac:dyDescent="0.2">
      <c r="A1014" s="3"/>
      <c r="B1014">
        <v>1401</v>
      </c>
      <c r="C1014" s="694">
        <v>2000</v>
      </c>
      <c r="D1014" s="957">
        <v>101905.52971576227</v>
      </c>
      <c r="E1014">
        <v>35</v>
      </c>
      <c r="F1014">
        <v>30</v>
      </c>
    </row>
    <row r="1015" spans="1:6" x14ac:dyDescent="0.2">
      <c r="A1015" s="3"/>
      <c r="B1015">
        <v>2001</v>
      </c>
      <c r="C1015" s="694">
        <v>6800</v>
      </c>
      <c r="D1015" s="957">
        <v>142962.6122184649</v>
      </c>
      <c r="E1015">
        <v>35</v>
      </c>
      <c r="F1015">
        <v>30</v>
      </c>
    </row>
    <row r="1016" spans="1:6" x14ac:dyDescent="0.2">
      <c r="A1016" s="3"/>
      <c r="B1016">
        <v>17001</v>
      </c>
      <c r="C1016" s="694">
        <v>27100</v>
      </c>
      <c r="D1016" s="957">
        <v>327532.25806451618</v>
      </c>
      <c r="E1016">
        <v>35</v>
      </c>
      <c r="F1016">
        <v>30</v>
      </c>
    </row>
    <row r="1017" spans="1:6" x14ac:dyDescent="0.2">
      <c r="A1017" s="3"/>
      <c r="B1017">
        <v>27101</v>
      </c>
      <c r="C1017" s="694" t="s">
        <v>687</v>
      </c>
      <c r="D1017" s="957" t="s">
        <v>687</v>
      </c>
    </row>
    <row r="1020" spans="1:6" x14ac:dyDescent="0.2">
      <c r="A1020" s="934" t="s">
        <v>4624</v>
      </c>
      <c r="B1020" s="934" t="s">
        <v>4796</v>
      </c>
      <c r="C1020" s="934"/>
      <c r="D1020" s="934"/>
      <c r="E1020" s="934"/>
      <c r="F1020" s="934"/>
    </row>
    <row r="1021" spans="1:6" x14ac:dyDescent="0.2">
      <c r="A1021" s="944">
        <v>23</v>
      </c>
      <c r="B1021" s="116" t="s">
        <v>4626</v>
      </c>
      <c r="C1021" s="116" t="s">
        <v>4627</v>
      </c>
      <c r="D1021" s="116" t="s">
        <v>4510</v>
      </c>
      <c r="E1021" s="116" t="s">
        <v>4503</v>
      </c>
      <c r="F1021" s="116" t="s">
        <v>4504</v>
      </c>
    </row>
    <row r="1022" spans="1:6" x14ac:dyDescent="0.2">
      <c r="A1022" s="3" t="s">
        <v>4797</v>
      </c>
      <c r="B1022">
        <v>0</v>
      </c>
      <c r="C1022">
        <v>1000</v>
      </c>
      <c r="D1022" s="419">
        <v>10213.815000000001</v>
      </c>
      <c r="E1022">
        <v>35</v>
      </c>
      <c r="F1022">
        <v>30</v>
      </c>
    </row>
    <row r="1023" spans="1:6" x14ac:dyDescent="0.2">
      <c r="A1023" s="3"/>
      <c r="B1023">
        <v>1001</v>
      </c>
      <c r="C1023">
        <v>10000</v>
      </c>
      <c r="D1023" s="419">
        <v>27077.073040752352</v>
      </c>
      <c r="E1023">
        <v>35</v>
      </c>
      <c r="F1023">
        <v>30</v>
      </c>
    </row>
    <row r="1024" spans="1:6" x14ac:dyDescent="0.2">
      <c r="A1024" s="3"/>
      <c r="B1024">
        <v>10001</v>
      </c>
      <c r="C1024">
        <v>14500</v>
      </c>
      <c r="D1024" s="419">
        <v>59666.630094043889</v>
      </c>
      <c r="E1024">
        <v>35</v>
      </c>
      <c r="F1024">
        <v>30</v>
      </c>
    </row>
    <row r="1025" spans="1:6" x14ac:dyDescent="0.2">
      <c r="A1025" s="3"/>
      <c r="B1025">
        <v>14501</v>
      </c>
      <c r="C1025">
        <v>20000</v>
      </c>
      <c r="D1025" s="419">
        <v>32998.400849056605</v>
      </c>
      <c r="E1025">
        <v>35</v>
      </c>
      <c r="F1025">
        <v>30</v>
      </c>
    </row>
    <row r="1026" spans="1:6" x14ac:dyDescent="0.2">
      <c r="A1026" s="3"/>
      <c r="B1026">
        <v>20001</v>
      </c>
      <c r="C1026">
        <v>35000</v>
      </c>
      <c r="D1026" s="419">
        <v>47169.235135135132</v>
      </c>
      <c r="E1026">
        <v>35</v>
      </c>
      <c r="F1026">
        <v>30</v>
      </c>
    </row>
    <row r="1027" spans="1:6" x14ac:dyDescent="0.2">
      <c r="A1027" s="3"/>
      <c r="B1027">
        <v>35001</v>
      </c>
      <c r="C1027">
        <v>44800</v>
      </c>
      <c r="D1027" s="419">
        <v>78522.972972972973</v>
      </c>
      <c r="E1027">
        <v>35</v>
      </c>
      <c r="F1027">
        <v>30</v>
      </c>
    </row>
    <row r="1028" spans="1:6" x14ac:dyDescent="0.2">
      <c r="A1028" s="3"/>
      <c r="B1028">
        <v>44801</v>
      </c>
      <c r="C1028">
        <v>50000</v>
      </c>
      <c r="D1028" s="419">
        <v>63507.314594594587</v>
      </c>
      <c r="E1028">
        <v>35</v>
      </c>
      <c r="F1028">
        <v>30</v>
      </c>
    </row>
    <row r="1029" spans="1:6" x14ac:dyDescent="0.2">
      <c r="A1029" s="3"/>
      <c r="B1029">
        <v>50001</v>
      </c>
      <c r="C1029">
        <v>134100</v>
      </c>
      <c r="D1029" s="419">
        <v>120656.91891891892</v>
      </c>
      <c r="E1029">
        <v>35</v>
      </c>
      <c r="F1029">
        <v>30</v>
      </c>
    </row>
    <row r="1030" spans="1:6" x14ac:dyDescent="0.2">
      <c r="A1030" s="3"/>
      <c r="B1030">
        <v>134101</v>
      </c>
      <c r="C1030">
        <v>289000</v>
      </c>
      <c r="D1030" s="419">
        <v>178208.27027027027</v>
      </c>
      <c r="E1030">
        <v>35</v>
      </c>
      <c r="F1030">
        <v>30</v>
      </c>
    </row>
    <row r="1031" spans="1:6" x14ac:dyDescent="0.2">
      <c r="A1031" s="3"/>
      <c r="B1031">
        <v>289001</v>
      </c>
      <c r="C1031" t="s">
        <v>687</v>
      </c>
      <c r="D1031" s="419" t="s">
        <v>687</v>
      </c>
      <c r="E1031">
        <v>35</v>
      </c>
      <c r="F1031">
        <v>30</v>
      </c>
    </row>
    <row r="1034" spans="1:6" x14ac:dyDescent="0.2">
      <c r="A1034" s="934" t="s">
        <v>4798</v>
      </c>
      <c r="B1034" s="934" t="s">
        <v>4799</v>
      </c>
      <c r="C1034" s="934"/>
      <c r="D1034" s="934"/>
      <c r="E1034" s="934"/>
      <c r="F1034" s="934"/>
    </row>
    <row r="1035" spans="1:6" x14ac:dyDescent="0.2">
      <c r="A1035" s="944">
        <v>25</v>
      </c>
      <c r="B1035" s="116" t="s">
        <v>4598</v>
      </c>
      <c r="C1035" s="116" t="s">
        <v>4599</v>
      </c>
      <c r="D1035" s="899" t="s">
        <v>4622</v>
      </c>
      <c r="E1035" s="116" t="s">
        <v>4503</v>
      </c>
      <c r="F1035" s="116" t="s">
        <v>4504</v>
      </c>
    </row>
    <row r="1036" spans="1:6" x14ac:dyDescent="0.2">
      <c r="A1036" s="3" t="s">
        <v>4800</v>
      </c>
      <c r="B1036">
        <v>0</v>
      </c>
      <c r="C1036">
        <v>0.5</v>
      </c>
      <c r="D1036" s="419">
        <v>13.896100000000001</v>
      </c>
      <c r="E1036">
        <v>35</v>
      </c>
      <c r="F1036">
        <v>33</v>
      </c>
    </row>
    <row r="1037" spans="1:6" x14ac:dyDescent="0.2">
      <c r="A1037" s="3"/>
      <c r="B1037">
        <v>0.6</v>
      </c>
      <c r="C1037">
        <v>1</v>
      </c>
      <c r="D1037" s="419">
        <v>18.130499999999998</v>
      </c>
      <c r="E1037">
        <v>35</v>
      </c>
      <c r="F1037">
        <v>33</v>
      </c>
    </row>
    <row r="1038" spans="1:6" x14ac:dyDescent="0.2">
      <c r="A1038" s="3"/>
      <c r="B1038">
        <v>1.1000000000000001</v>
      </c>
      <c r="C1038">
        <v>1.5</v>
      </c>
      <c r="D1038" s="419">
        <v>23.482500000000002</v>
      </c>
      <c r="E1038">
        <v>35</v>
      </c>
      <c r="F1038">
        <v>33</v>
      </c>
    </row>
    <row r="1039" spans="1:6" x14ac:dyDescent="0.2">
      <c r="A1039" s="3"/>
      <c r="B1039">
        <v>1.6</v>
      </c>
      <c r="C1039">
        <v>2</v>
      </c>
      <c r="D1039" s="419">
        <v>31.328500000000002</v>
      </c>
      <c r="E1039">
        <v>35</v>
      </c>
      <c r="F1039">
        <v>33</v>
      </c>
    </row>
    <row r="1040" spans="1:6" x14ac:dyDescent="0.2">
      <c r="A1040" s="3"/>
      <c r="B1040">
        <v>2.1</v>
      </c>
      <c r="C1040">
        <v>2.5</v>
      </c>
      <c r="D1040" s="419">
        <v>43.287999999999997</v>
      </c>
      <c r="E1040">
        <v>35</v>
      </c>
      <c r="F1040">
        <v>33</v>
      </c>
    </row>
    <row r="1041" spans="1:6" x14ac:dyDescent="0.2">
      <c r="A1041" s="3"/>
      <c r="B1041">
        <v>2.6</v>
      </c>
      <c r="C1041">
        <v>3</v>
      </c>
      <c r="D1041" s="419">
        <v>49.111499999999999</v>
      </c>
      <c r="E1041">
        <v>35</v>
      </c>
      <c r="F1041">
        <v>33</v>
      </c>
    </row>
    <row r="1042" spans="1:6" x14ac:dyDescent="0.2">
      <c r="A1042" s="3"/>
      <c r="B1042">
        <v>3.1</v>
      </c>
      <c r="C1042">
        <v>4</v>
      </c>
      <c r="D1042" s="419">
        <v>64.635000000000005</v>
      </c>
      <c r="E1042">
        <v>35</v>
      </c>
      <c r="F1042">
        <v>33</v>
      </c>
    </row>
    <row r="1043" spans="1:6" x14ac:dyDescent="0.2">
      <c r="A1043" s="3"/>
      <c r="B1043">
        <v>4.0999999999999996</v>
      </c>
      <c r="C1043">
        <v>6</v>
      </c>
      <c r="D1043" s="419">
        <v>91.93</v>
      </c>
      <c r="E1043">
        <v>35</v>
      </c>
      <c r="F1043">
        <v>33</v>
      </c>
    </row>
    <row r="1044" spans="1:6" x14ac:dyDescent="0.2">
      <c r="A1044" s="3"/>
      <c r="B1044">
        <v>6.1</v>
      </c>
      <c r="C1044">
        <v>8</v>
      </c>
      <c r="D1044" s="419">
        <v>172.095</v>
      </c>
      <c r="E1044">
        <v>35</v>
      </c>
      <c r="F1044">
        <v>33</v>
      </c>
    </row>
    <row r="1045" spans="1:6" x14ac:dyDescent="0.2">
      <c r="A1045" s="3"/>
      <c r="B1045">
        <v>8.1</v>
      </c>
      <c r="C1045">
        <v>10</v>
      </c>
      <c r="D1045" s="419">
        <v>213.54999999999998</v>
      </c>
      <c r="E1045">
        <v>35</v>
      </c>
      <c r="F1045">
        <v>33</v>
      </c>
    </row>
    <row r="1046" spans="1:6" x14ac:dyDescent="0.2">
      <c r="A1046" s="3"/>
      <c r="B1046">
        <v>10.1</v>
      </c>
      <c r="C1046">
        <v>12</v>
      </c>
      <c r="D1046" s="419">
        <v>270.05</v>
      </c>
      <c r="E1046">
        <v>35</v>
      </c>
      <c r="F1046">
        <v>33</v>
      </c>
    </row>
    <row r="1047" spans="1:6" x14ac:dyDescent="0.2">
      <c r="A1047" s="3"/>
      <c r="B1047">
        <v>12.1</v>
      </c>
      <c r="C1047">
        <v>14</v>
      </c>
      <c r="D1047" s="419">
        <v>305.43</v>
      </c>
      <c r="E1047">
        <v>35</v>
      </c>
      <c r="F1047">
        <v>33</v>
      </c>
    </row>
    <row r="1048" spans="1:6" x14ac:dyDescent="0.2">
      <c r="A1048" s="3"/>
      <c r="B1048">
        <v>14.1</v>
      </c>
      <c r="C1048">
        <v>16</v>
      </c>
      <c r="D1048" s="419">
        <v>396.85</v>
      </c>
      <c r="E1048">
        <v>35</v>
      </c>
      <c r="F1048">
        <v>33</v>
      </c>
    </row>
    <row r="1049" spans="1:6" x14ac:dyDescent="0.2">
      <c r="A1049" s="3"/>
      <c r="B1049">
        <v>16.100000000000001</v>
      </c>
      <c r="C1049">
        <v>18</v>
      </c>
      <c r="D1049" s="419">
        <v>419.98</v>
      </c>
      <c r="E1049">
        <v>35</v>
      </c>
      <c r="F1049">
        <v>33</v>
      </c>
    </row>
    <row r="1050" spans="1:6" x14ac:dyDescent="0.2">
      <c r="A1050" s="3"/>
      <c r="B1050">
        <v>18.100000000000001</v>
      </c>
      <c r="C1050">
        <v>20</v>
      </c>
      <c r="D1050" s="419">
        <v>486.21000000000004</v>
      </c>
      <c r="E1050">
        <v>35</v>
      </c>
      <c r="F1050">
        <v>33</v>
      </c>
    </row>
    <row r="1051" spans="1:6" x14ac:dyDescent="0.2">
      <c r="A1051" s="3"/>
      <c r="B1051">
        <v>20.100000000000001</v>
      </c>
      <c r="C1051">
        <v>24</v>
      </c>
      <c r="D1051" s="419">
        <v>592.07000000000005</v>
      </c>
      <c r="E1051">
        <v>35</v>
      </c>
      <c r="F1051">
        <v>33</v>
      </c>
    </row>
    <row r="1052" spans="1:6" x14ac:dyDescent="0.2">
      <c r="A1052" s="3"/>
      <c r="B1052">
        <v>24.1</v>
      </c>
      <c r="C1052">
        <v>36</v>
      </c>
      <c r="D1052" s="419">
        <v>263.86210075918711</v>
      </c>
      <c r="E1052">
        <v>35</v>
      </c>
      <c r="F1052">
        <v>33</v>
      </c>
    </row>
    <row r="1053" spans="1:6" x14ac:dyDescent="0.2">
      <c r="A1053" s="3"/>
      <c r="B1053">
        <v>36.1</v>
      </c>
      <c r="C1053">
        <v>48</v>
      </c>
      <c r="D1053" s="419">
        <v>363.17883258666518</v>
      </c>
      <c r="E1053">
        <v>35</v>
      </c>
      <c r="F1053">
        <v>33</v>
      </c>
    </row>
    <row r="1054" spans="1:6" x14ac:dyDescent="0.2">
      <c r="A1054" s="3"/>
      <c r="B1054">
        <v>48.1</v>
      </c>
      <c r="C1054" t="s">
        <v>687</v>
      </c>
      <c r="D1054" s="419" t="s">
        <v>687</v>
      </c>
      <c r="E1054">
        <v>35</v>
      </c>
      <c r="F1054">
        <v>33</v>
      </c>
    </row>
    <row r="1057" spans="1:6" x14ac:dyDescent="0.2">
      <c r="A1057" s="934" t="s">
        <v>4801</v>
      </c>
      <c r="B1057" s="934" t="s">
        <v>4802</v>
      </c>
      <c r="C1057" s="934"/>
      <c r="D1057" s="934"/>
      <c r="E1057" s="934"/>
      <c r="F1057" s="934"/>
    </row>
    <row r="1058" spans="1:6" x14ac:dyDescent="0.2">
      <c r="A1058" s="57">
        <v>4</v>
      </c>
      <c r="B1058" t="s">
        <v>2515</v>
      </c>
      <c r="D1058" t="s">
        <v>4518</v>
      </c>
      <c r="E1058" t="s">
        <v>4503</v>
      </c>
      <c r="F1058" t="s">
        <v>4504</v>
      </c>
    </row>
    <row r="1059" spans="1:6" x14ac:dyDescent="0.2">
      <c r="A1059" s="3" t="s">
        <v>4803</v>
      </c>
      <c r="B1059">
        <v>0</v>
      </c>
      <c r="C1059">
        <v>0</v>
      </c>
      <c r="D1059" s="772">
        <v>1475</v>
      </c>
      <c r="E1059" t="s">
        <v>4514</v>
      </c>
      <c r="F1059" t="s">
        <v>4514</v>
      </c>
    </row>
    <row r="1062" spans="1:6" x14ac:dyDescent="0.2">
      <c r="A1062" s="934" t="s">
        <v>4804</v>
      </c>
      <c r="B1062" s="934" t="s">
        <v>4805</v>
      </c>
      <c r="C1062" s="934"/>
      <c r="D1062" s="934"/>
      <c r="E1062" s="934"/>
      <c r="F1062" s="934"/>
    </row>
    <row r="1063" spans="1:6" x14ac:dyDescent="0.2">
      <c r="A1063" s="944">
        <v>40</v>
      </c>
      <c r="B1063" s="116" t="s">
        <v>4806</v>
      </c>
      <c r="C1063" s="116" t="s">
        <v>4807</v>
      </c>
      <c r="D1063" s="899" t="s">
        <v>4808</v>
      </c>
      <c r="E1063" s="116" t="s">
        <v>4503</v>
      </c>
      <c r="F1063" s="116" t="s">
        <v>4504</v>
      </c>
    </row>
    <row r="1064" spans="1:6" x14ac:dyDescent="0.2">
      <c r="A1064" s="3" t="s">
        <v>4809</v>
      </c>
      <c r="B1064">
        <v>0</v>
      </c>
      <c r="C1064">
        <v>30</v>
      </c>
      <c r="D1064" s="772">
        <v>660</v>
      </c>
    </row>
    <row r="1065" spans="1:6" x14ac:dyDescent="0.2">
      <c r="A1065" s="3"/>
      <c r="B1065">
        <v>31</v>
      </c>
      <c r="C1065">
        <v>50</v>
      </c>
      <c r="D1065" s="772">
        <v>482</v>
      </c>
    </row>
    <row r="1066" spans="1:6" x14ac:dyDescent="0.2">
      <c r="A1066" s="3"/>
      <c r="B1066">
        <v>51</v>
      </c>
      <c r="C1066">
        <v>60</v>
      </c>
      <c r="D1066" s="772">
        <v>525</v>
      </c>
    </row>
    <row r="1067" spans="1:6" x14ac:dyDescent="0.2">
      <c r="A1067" s="3"/>
      <c r="B1067">
        <v>61</v>
      </c>
      <c r="C1067">
        <v>75</v>
      </c>
      <c r="D1067" s="772">
        <v>477.33333333333331</v>
      </c>
    </row>
    <row r="1068" spans="1:6" x14ac:dyDescent="0.2">
      <c r="A1068" s="3"/>
      <c r="B1068">
        <v>76</v>
      </c>
      <c r="C1068">
        <v>100</v>
      </c>
      <c r="D1068" s="772">
        <v>412</v>
      </c>
    </row>
    <row r="1069" spans="1:6" x14ac:dyDescent="0.2">
      <c r="A1069" s="3"/>
      <c r="B1069">
        <v>101</v>
      </c>
      <c r="C1069">
        <v>125</v>
      </c>
      <c r="D1069" s="772">
        <v>304</v>
      </c>
    </row>
    <row r="1070" spans="1:6" x14ac:dyDescent="0.2">
      <c r="A1070" s="3"/>
      <c r="B1070">
        <v>126</v>
      </c>
      <c r="C1070">
        <v>150</v>
      </c>
      <c r="D1070" s="772">
        <v>356.66666666666669</v>
      </c>
    </row>
    <row r="1071" spans="1:6" x14ac:dyDescent="0.2">
      <c r="A1071" s="3"/>
      <c r="B1071">
        <v>151</v>
      </c>
      <c r="C1071">
        <v>175</v>
      </c>
      <c r="D1071" s="772">
        <v>262.85714285714283</v>
      </c>
    </row>
    <row r="1072" spans="1:6" x14ac:dyDescent="0.2">
      <c r="A1072" s="3"/>
      <c r="B1072">
        <v>176</v>
      </c>
      <c r="C1072">
        <v>200</v>
      </c>
      <c r="D1072" s="772">
        <v>357.5</v>
      </c>
    </row>
    <row r="1073" spans="1:6" x14ac:dyDescent="0.2">
      <c r="A1073" s="3"/>
      <c r="B1073">
        <v>201</v>
      </c>
      <c r="C1073">
        <v>250</v>
      </c>
      <c r="D1073" s="772">
        <v>240</v>
      </c>
    </row>
    <row r="1074" spans="1:6" x14ac:dyDescent="0.2">
      <c r="A1074" s="3"/>
      <c r="B1074">
        <v>251</v>
      </c>
      <c r="C1074">
        <v>275</v>
      </c>
      <c r="D1074" s="772">
        <v>301.81818181818181</v>
      </c>
    </row>
    <row r="1075" spans="1:6" x14ac:dyDescent="0.2">
      <c r="A1075" s="3"/>
      <c r="B1075">
        <v>276</v>
      </c>
      <c r="C1075">
        <v>300</v>
      </c>
      <c r="D1075" s="772">
        <v>221.66666666666666</v>
      </c>
    </row>
    <row r="1076" spans="1:6" x14ac:dyDescent="0.2">
      <c r="A1076" s="3"/>
      <c r="B1076">
        <v>301</v>
      </c>
      <c r="C1076">
        <v>350</v>
      </c>
      <c r="D1076" s="772">
        <v>230</v>
      </c>
    </row>
    <row r="1077" spans="1:6" x14ac:dyDescent="0.2">
      <c r="A1077" s="3"/>
      <c r="B1077">
        <v>351</v>
      </c>
      <c r="C1077">
        <v>400</v>
      </c>
      <c r="D1077" s="772">
        <v>237.5</v>
      </c>
    </row>
    <row r="1078" spans="1:6" x14ac:dyDescent="0.2">
      <c r="A1078" s="3"/>
      <c r="B1078">
        <v>401</v>
      </c>
      <c r="C1078">
        <v>500</v>
      </c>
      <c r="D1078" s="772">
        <v>214</v>
      </c>
    </row>
    <row r="1079" spans="1:6" x14ac:dyDescent="0.2">
      <c r="A1079" s="3"/>
      <c r="B1079">
        <v>501</v>
      </c>
      <c r="C1079">
        <v>600</v>
      </c>
      <c r="D1079" s="772">
        <v>250</v>
      </c>
    </row>
    <row r="1080" spans="1:6" x14ac:dyDescent="0.2">
      <c r="A1080" s="3"/>
      <c r="B1080">
        <v>601</v>
      </c>
      <c r="C1080">
        <v>650</v>
      </c>
      <c r="D1080" s="772">
        <v>346.92307692307691</v>
      </c>
    </row>
    <row r="1081" spans="1:6" x14ac:dyDescent="0.2">
      <c r="A1081" s="3"/>
      <c r="B1081">
        <v>651</v>
      </c>
      <c r="C1081">
        <v>750</v>
      </c>
      <c r="D1081" s="772">
        <v>281.33333333333331</v>
      </c>
    </row>
    <row r="1082" spans="1:6" x14ac:dyDescent="0.2">
      <c r="A1082" s="3"/>
      <c r="B1082">
        <v>751</v>
      </c>
      <c r="C1082">
        <v>800</v>
      </c>
      <c r="D1082" s="772">
        <v>260</v>
      </c>
    </row>
    <row r="1083" spans="1:6" x14ac:dyDescent="0.2">
      <c r="A1083" s="3"/>
      <c r="B1083">
        <v>801</v>
      </c>
      <c r="C1083">
        <v>900</v>
      </c>
      <c r="D1083" s="772">
        <v>287.22222222222223</v>
      </c>
    </row>
    <row r="1084" spans="1:6" x14ac:dyDescent="0.2">
      <c r="A1084" s="3"/>
      <c r="B1084">
        <v>901</v>
      </c>
      <c r="C1084">
        <v>1000</v>
      </c>
      <c r="D1084" s="772">
        <v>243</v>
      </c>
    </row>
    <row r="1087" spans="1:6" x14ac:dyDescent="0.2">
      <c r="A1087" s="934" t="s">
        <v>4501</v>
      </c>
      <c r="B1087" s="934" t="s">
        <v>4810</v>
      </c>
      <c r="C1087" s="934"/>
      <c r="D1087" s="934"/>
      <c r="E1087" s="934"/>
      <c r="F1087" s="934"/>
    </row>
    <row r="1088" spans="1:6" x14ac:dyDescent="0.2">
      <c r="A1088" s="944">
        <v>43</v>
      </c>
      <c r="B1088" s="116"/>
      <c r="C1088" s="116"/>
      <c r="D1088" s="899" t="s">
        <v>4510</v>
      </c>
      <c r="E1088" s="116" t="s">
        <v>4503</v>
      </c>
      <c r="F1088" s="116" t="s">
        <v>4504</v>
      </c>
    </row>
    <row r="1089" spans="1:6" x14ac:dyDescent="0.2">
      <c r="A1089" s="3" t="s">
        <v>4811</v>
      </c>
      <c r="B1089">
        <v>0</v>
      </c>
      <c r="C1089">
        <v>0</v>
      </c>
      <c r="D1089" s="419">
        <v>1300.8978726158491</v>
      </c>
      <c r="E1089">
        <v>15</v>
      </c>
      <c r="F1089">
        <v>14</v>
      </c>
    </row>
    <row r="1092" spans="1:6" x14ac:dyDescent="0.2">
      <c r="A1092" s="934" t="s">
        <v>4501</v>
      </c>
      <c r="B1092" s="934" t="s">
        <v>4812</v>
      </c>
      <c r="C1092" s="934"/>
      <c r="D1092" s="934"/>
      <c r="E1092" s="934"/>
      <c r="F1092" s="934"/>
    </row>
    <row r="1093" spans="1:6" x14ac:dyDescent="0.2">
      <c r="A1093" s="944">
        <v>43</v>
      </c>
      <c r="B1093" s="116"/>
      <c r="C1093" s="116"/>
      <c r="D1093" s="899" t="s">
        <v>4510</v>
      </c>
      <c r="E1093" s="116" t="s">
        <v>4503</v>
      </c>
      <c r="F1093" s="116" t="s">
        <v>4504</v>
      </c>
    </row>
    <row r="1094" spans="1:6" x14ac:dyDescent="0.2">
      <c r="A1094" s="3" t="s">
        <v>4813</v>
      </c>
      <c r="B1094">
        <v>0</v>
      </c>
      <c r="C1094">
        <v>0</v>
      </c>
      <c r="D1094" s="419">
        <v>794.75852923757691</v>
      </c>
      <c r="E1094">
        <v>15</v>
      </c>
      <c r="F1094">
        <v>14</v>
      </c>
    </row>
    <row r="1097" spans="1:6" x14ac:dyDescent="0.2">
      <c r="A1097" s="934" t="s">
        <v>4520</v>
      </c>
      <c r="B1097" s="934" t="s">
        <v>4814</v>
      </c>
      <c r="C1097" s="934"/>
      <c r="D1097" s="934"/>
      <c r="E1097" s="934"/>
      <c r="F1097" s="934"/>
    </row>
    <row r="1098" spans="1:6" x14ac:dyDescent="0.2">
      <c r="A1098" s="944">
        <v>29</v>
      </c>
      <c r="B1098" s="958"/>
      <c r="C1098" s="116"/>
      <c r="D1098" s="959" t="s">
        <v>4815</v>
      </c>
      <c r="E1098" s="952" t="s">
        <v>4618</v>
      </c>
      <c r="F1098" s="899" t="s">
        <v>4504</v>
      </c>
    </row>
    <row r="1099" spans="1:6" x14ac:dyDescent="0.2">
      <c r="A1099" s="3" t="s">
        <v>4816</v>
      </c>
      <c r="B1099" s="960">
        <v>0</v>
      </c>
      <c r="C1099" s="960">
        <v>0</v>
      </c>
      <c r="D1099" s="419">
        <v>6428.7679928249881</v>
      </c>
      <c r="E1099">
        <v>25</v>
      </c>
      <c r="F1099">
        <v>20</v>
      </c>
    </row>
    <row r="1102" spans="1:6" x14ac:dyDescent="0.2">
      <c r="A1102" s="934" t="s">
        <v>4501</v>
      </c>
      <c r="B1102" s="934" t="s">
        <v>4817</v>
      </c>
      <c r="C1102" s="934"/>
      <c r="D1102" s="934"/>
      <c r="E1102" s="934"/>
      <c r="F1102" s="934"/>
    </row>
    <row r="1103" spans="1:6" x14ac:dyDescent="0.2">
      <c r="A1103" s="944">
        <v>43</v>
      </c>
      <c r="B1103" s="899"/>
      <c r="C1103" s="116"/>
      <c r="D1103" s="899" t="s">
        <v>4510</v>
      </c>
      <c r="E1103" s="116" t="s">
        <v>4503</v>
      </c>
      <c r="F1103" s="116" t="s">
        <v>4504</v>
      </c>
    </row>
    <row r="1104" spans="1:6" x14ac:dyDescent="0.2">
      <c r="A1104" s="3" t="s">
        <v>4818</v>
      </c>
      <c r="B1104">
        <v>0</v>
      </c>
      <c r="C1104">
        <v>0</v>
      </c>
      <c r="D1104" s="419">
        <v>6183.7045937122821</v>
      </c>
      <c r="E1104">
        <v>15</v>
      </c>
      <c r="F1104">
        <v>14</v>
      </c>
    </row>
    <row r="1107" spans="1:6" x14ac:dyDescent="0.2">
      <c r="A1107" s="934" t="s">
        <v>4705</v>
      </c>
      <c r="B1107" s="934" t="s">
        <v>4819</v>
      </c>
      <c r="C1107" s="934"/>
      <c r="D1107" s="934"/>
      <c r="E1107" s="934"/>
      <c r="F1107" s="934"/>
    </row>
    <row r="1108" spans="1:6" x14ac:dyDescent="0.2">
      <c r="A1108" s="944">
        <v>42</v>
      </c>
      <c r="B1108" s="116"/>
      <c r="C1108" s="116"/>
      <c r="D1108" s="899" t="s">
        <v>4510</v>
      </c>
      <c r="E1108" s="116" t="s">
        <v>4503</v>
      </c>
      <c r="F1108" s="116" t="s">
        <v>4504</v>
      </c>
    </row>
    <row r="1109" spans="1:6" x14ac:dyDescent="0.2">
      <c r="A1109" s="3" t="s">
        <v>4820</v>
      </c>
      <c r="B1109">
        <v>0</v>
      </c>
      <c r="C1109">
        <v>0</v>
      </c>
      <c r="D1109" s="419">
        <v>877.495</v>
      </c>
      <c r="E1109">
        <v>10</v>
      </c>
      <c r="F1109">
        <v>8</v>
      </c>
    </row>
    <row r="1112" spans="1:6" x14ac:dyDescent="0.2">
      <c r="A1112" s="934" t="s">
        <v>4501</v>
      </c>
      <c r="B1112" s="934" t="s">
        <v>4821</v>
      </c>
      <c r="C1112" s="934"/>
      <c r="D1112" s="934"/>
      <c r="E1112" s="934"/>
      <c r="F1112" s="934"/>
    </row>
    <row r="1113" spans="1:6" x14ac:dyDescent="0.2">
      <c r="A1113" s="944">
        <v>43</v>
      </c>
      <c r="B1113" s="116" t="s">
        <v>4598</v>
      </c>
      <c r="C1113" s="116" t="s">
        <v>4599</v>
      </c>
      <c r="D1113" s="899" t="s">
        <v>4510</v>
      </c>
      <c r="E1113" s="116" t="s">
        <v>4503</v>
      </c>
      <c r="F1113" s="116" t="s">
        <v>4504</v>
      </c>
    </row>
    <row r="1114" spans="1:6" x14ac:dyDescent="0.2">
      <c r="A1114" s="3" t="s">
        <v>4822</v>
      </c>
      <c r="B1114">
        <v>0</v>
      </c>
      <c r="C1114">
        <v>1</v>
      </c>
      <c r="D1114" s="419">
        <v>2193.0706249999998</v>
      </c>
      <c r="E1114">
        <v>15</v>
      </c>
      <c r="F1114">
        <v>14</v>
      </c>
    </row>
    <row r="1115" spans="1:6" x14ac:dyDescent="0.2">
      <c r="A1115" s="3"/>
      <c r="B1115">
        <v>1.1000000000000001</v>
      </c>
      <c r="C1115">
        <v>2</v>
      </c>
      <c r="D1115" s="419">
        <v>2310.6700136986301</v>
      </c>
      <c r="E1115">
        <v>15</v>
      </c>
      <c r="F1115">
        <v>14</v>
      </c>
    </row>
    <row r="1116" spans="1:6" x14ac:dyDescent="0.2">
      <c r="A1116" s="3"/>
      <c r="B1116">
        <v>2.1</v>
      </c>
      <c r="C1116">
        <v>3</v>
      </c>
      <c r="D1116" s="419">
        <v>2401.0457718446605</v>
      </c>
      <c r="E1116">
        <v>15</v>
      </c>
      <c r="F1116">
        <v>14</v>
      </c>
    </row>
    <row r="1117" spans="1:6" x14ac:dyDescent="0.2">
      <c r="A1117" s="3"/>
      <c r="B1117">
        <v>3.1</v>
      </c>
      <c r="C1117">
        <v>4</v>
      </c>
      <c r="D1117" s="419">
        <v>2419.8302129032259</v>
      </c>
      <c r="E1117">
        <v>15</v>
      </c>
      <c r="F1117">
        <v>14</v>
      </c>
    </row>
    <row r="1118" spans="1:6" x14ac:dyDescent="0.2">
      <c r="A1118" s="3"/>
      <c r="B1118">
        <v>4.0999999999999996</v>
      </c>
      <c r="C1118">
        <v>6</v>
      </c>
      <c r="D1118" s="419">
        <v>3590.5771888888885</v>
      </c>
      <c r="E1118">
        <v>15</v>
      </c>
      <c r="F1118">
        <v>14</v>
      </c>
    </row>
    <row r="1119" spans="1:6" x14ac:dyDescent="0.2">
      <c r="A1119" s="3"/>
      <c r="B1119">
        <v>6.1</v>
      </c>
      <c r="C1119">
        <v>8</v>
      </c>
      <c r="D1119" s="419">
        <v>3965.3893275862065</v>
      </c>
      <c r="E1119">
        <v>15</v>
      </c>
      <c r="F1119">
        <v>14</v>
      </c>
    </row>
    <row r="1120" spans="1:6" x14ac:dyDescent="0.2">
      <c r="A1120" s="3"/>
      <c r="B1120">
        <v>8.1</v>
      </c>
      <c r="C1120">
        <v>10</v>
      </c>
      <c r="D1120" s="419">
        <v>4011.5260729927013</v>
      </c>
      <c r="E1120">
        <v>15</v>
      </c>
      <c r="F1120">
        <v>14</v>
      </c>
    </row>
    <row r="1121" spans="1:6" x14ac:dyDescent="0.2">
      <c r="A1121" s="3"/>
      <c r="B1121">
        <v>10.1</v>
      </c>
      <c r="C1121">
        <v>12</v>
      </c>
      <c r="D1121" s="419">
        <v>4677.219503649635</v>
      </c>
      <c r="E1121">
        <v>15</v>
      </c>
      <c r="F1121">
        <v>14</v>
      </c>
    </row>
    <row r="1122" spans="1:6" x14ac:dyDescent="0.2">
      <c r="A1122" s="3"/>
      <c r="B1122">
        <v>12.1</v>
      </c>
      <c r="C1122">
        <v>14</v>
      </c>
      <c r="D1122" s="419">
        <v>5013.5698686131391</v>
      </c>
      <c r="E1122">
        <v>15</v>
      </c>
      <c r="F1122">
        <v>14</v>
      </c>
    </row>
    <row r="1123" spans="1:6" x14ac:dyDescent="0.2">
      <c r="A1123" s="3"/>
      <c r="B1123">
        <v>14.1</v>
      </c>
      <c r="C1123">
        <v>16</v>
      </c>
      <c r="D1123" s="419">
        <v>5181.7450510948911</v>
      </c>
      <c r="E1123">
        <v>15</v>
      </c>
      <c r="F1123">
        <v>14</v>
      </c>
    </row>
    <row r="1124" spans="1:6" x14ac:dyDescent="0.2">
      <c r="A1124" s="3"/>
      <c r="B1124">
        <v>16.100000000000001</v>
      </c>
      <c r="C1124">
        <v>18</v>
      </c>
      <c r="D1124" s="419">
        <v>5924.5187737226279</v>
      </c>
      <c r="E1124">
        <v>15</v>
      </c>
      <c r="F1124">
        <v>14</v>
      </c>
    </row>
    <row r="1125" spans="1:6" x14ac:dyDescent="0.2">
      <c r="A1125" s="3"/>
      <c r="B1125">
        <v>18.100000000000001</v>
      </c>
      <c r="C1125">
        <v>20</v>
      </c>
      <c r="D1125" s="419">
        <v>6330.9421313868606</v>
      </c>
      <c r="E1125">
        <v>15</v>
      </c>
      <c r="F1125">
        <v>14</v>
      </c>
    </row>
    <row r="1126" spans="1:6" x14ac:dyDescent="0.2">
      <c r="A1126" s="3"/>
      <c r="B1126">
        <v>20.100000000000001</v>
      </c>
      <c r="C1126">
        <v>24</v>
      </c>
      <c r="D1126" s="419">
        <v>9988.7523503649645</v>
      </c>
      <c r="E1126">
        <v>15</v>
      </c>
      <c r="F1126">
        <v>14</v>
      </c>
    </row>
    <row r="1127" spans="1:6" x14ac:dyDescent="0.2">
      <c r="A1127" s="3"/>
      <c r="B1127">
        <v>24.1</v>
      </c>
      <c r="C1127">
        <v>30</v>
      </c>
      <c r="D1127" s="419">
        <v>11109.920233576642</v>
      </c>
      <c r="E1127">
        <v>15</v>
      </c>
      <c r="F1127">
        <v>14</v>
      </c>
    </row>
    <row r="1128" spans="1:6" x14ac:dyDescent="0.2">
      <c r="A1128" s="3"/>
      <c r="B1128">
        <v>30.1</v>
      </c>
      <c r="C1128">
        <v>36</v>
      </c>
      <c r="D1128" s="419">
        <v>12511.380087591242</v>
      </c>
      <c r="E1128">
        <v>15</v>
      </c>
      <c r="F1128">
        <v>14</v>
      </c>
    </row>
    <row r="1129" spans="1:6" x14ac:dyDescent="0.2">
      <c r="A1129" s="3"/>
      <c r="B1129">
        <v>36.1</v>
      </c>
      <c r="C1129">
        <v>42</v>
      </c>
      <c r="D1129" s="419">
        <v>13492.40198540146</v>
      </c>
      <c r="E1129">
        <v>15</v>
      </c>
      <c r="F1129">
        <v>14</v>
      </c>
    </row>
    <row r="1130" spans="1:6" x14ac:dyDescent="0.2">
      <c r="A1130" s="3"/>
      <c r="B1130">
        <v>42.1</v>
      </c>
      <c r="C1130">
        <v>48</v>
      </c>
      <c r="D1130" s="419">
        <v>15594.591766423357</v>
      </c>
      <c r="E1130">
        <v>15</v>
      </c>
      <c r="F1130">
        <v>14</v>
      </c>
    </row>
    <row r="1131" spans="1:6" x14ac:dyDescent="0.2">
      <c r="A1131" s="3"/>
      <c r="B1131">
        <v>48.1</v>
      </c>
      <c r="C1131" t="s">
        <v>687</v>
      </c>
      <c r="D1131" s="419" t="s">
        <v>687</v>
      </c>
      <c r="E1131">
        <v>15</v>
      </c>
      <c r="F1131">
        <v>14</v>
      </c>
    </row>
    <row r="1134" spans="1:6" x14ac:dyDescent="0.2">
      <c r="A1134" s="112" t="s">
        <v>4512</v>
      </c>
      <c r="B1134" s="934" t="s">
        <v>4823</v>
      </c>
      <c r="C1134" s="268"/>
      <c r="D1134" s="945"/>
      <c r="E1134" s="268"/>
      <c r="F1134" s="268"/>
    </row>
    <row r="1135" spans="1:6" x14ac:dyDescent="0.2">
      <c r="A1135" s="944">
        <v>3</v>
      </c>
      <c r="B1135" s="116" t="s">
        <v>4824</v>
      </c>
      <c r="C1135" s="116" t="s">
        <v>4825</v>
      </c>
      <c r="D1135" s="116" t="s">
        <v>4510</v>
      </c>
      <c r="E1135" s="116" t="s">
        <v>4503</v>
      </c>
      <c r="F1135" s="116" t="s">
        <v>4504</v>
      </c>
    </row>
    <row r="1136" spans="1:6" x14ac:dyDescent="0.2">
      <c r="A1136" s="3" t="s">
        <v>4826</v>
      </c>
      <c r="B1136">
        <v>0</v>
      </c>
      <c r="C1136">
        <v>500</v>
      </c>
      <c r="D1136" s="772">
        <v>181.38524604341987</v>
      </c>
      <c r="E1136">
        <v>40</v>
      </c>
      <c r="F1136">
        <v>37</v>
      </c>
    </row>
    <row r="1137" spans="1:6" x14ac:dyDescent="0.2">
      <c r="A1137" s="3"/>
      <c r="B1137">
        <v>500.1</v>
      </c>
      <c r="C1137">
        <v>1000</v>
      </c>
      <c r="D1137" s="772">
        <v>152.59181452329247</v>
      </c>
      <c r="E1137">
        <v>40</v>
      </c>
      <c r="F1137">
        <v>37</v>
      </c>
    </row>
    <row r="1138" spans="1:6" x14ac:dyDescent="0.2">
      <c r="A1138" s="3"/>
      <c r="B1138">
        <v>1000.1</v>
      </c>
      <c r="C1138">
        <v>2000</v>
      </c>
      <c r="D1138" s="772">
        <v>134.80205030118768</v>
      </c>
      <c r="E1138">
        <v>40</v>
      </c>
      <c r="F1138">
        <v>37</v>
      </c>
    </row>
    <row r="1139" spans="1:6" x14ac:dyDescent="0.2">
      <c r="A1139" s="3"/>
      <c r="B1139">
        <v>2000.1</v>
      </c>
      <c r="C1139">
        <v>3000</v>
      </c>
      <c r="D1139" s="772">
        <v>127.23811561623944</v>
      </c>
      <c r="E1139">
        <v>40</v>
      </c>
      <c r="F1139">
        <v>37</v>
      </c>
    </row>
    <row r="1140" spans="1:6" x14ac:dyDescent="0.2">
      <c r="A1140" s="3"/>
      <c r="B1140">
        <v>3000.1</v>
      </c>
      <c r="C1140">
        <v>4000</v>
      </c>
      <c r="D1140" s="772">
        <v>119.65198435204586</v>
      </c>
      <c r="E1140">
        <v>40</v>
      </c>
      <c r="F1140">
        <v>37</v>
      </c>
    </row>
    <row r="1141" spans="1:6" x14ac:dyDescent="0.2">
      <c r="A1141" s="3"/>
      <c r="B1141">
        <v>4000.1</v>
      </c>
      <c r="C1141">
        <v>5000</v>
      </c>
      <c r="D1141" s="772">
        <v>114.29481081705296</v>
      </c>
      <c r="E1141">
        <v>40</v>
      </c>
      <c r="F1141">
        <v>37</v>
      </c>
    </row>
    <row r="1142" spans="1:6" x14ac:dyDescent="0.2">
      <c r="A1142" s="3"/>
      <c r="B1142">
        <v>5000.1000000000004</v>
      </c>
      <c r="C1142">
        <v>7500</v>
      </c>
      <c r="D1142" s="772">
        <v>107.59283026135358</v>
      </c>
      <c r="E1142">
        <v>40</v>
      </c>
      <c r="F1142">
        <v>37</v>
      </c>
    </row>
    <row r="1143" spans="1:6" x14ac:dyDescent="0.2">
      <c r="A1143" s="3"/>
      <c r="B1143">
        <v>7500.1</v>
      </c>
      <c r="C1143">
        <v>8000</v>
      </c>
      <c r="D1143" s="772">
        <v>106.71475413024437</v>
      </c>
      <c r="E1143">
        <v>40</v>
      </c>
      <c r="F1143">
        <v>37</v>
      </c>
    </row>
    <row r="1144" spans="1:6" x14ac:dyDescent="0.2">
      <c r="A1144" s="3"/>
      <c r="B1144">
        <v>8000.1</v>
      </c>
      <c r="C1144">
        <v>10000</v>
      </c>
      <c r="D1144" s="772">
        <v>102.07668261986309</v>
      </c>
      <c r="E1144">
        <v>40</v>
      </c>
      <c r="F1144">
        <v>37</v>
      </c>
    </row>
    <row r="1145" spans="1:6" x14ac:dyDescent="0.2">
      <c r="A1145" s="3"/>
      <c r="B1145">
        <v>10000.1</v>
      </c>
      <c r="C1145">
        <v>12000</v>
      </c>
      <c r="D1145" s="772">
        <v>102.10697569089804</v>
      </c>
      <c r="E1145">
        <v>40</v>
      </c>
      <c r="F1145">
        <v>37</v>
      </c>
    </row>
    <row r="1146" spans="1:6" x14ac:dyDescent="0.2">
      <c r="A1146" s="3"/>
      <c r="B1146">
        <v>12000.1</v>
      </c>
      <c r="C1146">
        <v>15000</v>
      </c>
      <c r="D1146" s="772">
        <v>97.487260194733452</v>
      </c>
      <c r="E1146">
        <v>40</v>
      </c>
      <c r="F1146">
        <v>37</v>
      </c>
    </row>
    <row r="1147" spans="1:6" x14ac:dyDescent="0.2">
      <c r="A1147" s="3"/>
      <c r="B1147">
        <v>15000.1</v>
      </c>
      <c r="C1147">
        <v>18000</v>
      </c>
      <c r="D1147" s="772">
        <v>97.108122653342377</v>
      </c>
      <c r="E1147">
        <v>40</v>
      </c>
      <c r="F1147">
        <v>37</v>
      </c>
    </row>
    <row r="1148" spans="1:6" x14ac:dyDescent="0.2">
      <c r="A1148" s="3"/>
      <c r="B1148">
        <v>18000.099999999999</v>
      </c>
      <c r="C1148">
        <v>20000</v>
      </c>
      <c r="D1148" s="772">
        <v>93.246542829484653</v>
      </c>
      <c r="E1148">
        <v>40</v>
      </c>
      <c r="F1148">
        <v>37</v>
      </c>
    </row>
    <row r="1149" spans="1:6" x14ac:dyDescent="0.2">
      <c r="A1149" s="3"/>
      <c r="B1149">
        <v>20000.099999999999</v>
      </c>
      <c r="C1149">
        <v>24000</v>
      </c>
      <c r="D1149" s="772">
        <v>94.708080048348506</v>
      </c>
      <c r="E1149">
        <v>40</v>
      </c>
      <c r="F1149">
        <v>37</v>
      </c>
    </row>
    <row r="1150" spans="1:6" x14ac:dyDescent="0.2">
      <c r="A1150" s="3"/>
      <c r="B1150">
        <v>24000.1</v>
      </c>
      <c r="C1150">
        <v>25000</v>
      </c>
      <c r="D1150" s="772">
        <v>92.553828193295317</v>
      </c>
      <c r="E1150">
        <v>40</v>
      </c>
      <c r="F1150">
        <v>37</v>
      </c>
    </row>
    <row r="1151" spans="1:6" x14ac:dyDescent="0.2">
      <c r="A1151" s="3"/>
      <c r="B1151">
        <v>25000.1</v>
      </c>
      <c r="C1151">
        <v>30000</v>
      </c>
      <c r="D1151" s="772">
        <v>90.338307129170701</v>
      </c>
      <c r="E1151">
        <v>40</v>
      </c>
      <c r="F1151">
        <v>37</v>
      </c>
    </row>
    <row r="1152" spans="1:6" x14ac:dyDescent="0.2">
      <c r="A1152" s="3"/>
      <c r="B1152">
        <v>30000.1</v>
      </c>
      <c r="C1152">
        <v>36000</v>
      </c>
      <c r="D1152" s="772">
        <v>90.041447180993472</v>
      </c>
      <c r="E1152">
        <v>40</v>
      </c>
      <c r="F1152">
        <v>37</v>
      </c>
    </row>
    <row r="1153" spans="1:6" x14ac:dyDescent="0.2">
      <c r="A1153" s="3"/>
      <c r="B1153">
        <v>36000.1</v>
      </c>
      <c r="C1153">
        <v>42000</v>
      </c>
      <c r="D1153" s="772">
        <v>88.914423506689516</v>
      </c>
      <c r="E1153">
        <v>40</v>
      </c>
      <c r="F1153">
        <v>37</v>
      </c>
    </row>
    <row r="1154" spans="1:6" x14ac:dyDescent="0.2">
      <c r="A1154" s="3"/>
      <c r="B1154">
        <v>42000.1</v>
      </c>
      <c r="C1154">
        <v>48000</v>
      </c>
      <c r="D1154" s="772">
        <v>88.479467175528967</v>
      </c>
      <c r="E1154">
        <v>40</v>
      </c>
      <c r="F1154">
        <v>37</v>
      </c>
    </row>
    <row r="1155" spans="1:6" x14ac:dyDescent="0.2">
      <c r="A1155" s="3"/>
      <c r="B1155">
        <v>48000.1</v>
      </c>
      <c r="C1155">
        <v>50000</v>
      </c>
      <c r="D1155" s="772">
        <v>85.89116831075917</v>
      </c>
      <c r="E1155">
        <v>40</v>
      </c>
      <c r="F1155">
        <v>37</v>
      </c>
    </row>
    <row r="1156" spans="1:6" x14ac:dyDescent="0.2">
      <c r="A1156" s="3"/>
      <c r="B1156">
        <v>50000.1</v>
      </c>
      <c r="C1156">
        <v>54000</v>
      </c>
      <c r="D1156" s="772">
        <v>86.097491763353631</v>
      </c>
      <c r="E1156">
        <v>40</v>
      </c>
      <c r="F1156">
        <v>37</v>
      </c>
    </row>
    <row r="1157" spans="1:6" x14ac:dyDescent="0.2">
      <c r="A1157" s="3"/>
      <c r="B1157">
        <v>54000.1</v>
      </c>
      <c r="C1157">
        <v>60000</v>
      </c>
      <c r="D1157" s="772">
        <v>85.905352939687944</v>
      </c>
      <c r="E1157">
        <v>40</v>
      </c>
      <c r="F1157">
        <v>37</v>
      </c>
    </row>
    <row r="1158" spans="1:6" x14ac:dyDescent="0.2">
      <c r="A1158" s="3"/>
      <c r="B1158">
        <v>60000.1</v>
      </c>
      <c r="C1158">
        <v>100000</v>
      </c>
      <c r="D1158" s="772">
        <v>82.041080305591748</v>
      </c>
      <c r="E1158">
        <v>40</v>
      </c>
      <c r="F1158">
        <v>37</v>
      </c>
    </row>
    <row r="1159" spans="1:6" x14ac:dyDescent="0.2">
      <c r="A1159" s="3"/>
      <c r="B1159">
        <v>100000.1</v>
      </c>
      <c r="C1159">
        <v>200000</v>
      </c>
      <c r="D1159" s="772">
        <v>79.117503222271026</v>
      </c>
      <c r="E1159">
        <v>40</v>
      </c>
      <c r="F1159">
        <v>37</v>
      </c>
    </row>
    <row r="1160" spans="1:6" x14ac:dyDescent="0.2">
      <c r="A1160" s="3"/>
      <c r="B1160">
        <v>200000.1</v>
      </c>
      <c r="C1160" t="s">
        <v>687</v>
      </c>
      <c r="D1160" s="419"/>
    </row>
    <row r="1163" spans="1:6" x14ac:dyDescent="0.2">
      <c r="A1163" s="112" t="s">
        <v>4512</v>
      </c>
      <c r="B1163" s="934" t="s">
        <v>4827</v>
      </c>
      <c r="C1163" s="268"/>
      <c r="D1163" s="945"/>
      <c r="E1163" s="268"/>
      <c r="F1163" s="268"/>
    </row>
    <row r="1164" spans="1:6" x14ac:dyDescent="0.2">
      <c r="A1164" s="944">
        <v>3</v>
      </c>
      <c r="B1164" s="116" t="s">
        <v>4824</v>
      </c>
      <c r="C1164" s="116" t="s">
        <v>4825</v>
      </c>
      <c r="D1164" s="116" t="s">
        <v>4510</v>
      </c>
      <c r="E1164" s="116" t="s">
        <v>4503</v>
      </c>
      <c r="F1164" s="116" t="s">
        <v>4504</v>
      </c>
    </row>
    <row r="1165" spans="1:6" x14ac:dyDescent="0.2">
      <c r="A1165" s="3" t="s">
        <v>4828</v>
      </c>
      <c r="B1165">
        <v>0</v>
      </c>
      <c r="C1165">
        <v>500</v>
      </c>
      <c r="D1165" s="772">
        <v>96.812325106916731</v>
      </c>
      <c r="E1165">
        <v>40</v>
      </c>
      <c r="F1165">
        <v>37</v>
      </c>
    </row>
    <row r="1166" spans="1:6" x14ac:dyDescent="0.2">
      <c r="A1166" s="3"/>
      <c r="B1166">
        <v>500.1</v>
      </c>
      <c r="C1166">
        <v>1000</v>
      </c>
      <c r="D1166" s="772">
        <v>85.695132889157776</v>
      </c>
      <c r="E1166">
        <v>40</v>
      </c>
      <c r="F1166">
        <v>37</v>
      </c>
    </row>
    <row r="1167" spans="1:6" x14ac:dyDescent="0.2">
      <c r="A1167" s="3"/>
      <c r="B1167">
        <v>1000.1</v>
      </c>
      <c r="C1167">
        <v>2000</v>
      </c>
      <c r="D1167" s="772">
        <v>79.902726370939661</v>
      </c>
      <c r="E1167">
        <v>40</v>
      </c>
      <c r="F1167">
        <v>37</v>
      </c>
    </row>
    <row r="1168" spans="1:6" x14ac:dyDescent="0.2">
      <c r="A1168" s="3"/>
      <c r="B1168">
        <v>2000.1</v>
      </c>
      <c r="C1168">
        <v>3000</v>
      </c>
      <c r="D1168" s="772">
        <v>77.562022463174657</v>
      </c>
      <c r="E1168">
        <v>40</v>
      </c>
      <c r="F1168">
        <v>37</v>
      </c>
    </row>
    <row r="1169" spans="1:6" x14ac:dyDescent="0.2">
      <c r="A1169" s="3"/>
      <c r="B1169">
        <v>3000.1</v>
      </c>
      <c r="C1169">
        <v>4000</v>
      </c>
      <c r="D1169" s="772">
        <v>73.888442053430978</v>
      </c>
      <c r="E1169">
        <v>40</v>
      </c>
      <c r="F1169">
        <v>37</v>
      </c>
    </row>
    <row r="1170" spans="1:6" x14ac:dyDescent="0.2">
      <c r="A1170" s="3"/>
      <c r="B1170">
        <v>4000.1</v>
      </c>
      <c r="C1170">
        <v>5000</v>
      </c>
      <c r="D1170" s="772">
        <v>71.210649833158655</v>
      </c>
      <c r="E1170">
        <v>40</v>
      </c>
      <c r="F1170">
        <v>37</v>
      </c>
    </row>
    <row r="1171" spans="1:6" x14ac:dyDescent="0.2">
      <c r="A1171" s="3"/>
      <c r="B1171">
        <v>5000.1000000000004</v>
      </c>
      <c r="C1171">
        <v>7500</v>
      </c>
      <c r="D1171" s="772">
        <v>68.754095256191349</v>
      </c>
      <c r="E1171">
        <v>40</v>
      </c>
      <c r="F1171">
        <v>37</v>
      </c>
    </row>
    <row r="1172" spans="1:6" x14ac:dyDescent="0.2">
      <c r="A1172" s="3"/>
      <c r="B1172">
        <v>7500.1</v>
      </c>
      <c r="C1172">
        <v>8000</v>
      </c>
      <c r="D1172" s="772">
        <v>68.342791320755438</v>
      </c>
      <c r="E1172">
        <v>40</v>
      </c>
      <c r="F1172">
        <v>37</v>
      </c>
    </row>
    <row r="1173" spans="1:6" x14ac:dyDescent="0.2">
      <c r="A1173" s="3"/>
      <c r="B1173">
        <v>8000.1</v>
      </c>
      <c r="C1173">
        <v>10000</v>
      </c>
      <c r="D1173" s="772">
        <v>65.677166848285296</v>
      </c>
      <c r="E1173">
        <v>40</v>
      </c>
      <c r="F1173">
        <v>37</v>
      </c>
    </row>
    <row r="1174" spans="1:6" x14ac:dyDescent="0.2">
      <c r="A1174" s="3"/>
      <c r="B1174">
        <v>10000.1</v>
      </c>
      <c r="C1174">
        <v>12000</v>
      </c>
      <c r="D1174" s="772">
        <v>66.225667162447152</v>
      </c>
      <c r="E1174">
        <v>40</v>
      </c>
      <c r="F1174">
        <v>37</v>
      </c>
    </row>
    <row r="1175" spans="1:6" x14ac:dyDescent="0.2">
      <c r="A1175" s="3"/>
      <c r="B1175">
        <v>12000.1</v>
      </c>
      <c r="C1175">
        <v>15000</v>
      </c>
      <c r="D1175" s="772">
        <v>63.962022393975595</v>
      </c>
      <c r="E1175">
        <v>40</v>
      </c>
      <c r="F1175">
        <v>37</v>
      </c>
    </row>
    <row r="1176" spans="1:6" x14ac:dyDescent="0.2">
      <c r="A1176" s="3"/>
      <c r="B1176">
        <v>15000.1</v>
      </c>
      <c r="C1176">
        <v>18000</v>
      </c>
      <c r="D1176" s="772">
        <v>63.774970360904831</v>
      </c>
      <c r="E1176">
        <v>40</v>
      </c>
      <c r="F1176">
        <v>37</v>
      </c>
    </row>
    <row r="1177" spans="1:6" x14ac:dyDescent="0.2">
      <c r="A1177" s="3"/>
      <c r="B1177">
        <v>18000.099999999999</v>
      </c>
      <c r="C1177">
        <v>20000</v>
      </c>
      <c r="D1177" s="772">
        <v>61.506399713827875</v>
      </c>
      <c r="E1177">
        <v>40</v>
      </c>
      <c r="F1177">
        <v>37</v>
      </c>
    </row>
    <row r="1178" spans="1:6" x14ac:dyDescent="0.2">
      <c r="A1178" s="3"/>
      <c r="B1178">
        <v>20000.099999999999</v>
      </c>
      <c r="C1178">
        <v>24000</v>
      </c>
      <c r="D1178" s="772">
        <v>62.533501422015092</v>
      </c>
      <c r="E1178">
        <v>40</v>
      </c>
      <c r="F1178">
        <v>37</v>
      </c>
    </row>
    <row r="1179" spans="1:6" x14ac:dyDescent="0.2">
      <c r="A1179" s="3"/>
      <c r="B1179">
        <v>24000.1</v>
      </c>
      <c r="C1179">
        <v>25000</v>
      </c>
      <c r="D1179" s="772">
        <v>61.704060174752492</v>
      </c>
      <c r="E1179">
        <v>40</v>
      </c>
      <c r="F1179">
        <v>37</v>
      </c>
    </row>
    <row r="1180" spans="1:6" x14ac:dyDescent="0.2">
      <c r="A1180" s="3"/>
      <c r="B1180">
        <v>25000.1</v>
      </c>
      <c r="C1180">
        <v>30000</v>
      </c>
      <c r="D1180" s="772">
        <v>60.168928848565692</v>
      </c>
      <c r="E1180">
        <v>40</v>
      </c>
      <c r="F1180">
        <v>37</v>
      </c>
    </row>
    <row r="1181" spans="1:6" x14ac:dyDescent="0.2">
      <c r="A1181" s="3"/>
      <c r="B1181">
        <v>30000.1</v>
      </c>
      <c r="C1181">
        <v>36000</v>
      </c>
      <c r="D1181" s="772">
        <v>60.263829094701443</v>
      </c>
      <c r="E1181">
        <v>40</v>
      </c>
      <c r="F1181">
        <v>37</v>
      </c>
    </row>
    <row r="1182" spans="1:6" x14ac:dyDescent="0.2">
      <c r="A1182" s="3"/>
      <c r="B1182">
        <v>36000.1</v>
      </c>
      <c r="C1182">
        <v>42000</v>
      </c>
      <c r="D1182" s="772">
        <v>59.739422513108003</v>
      </c>
      <c r="E1182">
        <v>40</v>
      </c>
      <c r="F1182">
        <v>37</v>
      </c>
    </row>
    <row r="1183" spans="1:6" x14ac:dyDescent="0.2">
      <c r="A1183" s="3"/>
      <c r="B1183">
        <v>42000.1</v>
      </c>
      <c r="C1183">
        <v>48000</v>
      </c>
      <c r="D1183" s="772">
        <v>59.54501465752233</v>
      </c>
      <c r="E1183">
        <v>40</v>
      </c>
      <c r="F1183">
        <v>37</v>
      </c>
    </row>
    <row r="1184" spans="1:6" x14ac:dyDescent="0.2">
      <c r="A1184" s="3"/>
      <c r="B1184">
        <v>48000.1</v>
      </c>
      <c r="C1184">
        <v>50000</v>
      </c>
      <c r="D1184" s="772">
        <v>58.026379657538449</v>
      </c>
      <c r="E1184">
        <v>40</v>
      </c>
      <c r="F1184">
        <v>37</v>
      </c>
    </row>
    <row r="1185" spans="1:6" x14ac:dyDescent="0.2">
      <c r="A1185" s="3"/>
      <c r="B1185">
        <v>50000.1</v>
      </c>
      <c r="C1185">
        <v>54000</v>
      </c>
      <c r="D1185" s="772">
        <v>58.038523930206111</v>
      </c>
      <c r="E1185">
        <v>40</v>
      </c>
      <c r="F1185">
        <v>37</v>
      </c>
    </row>
    <row r="1186" spans="1:6" x14ac:dyDescent="0.2">
      <c r="A1186" s="3"/>
      <c r="B1186">
        <v>54000.1</v>
      </c>
      <c r="C1186">
        <v>60000</v>
      </c>
      <c r="D1186" s="772">
        <v>58.21329937756736</v>
      </c>
      <c r="E1186">
        <v>40</v>
      </c>
      <c r="F1186">
        <v>37</v>
      </c>
    </row>
    <row r="1187" spans="1:6" x14ac:dyDescent="0.2">
      <c r="A1187" s="3"/>
      <c r="B1187">
        <v>60000.1</v>
      </c>
      <c r="C1187">
        <v>100000</v>
      </c>
      <c r="D1187" s="772">
        <v>56.179268642501221</v>
      </c>
      <c r="E1187">
        <v>40</v>
      </c>
      <c r="F1187">
        <v>37</v>
      </c>
    </row>
    <row r="1188" spans="1:6" x14ac:dyDescent="0.2">
      <c r="A1188" s="3"/>
      <c r="B1188">
        <v>100000.1</v>
      </c>
      <c r="C1188">
        <v>200000</v>
      </c>
      <c r="D1188" s="772">
        <v>54.640406783156237</v>
      </c>
      <c r="E1188">
        <v>40</v>
      </c>
      <c r="F1188">
        <v>37</v>
      </c>
    </row>
    <row r="1189" spans="1:6" x14ac:dyDescent="0.2">
      <c r="A1189" s="3"/>
      <c r="B1189">
        <v>200000.1</v>
      </c>
      <c r="C1189" t="s">
        <v>687</v>
      </c>
      <c r="D1189" s="419"/>
    </row>
    <row r="1192" spans="1:6" x14ac:dyDescent="0.2">
      <c r="A1192" s="112" t="s">
        <v>4512</v>
      </c>
      <c r="B1192" s="934" t="s">
        <v>4829</v>
      </c>
      <c r="C1192" s="268"/>
      <c r="D1192" s="945"/>
      <c r="E1192" s="268"/>
      <c r="F1192" s="268"/>
    </row>
    <row r="1193" spans="1:6" x14ac:dyDescent="0.2">
      <c r="A1193" s="944">
        <v>3</v>
      </c>
      <c r="B1193" s="116" t="s">
        <v>4824</v>
      </c>
      <c r="C1193" s="116" t="s">
        <v>4825</v>
      </c>
      <c r="D1193" s="116" t="s">
        <v>4510</v>
      </c>
      <c r="E1193" s="116" t="s">
        <v>4503</v>
      </c>
      <c r="F1193" s="116" t="s">
        <v>4504</v>
      </c>
    </row>
    <row r="1194" spans="1:6" x14ac:dyDescent="0.2">
      <c r="A1194" s="3" t="s">
        <v>4830</v>
      </c>
      <c r="B1194">
        <v>0</v>
      </c>
      <c r="C1194">
        <v>500</v>
      </c>
      <c r="D1194" s="772">
        <v>116.34576395640443</v>
      </c>
      <c r="E1194">
        <v>40</v>
      </c>
      <c r="F1194">
        <v>37</v>
      </c>
    </row>
    <row r="1195" spans="1:6" x14ac:dyDescent="0.2">
      <c r="A1195" s="3"/>
      <c r="B1195">
        <v>500.1</v>
      </c>
      <c r="C1195">
        <v>1000</v>
      </c>
      <c r="D1195" s="772">
        <v>103.19344629810541</v>
      </c>
      <c r="E1195">
        <v>40</v>
      </c>
      <c r="F1195">
        <v>37</v>
      </c>
    </row>
    <row r="1196" spans="1:6" x14ac:dyDescent="0.2">
      <c r="A1196" s="3"/>
      <c r="B1196">
        <v>1000.1</v>
      </c>
      <c r="C1196">
        <v>2000</v>
      </c>
      <c r="D1196" s="772">
        <v>96.04871059453717</v>
      </c>
      <c r="E1196">
        <v>40</v>
      </c>
      <c r="F1196">
        <v>37</v>
      </c>
    </row>
    <row r="1197" spans="1:6" x14ac:dyDescent="0.2">
      <c r="A1197" s="3"/>
      <c r="B1197">
        <v>2000.1</v>
      </c>
      <c r="C1197">
        <v>3000</v>
      </c>
      <c r="D1197" s="772">
        <v>93.135677984524762</v>
      </c>
      <c r="E1197">
        <v>40</v>
      </c>
      <c r="F1197">
        <v>37</v>
      </c>
    </row>
    <row r="1198" spans="1:6" x14ac:dyDescent="0.2">
      <c r="A1198" s="3"/>
      <c r="B1198">
        <v>3000.1</v>
      </c>
      <c r="C1198">
        <v>4000</v>
      </c>
      <c r="D1198" s="772">
        <v>88.775181990128956</v>
      </c>
      <c r="E1198">
        <v>40</v>
      </c>
      <c r="F1198">
        <v>37</v>
      </c>
    </row>
    <row r="1199" spans="1:6" x14ac:dyDescent="0.2">
      <c r="A1199" s="3"/>
      <c r="B1199">
        <v>4000.1</v>
      </c>
      <c r="C1199">
        <v>5000</v>
      </c>
      <c r="D1199" s="772">
        <v>85.653754800953607</v>
      </c>
      <c r="E1199">
        <v>40</v>
      </c>
      <c r="F1199">
        <v>37</v>
      </c>
    </row>
    <row r="1200" spans="1:6" x14ac:dyDescent="0.2">
      <c r="A1200" s="3"/>
      <c r="B1200">
        <v>5000.1000000000004</v>
      </c>
      <c r="C1200">
        <v>7500</v>
      </c>
      <c r="D1200" s="772">
        <v>82.125208477775175</v>
      </c>
      <c r="E1200">
        <v>40</v>
      </c>
      <c r="F1200">
        <v>37</v>
      </c>
    </row>
    <row r="1201" spans="1:6" x14ac:dyDescent="0.2">
      <c r="A1201" s="3"/>
      <c r="B1201">
        <v>7500.1</v>
      </c>
      <c r="C1201">
        <v>8000</v>
      </c>
      <c r="D1201" s="772">
        <v>81.663115865254738</v>
      </c>
      <c r="E1201">
        <v>40</v>
      </c>
      <c r="F1201">
        <v>37</v>
      </c>
    </row>
    <row r="1202" spans="1:6" x14ac:dyDescent="0.2">
      <c r="A1202" s="3"/>
      <c r="B1202">
        <v>8000.1</v>
      </c>
      <c r="C1202">
        <v>10000</v>
      </c>
      <c r="D1202" s="772">
        <v>78.673266907766262</v>
      </c>
      <c r="E1202">
        <v>40</v>
      </c>
      <c r="F1202">
        <v>37</v>
      </c>
    </row>
    <row r="1203" spans="1:6" x14ac:dyDescent="0.2">
      <c r="A1203" s="3"/>
      <c r="B1203">
        <v>10000.1</v>
      </c>
      <c r="C1203">
        <v>12000</v>
      </c>
      <c r="D1203" s="772">
        <v>79.134249580788165</v>
      </c>
      <c r="E1203">
        <v>40</v>
      </c>
      <c r="F1203">
        <v>37</v>
      </c>
    </row>
    <row r="1204" spans="1:6" x14ac:dyDescent="0.2">
      <c r="A1204" s="3"/>
      <c r="B1204">
        <v>12000.1</v>
      </c>
      <c r="C1204">
        <v>15000</v>
      </c>
      <c r="D1204" s="772">
        <v>76.416119325190365</v>
      </c>
      <c r="E1204">
        <v>40</v>
      </c>
      <c r="F1204">
        <v>37</v>
      </c>
    </row>
    <row r="1205" spans="1:6" x14ac:dyDescent="0.2">
      <c r="A1205" s="3"/>
      <c r="B1205">
        <v>15000.1</v>
      </c>
      <c r="C1205">
        <v>18000</v>
      </c>
      <c r="D1205" s="772">
        <v>76.116806928585163</v>
      </c>
      <c r="E1205">
        <v>40</v>
      </c>
      <c r="F1205">
        <v>37</v>
      </c>
    </row>
    <row r="1206" spans="1:6" x14ac:dyDescent="0.2">
      <c r="A1206" s="3"/>
      <c r="B1206">
        <v>18000.099999999999</v>
      </c>
      <c r="C1206">
        <v>20000</v>
      </c>
      <c r="D1206" s="772">
        <v>73.601730882546249</v>
      </c>
      <c r="E1206">
        <v>40</v>
      </c>
      <c r="F1206">
        <v>37</v>
      </c>
    </row>
    <row r="1207" spans="1:6" x14ac:dyDescent="0.2">
      <c r="A1207" s="3"/>
      <c r="B1207">
        <v>20000.099999999999</v>
      </c>
      <c r="C1207">
        <v>24000</v>
      </c>
      <c r="D1207" s="772">
        <v>74.675352562661516</v>
      </c>
      <c r="E1207">
        <v>40</v>
      </c>
      <c r="F1207">
        <v>37</v>
      </c>
    </row>
    <row r="1208" spans="1:6" x14ac:dyDescent="0.2">
      <c r="A1208" s="3"/>
      <c r="B1208">
        <v>24000.1</v>
      </c>
      <c r="C1208">
        <v>25000</v>
      </c>
      <c r="D1208" s="772">
        <v>73.708182823794161</v>
      </c>
      <c r="E1208">
        <v>40</v>
      </c>
      <c r="F1208">
        <v>37</v>
      </c>
    </row>
    <row r="1209" spans="1:6" x14ac:dyDescent="0.2">
      <c r="A1209" s="3"/>
      <c r="B1209">
        <v>25000.1</v>
      </c>
      <c r="C1209">
        <v>30000</v>
      </c>
      <c r="D1209" s="772">
        <v>71.971198866715682</v>
      </c>
      <c r="E1209">
        <v>40</v>
      </c>
      <c r="F1209">
        <v>37</v>
      </c>
    </row>
    <row r="1210" spans="1:6" x14ac:dyDescent="0.2">
      <c r="A1210" s="3"/>
      <c r="B1210">
        <v>30000.1</v>
      </c>
      <c r="C1210">
        <v>36000</v>
      </c>
      <c r="D1210" s="772">
        <v>72.021397991373973</v>
      </c>
      <c r="E1210">
        <v>40</v>
      </c>
      <c r="F1210">
        <v>37</v>
      </c>
    </row>
    <row r="1211" spans="1:6" x14ac:dyDescent="0.2">
      <c r="A1211" s="3"/>
      <c r="B1211">
        <v>36000.1</v>
      </c>
      <c r="C1211">
        <v>42000</v>
      </c>
      <c r="D1211" s="772">
        <v>71.434644688721548</v>
      </c>
      <c r="E1211">
        <v>40</v>
      </c>
      <c r="F1211">
        <v>37</v>
      </c>
    </row>
    <row r="1212" spans="1:6" x14ac:dyDescent="0.2">
      <c r="A1212" s="3"/>
      <c r="B1212">
        <v>42000.1</v>
      </c>
      <c r="C1212">
        <v>48000</v>
      </c>
      <c r="D1212" s="772">
        <v>71.222326845008411</v>
      </c>
      <c r="E1212">
        <v>40</v>
      </c>
      <c r="F1212">
        <v>37</v>
      </c>
    </row>
    <row r="1213" spans="1:6" x14ac:dyDescent="0.2">
      <c r="A1213" s="3"/>
      <c r="B1213">
        <v>48000.1</v>
      </c>
      <c r="C1213">
        <v>50000</v>
      </c>
      <c r="D1213" s="772">
        <v>69.463600800159014</v>
      </c>
      <c r="E1213">
        <v>40</v>
      </c>
      <c r="F1213">
        <v>37</v>
      </c>
    </row>
    <row r="1214" spans="1:6" x14ac:dyDescent="0.2">
      <c r="A1214" s="3"/>
      <c r="B1214">
        <v>50000.1</v>
      </c>
      <c r="C1214">
        <v>54000</v>
      </c>
      <c r="D1214" s="772">
        <v>69.496533272752387</v>
      </c>
      <c r="E1214">
        <v>40</v>
      </c>
      <c r="F1214">
        <v>37</v>
      </c>
    </row>
    <row r="1215" spans="1:6" x14ac:dyDescent="0.2">
      <c r="A1215" s="3"/>
      <c r="B1215">
        <v>54000.1</v>
      </c>
      <c r="C1215">
        <v>60000</v>
      </c>
      <c r="D1215" s="772">
        <v>69.632777066852483</v>
      </c>
      <c r="E1215">
        <v>40</v>
      </c>
      <c r="F1215">
        <v>37</v>
      </c>
    </row>
    <row r="1216" spans="1:6" x14ac:dyDescent="0.2">
      <c r="A1216" s="3"/>
      <c r="B1216">
        <v>60000.1</v>
      </c>
      <c r="C1216">
        <v>100000</v>
      </c>
      <c r="D1216" s="772">
        <v>67.290512754671852</v>
      </c>
      <c r="E1216">
        <v>40</v>
      </c>
      <c r="F1216">
        <v>37</v>
      </c>
    </row>
    <row r="1217" spans="1:6" x14ac:dyDescent="0.2">
      <c r="A1217" s="3"/>
      <c r="B1217">
        <v>100000.1</v>
      </c>
      <c r="C1217">
        <v>200000</v>
      </c>
      <c r="D1217" s="772">
        <v>65.539760978220841</v>
      </c>
      <c r="E1217">
        <v>40</v>
      </c>
      <c r="F1217">
        <v>37</v>
      </c>
    </row>
    <row r="1218" spans="1:6" x14ac:dyDescent="0.2">
      <c r="A1218" s="3"/>
      <c r="B1218">
        <v>200000.1</v>
      </c>
      <c r="C1218" t="s">
        <v>687</v>
      </c>
      <c r="D1218" s="419"/>
    </row>
    <row r="1221" spans="1:6" x14ac:dyDescent="0.2">
      <c r="A1221" s="112" t="s">
        <v>4512</v>
      </c>
      <c r="B1221" s="934" t="s">
        <v>1142</v>
      </c>
      <c r="C1221" s="268"/>
      <c r="D1221" s="945"/>
      <c r="E1221" s="268"/>
      <c r="F1221" s="268"/>
    </row>
    <row r="1222" spans="1:6" x14ac:dyDescent="0.2">
      <c r="A1222" s="944">
        <v>3</v>
      </c>
      <c r="B1222" s="116" t="s">
        <v>4824</v>
      </c>
      <c r="C1222" s="116" t="s">
        <v>4825</v>
      </c>
      <c r="D1222" s="116" t="s">
        <v>4510</v>
      </c>
      <c r="E1222" s="116" t="s">
        <v>4503</v>
      </c>
      <c r="F1222" s="116" t="s">
        <v>4504</v>
      </c>
    </row>
    <row r="1223" spans="1:6" x14ac:dyDescent="0.2">
      <c r="A1223" s="3" t="s">
        <v>4831</v>
      </c>
      <c r="B1223">
        <v>0</v>
      </c>
      <c r="C1223">
        <v>500</v>
      </c>
      <c r="D1223" s="772">
        <v>50.742289444355997</v>
      </c>
      <c r="E1223">
        <v>25</v>
      </c>
      <c r="F1223">
        <v>20</v>
      </c>
    </row>
    <row r="1224" spans="1:6" x14ac:dyDescent="0.2">
      <c r="A1224" s="3"/>
      <c r="B1224">
        <v>500.1</v>
      </c>
      <c r="C1224" t="s">
        <v>687</v>
      </c>
      <c r="D1224" s="772" t="s">
        <v>687</v>
      </c>
    </row>
    <row r="1227" spans="1:6" x14ac:dyDescent="0.2">
      <c r="A1227" s="112" t="s">
        <v>4832</v>
      </c>
      <c r="B1227" s="934" t="s">
        <v>1111</v>
      </c>
      <c r="C1227" s="268"/>
      <c r="D1227" s="945"/>
      <c r="E1227" s="268"/>
      <c r="F1227" s="268"/>
    </row>
    <row r="1228" spans="1:6" x14ac:dyDescent="0.2">
      <c r="A1228" s="944">
        <v>34</v>
      </c>
      <c r="B1228" s="116" t="s">
        <v>4833</v>
      </c>
      <c r="C1228" s="116" t="s">
        <v>1024</v>
      </c>
      <c r="D1228" s="116" t="s">
        <v>4510</v>
      </c>
      <c r="E1228" s="116" t="s">
        <v>4503</v>
      </c>
      <c r="F1228" s="116" t="s">
        <v>4504</v>
      </c>
    </row>
    <row r="1229" spans="1:6" x14ac:dyDescent="0.2">
      <c r="A1229" s="3" t="s">
        <v>4834</v>
      </c>
      <c r="B1229">
        <v>0</v>
      </c>
      <c r="C1229">
        <v>3.33</v>
      </c>
      <c r="D1229" s="772">
        <v>9610</v>
      </c>
      <c r="E1229">
        <v>25</v>
      </c>
      <c r="F1229">
        <v>20</v>
      </c>
    </row>
    <row r="1230" spans="1:6" x14ac:dyDescent="0.2">
      <c r="B1230">
        <v>3.34</v>
      </c>
      <c r="C1230">
        <v>66.66</v>
      </c>
      <c r="D1230" s="772">
        <v>262200</v>
      </c>
      <c r="E1230">
        <v>25</v>
      </c>
      <c r="F1230">
        <v>20</v>
      </c>
    </row>
    <row r="1231" spans="1:6" x14ac:dyDescent="0.2">
      <c r="B1231">
        <v>66.67</v>
      </c>
      <c r="C1231">
        <v>113.32</v>
      </c>
      <c r="D1231" s="772">
        <v>509000</v>
      </c>
      <c r="E1231">
        <v>25</v>
      </c>
      <c r="F1231">
        <v>20</v>
      </c>
    </row>
    <row r="1232" spans="1:6" x14ac:dyDescent="0.2">
      <c r="B1232">
        <v>113.33</v>
      </c>
      <c r="C1232" t="s">
        <v>687</v>
      </c>
      <c r="D1232" s="772" t="s">
        <v>687</v>
      </c>
      <c r="E1232">
        <v>25</v>
      </c>
      <c r="F1232">
        <v>20</v>
      </c>
    </row>
    <row r="1235" spans="1:6" x14ac:dyDescent="0.2">
      <c r="A1235" s="112" t="s">
        <v>4835</v>
      </c>
      <c r="B1235" s="934" t="s">
        <v>4836</v>
      </c>
      <c r="C1235" s="268"/>
      <c r="D1235" s="945"/>
      <c r="E1235" s="268"/>
      <c r="F1235" s="268"/>
    </row>
    <row r="1236" spans="1:6" x14ac:dyDescent="0.2">
      <c r="A1236" s="944">
        <v>22</v>
      </c>
      <c r="B1236" s="116" t="s">
        <v>4837</v>
      </c>
      <c r="C1236" s="116" t="s">
        <v>1032</v>
      </c>
      <c r="D1236" s="116" t="s">
        <v>4510</v>
      </c>
      <c r="E1236" s="116" t="s">
        <v>4503</v>
      </c>
      <c r="F1236" s="116" t="s">
        <v>4504</v>
      </c>
    </row>
    <row r="1237" spans="1:6" x14ac:dyDescent="0.2">
      <c r="A1237" s="3" t="s">
        <v>4838</v>
      </c>
      <c r="B1237">
        <v>0</v>
      </c>
      <c r="C1237">
        <v>41</v>
      </c>
      <c r="D1237" s="772">
        <v>20050</v>
      </c>
      <c r="E1237">
        <v>25</v>
      </c>
      <c r="F1237">
        <v>20</v>
      </c>
    </row>
    <row r="1238" spans="1:6" x14ac:dyDescent="0.2">
      <c r="B1238">
        <v>41.1</v>
      </c>
      <c r="C1238">
        <v>103</v>
      </c>
      <c r="D1238" s="772">
        <v>53000</v>
      </c>
      <c r="E1238">
        <v>25</v>
      </c>
      <c r="F1238">
        <v>20</v>
      </c>
    </row>
    <row r="1239" spans="1:6" x14ac:dyDescent="0.2">
      <c r="B1239">
        <v>103.1</v>
      </c>
      <c r="C1239">
        <v>461</v>
      </c>
      <c r="D1239" s="772">
        <v>80828.800000000003</v>
      </c>
      <c r="E1239">
        <v>25</v>
      </c>
      <c r="F1239">
        <v>20</v>
      </c>
    </row>
    <row r="1240" spans="1:6" x14ac:dyDescent="0.2">
      <c r="B1240">
        <v>461.1</v>
      </c>
      <c r="C1240">
        <v>820</v>
      </c>
      <c r="D1240" s="772">
        <v>186250</v>
      </c>
      <c r="E1240">
        <v>25</v>
      </c>
      <c r="F1240">
        <v>20</v>
      </c>
    </row>
    <row r="1241" spans="1:6" x14ac:dyDescent="0.2">
      <c r="B1241">
        <v>820.1</v>
      </c>
      <c r="C1241">
        <v>1010</v>
      </c>
      <c r="D1241" s="772">
        <v>240870</v>
      </c>
      <c r="E1241">
        <v>25</v>
      </c>
      <c r="F1241">
        <v>20</v>
      </c>
    </row>
    <row r="1242" spans="1:6" x14ac:dyDescent="0.2">
      <c r="B1242">
        <v>1010.1</v>
      </c>
      <c r="C1242">
        <v>1432</v>
      </c>
      <c r="D1242" s="772">
        <v>335385</v>
      </c>
      <c r="E1242">
        <v>25</v>
      </c>
      <c r="F1242">
        <v>20</v>
      </c>
    </row>
    <row r="1243" spans="1:6" x14ac:dyDescent="0.2">
      <c r="B1243">
        <v>1432.1</v>
      </c>
      <c r="C1243">
        <v>2273</v>
      </c>
      <c r="D1243" s="772">
        <v>422280</v>
      </c>
      <c r="E1243">
        <v>25</v>
      </c>
      <c r="F1243">
        <v>20</v>
      </c>
    </row>
    <row r="1244" spans="1:6" x14ac:dyDescent="0.2">
      <c r="B1244">
        <v>2273.1</v>
      </c>
      <c r="C1244">
        <v>3071</v>
      </c>
      <c r="D1244" s="772">
        <v>602965</v>
      </c>
      <c r="E1244">
        <v>25</v>
      </c>
      <c r="F1244">
        <v>20</v>
      </c>
    </row>
    <row r="1245" spans="1:6" x14ac:dyDescent="0.2">
      <c r="B1245">
        <v>3071.1</v>
      </c>
      <c r="C1245">
        <v>6148</v>
      </c>
      <c r="D1245" s="772">
        <v>1026523</v>
      </c>
      <c r="E1245">
        <v>25</v>
      </c>
      <c r="F1245">
        <v>20</v>
      </c>
    </row>
    <row r="1246" spans="1:6" x14ac:dyDescent="0.2">
      <c r="B1246">
        <v>6148.1</v>
      </c>
      <c r="C1246" t="s">
        <v>687</v>
      </c>
      <c r="D1246" s="772" t="s">
        <v>687</v>
      </c>
      <c r="E1246">
        <v>25</v>
      </c>
      <c r="F1246">
        <v>20</v>
      </c>
    </row>
    <row r="1249" spans="1:6" x14ac:dyDescent="0.2">
      <c r="A1249" s="112" t="s">
        <v>4835</v>
      </c>
      <c r="B1249" s="934" t="s">
        <v>3634</v>
      </c>
      <c r="C1249" s="268"/>
      <c r="D1249" s="945"/>
      <c r="E1249" s="268"/>
      <c r="F1249" s="268"/>
    </row>
    <row r="1250" spans="1:6" x14ac:dyDescent="0.2">
      <c r="A1250" s="944">
        <v>22</v>
      </c>
      <c r="B1250" s="116" t="s">
        <v>4837</v>
      </c>
      <c r="C1250" s="116" t="s">
        <v>1032</v>
      </c>
      <c r="D1250" s="116" t="s">
        <v>4510</v>
      </c>
      <c r="E1250" s="116" t="s">
        <v>4503</v>
      </c>
      <c r="F1250" s="116" t="s">
        <v>4504</v>
      </c>
    </row>
    <row r="1251" spans="1:6" x14ac:dyDescent="0.2">
      <c r="A1251" s="3" t="s">
        <v>4839</v>
      </c>
      <c r="B1251">
        <v>0</v>
      </c>
      <c r="C1251">
        <v>80</v>
      </c>
      <c r="D1251" s="772">
        <v>28108.899999999998</v>
      </c>
      <c r="E1251">
        <v>25</v>
      </c>
      <c r="F1251">
        <v>20</v>
      </c>
    </row>
    <row r="1252" spans="1:6" x14ac:dyDescent="0.2">
      <c r="B1252">
        <v>80.099999999999994</v>
      </c>
      <c r="C1252">
        <v>163</v>
      </c>
      <c r="D1252" s="772">
        <v>36915</v>
      </c>
      <c r="E1252">
        <v>25</v>
      </c>
      <c r="F1252">
        <v>20</v>
      </c>
    </row>
    <row r="1253" spans="1:6" x14ac:dyDescent="0.2">
      <c r="B1253">
        <v>163.1</v>
      </c>
      <c r="C1253">
        <v>544</v>
      </c>
      <c r="D1253" s="772">
        <v>88087.5</v>
      </c>
      <c r="E1253">
        <v>25</v>
      </c>
      <c r="F1253">
        <v>20</v>
      </c>
    </row>
    <row r="1254" spans="1:6" x14ac:dyDescent="0.2">
      <c r="B1254">
        <v>544.1</v>
      </c>
      <c r="C1254">
        <v>1088</v>
      </c>
      <c r="D1254" s="772">
        <v>159500</v>
      </c>
      <c r="E1254">
        <v>25</v>
      </c>
      <c r="F1254">
        <v>20</v>
      </c>
    </row>
    <row r="1255" spans="1:6" x14ac:dyDescent="0.2">
      <c r="B1255">
        <v>1088.0999999999999</v>
      </c>
      <c r="C1255">
        <v>3264</v>
      </c>
      <c r="D1255" s="772">
        <v>370185</v>
      </c>
      <c r="E1255">
        <v>25</v>
      </c>
      <c r="F1255">
        <v>20</v>
      </c>
    </row>
    <row r="1256" spans="1:6" x14ac:dyDescent="0.2">
      <c r="B1256">
        <v>3264.1</v>
      </c>
      <c r="C1256">
        <v>5032</v>
      </c>
      <c r="D1256" s="772">
        <v>612623</v>
      </c>
      <c r="E1256">
        <v>25</v>
      </c>
      <c r="F1256">
        <v>20</v>
      </c>
    </row>
    <row r="1257" spans="1:6" x14ac:dyDescent="0.2">
      <c r="B1257">
        <v>5032.1000000000004</v>
      </c>
      <c r="C1257" t="s">
        <v>687</v>
      </c>
      <c r="D1257" s="772" t="s">
        <v>687</v>
      </c>
      <c r="E1257">
        <v>25</v>
      </c>
      <c r="F1257">
        <v>20</v>
      </c>
    </row>
    <row r="1260" spans="1:6" x14ac:dyDescent="0.2">
      <c r="A1260" s="112" t="s">
        <v>4835</v>
      </c>
      <c r="B1260" s="934" t="s">
        <v>3631</v>
      </c>
      <c r="C1260" s="268"/>
      <c r="D1260" s="945"/>
      <c r="E1260" s="268"/>
      <c r="F1260" s="268"/>
    </row>
    <row r="1261" spans="1:6" x14ac:dyDescent="0.2">
      <c r="A1261" s="944">
        <v>22</v>
      </c>
      <c r="B1261" s="116" t="s">
        <v>4837</v>
      </c>
      <c r="C1261" s="116" t="s">
        <v>1032</v>
      </c>
      <c r="D1261" s="116" t="s">
        <v>4510</v>
      </c>
      <c r="E1261" s="116" t="s">
        <v>4503</v>
      </c>
      <c r="F1261" s="116" t="s">
        <v>4504</v>
      </c>
    </row>
    <row r="1262" spans="1:6" x14ac:dyDescent="0.2">
      <c r="A1262" s="3" t="s">
        <v>4840</v>
      </c>
      <c r="B1262">
        <v>0</v>
      </c>
      <c r="C1262">
        <v>80</v>
      </c>
      <c r="D1262" s="772">
        <v>28108.899999999998</v>
      </c>
      <c r="E1262">
        <v>25</v>
      </c>
      <c r="F1262">
        <v>20</v>
      </c>
    </row>
    <row r="1263" spans="1:6" x14ac:dyDescent="0.2">
      <c r="B1263">
        <v>80.099999999999994</v>
      </c>
      <c r="C1263">
        <v>163</v>
      </c>
      <c r="D1263" s="772">
        <v>36915</v>
      </c>
      <c r="E1263">
        <v>25</v>
      </c>
      <c r="F1263">
        <v>20</v>
      </c>
    </row>
    <row r="1264" spans="1:6" x14ac:dyDescent="0.2">
      <c r="B1264">
        <v>163.1</v>
      </c>
      <c r="C1264">
        <v>544</v>
      </c>
      <c r="D1264" s="772">
        <v>88087.5</v>
      </c>
      <c r="E1264">
        <v>25</v>
      </c>
      <c r="F1264">
        <v>20</v>
      </c>
    </row>
    <row r="1265" spans="1:6" x14ac:dyDescent="0.2">
      <c r="B1265">
        <v>544.1</v>
      </c>
      <c r="C1265">
        <v>1088</v>
      </c>
      <c r="D1265" s="772">
        <v>159500</v>
      </c>
      <c r="E1265">
        <v>25</v>
      </c>
      <c r="F1265">
        <v>20</v>
      </c>
    </row>
    <row r="1266" spans="1:6" x14ac:dyDescent="0.2">
      <c r="B1266">
        <v>1088.0999999999999</v>
      </c>
      <c r="C1266">
        <v>3264</v>
      </c>
      <c r="D1266" s="772">
        <v>370185</v>
      </c>
      <c r="E1266">
        <v>25</v>
      </c>
      <c r="F1266">
        <v>20</v>
      </c>
    </row>
    <row r="1267" spans="1:6" x14ac:dyDescent="0.2">
      <c r="B1267">
        <v>3264.1</v>
      </c>
      <c r="C1267">
        <v>5032</v>
      </c>
      <c r="D1267" s="772">
        <v>612623</v>
      </c>
      <c r="E1267">
        <v>25</v>
      </c>
      <c r="F1267">
        <v>20</v>
      </c>
    </row>
    <row r="1268" spans="1:6" x14ac:dyDescent="0.2">
      <c r="B1268">
        <v>5032.1000000000004</v>
      </c>
      <c r="C1268" t="s">
        <v>687</v>
      </c>
      <c r="D1268" s="772" t="s">
        <v>687</v>
      </c>
      <c r="E1268">
        <v>25</v>
      </c>
      <c r="F1268">
        <v>20</v>
      </c>
    </row>
    <row r="1271" spans="1:6" x14ac:dyDescent="0.2">
      <c r="A1271" s="112" t="s">
        <v>4832</v>
      </c>
      <c r="B1271" s="934" t="s">
        <v>3630</v>
      </c>
      <c r="C1271" s="268"/>
      <c r="D1271" s="945"/>
      <c r="E1271" s="268"/>
      <c r="F1271" s="268"/>
    </row>
    <row r="1272" spans="1:6" x14ac:dyDescent="0.2">
      <c r="A1272" s="944">
        <v>34</v>
      </c>
      <c r="B1272" s="116" t="s">
        <v>4833</v>
      </c>
      <c r="C1272" s="116" t="s">
        <v>1024</v>
      </c>
      <c r="D1272" s="116" t="s">
        <v>4510</v>
      </c>
      <c r="E1272" s="116" t="s">
        <v>4503</v>
      </c>
      <c r="F1272" s="116" t="s">
        <v>4504</v>
      </c>
    </row>
    <row r="1273" spans="1:6" x14ac:dyDescent="0.2">
      <c r="A1273" s="3" t="s">
        <v>4842</v>
      </c>
      <c r="B1273" s="694">
        <v>0</v>
      </c>
      <c r="C1273">
        <v>0.5</v>
      </c>
      <c r="D1273" s="419">
        <v>3300</v>
      </c>
      <c r="E1273">
        <v>25</v>
      </c>
      <c r="F1273">
        <v>20</v>
      </c>
    </row>
    <row r="1274" spans="1:6" x14ac:dyDescent="0.2">
      <c r="A1274" s="3"/>
      <c r="B1274" s="694">
        <v>0.51</v>
      </c>
      <c r="C1274">
        <v>0.75</v>
      </c>
      <c r="D1274" s="419">
        <v>3500</v>
      </c>
      <c r="E1274">
        <v>25</v>
      </c>
      <c r="F1274">
        <v>20</v>
      </c>
    </row>
    <row r="1275" spans="1:6" x14ac:dyDescent="0.2">
      <c r="A1275" s="3"/>
      <c r="B1275" s="694">
        <v>0.76</v>
      </c>
      <c r="C1275">
        <v>1</v>
      </c>
      <c r="D1275" s="419">
        <v>3862.5</v>
      </c>
      <c r="E1275">
        <v>25</v>
      </c>
      <c r="F1275">
        <v>20</v>
      </c>
    </row>
    <row r="1276" spans="1:6" x14ac:dyDescent="0.2">
      <c r="A1276" s="3"/>
      <c r="B1276" s="694">
        <v>1.01</v>
      </c>
      <c r="C1276">
        <v>1.5</v>
      </c>
      <c r="D1276" s="419">
        <v>3862.5</v>
      </c>
      <c r="E1276">
        <v>25</v>
      </c>
      <c r="F1276">
        <v>20</v>
      </c>
    </row>
    <row r="1277" spans="1:6" x14ac:dyDescent="0.2">
      <c r="A1277" s="3"/>
      <c r="B1277" s="694">
        <v>1.51</v>
      </c>
      <c r="C1277">
        <v>2</v>
      </c>
      <c r="D1277" s="419">
        <v>4150</v>
      </c>
      <c r="E1277">
        <v>25</v>
      </c>
      <c r="F1277">
        <v>20</v>
      </c>
    </row>
    <row r="1278" spans="1:6" x14ac:dyDescent="0.2">
      <c r="A1278" s="3"/>
      <c r="B1278" s="694">
        <v>2.0099999999999998</v>
      </c>
      <c r="C1278">
        <v>2.5</v>
      </c>
      <c r="D1278" s="419">
        <v>5550</v>
      </c>
      <c r="E1278">
        <v>25</v>
      </c>
      <c r="F1278">
        <v>20</v>
      </c>
    </row>
    <row r="1279" spans="1:6" x14ac:dyDescent="0.2">
      <c r="A1279" s="3"/>
      <c r="B1279" s="694">
        <v>2.5099999999999998</v>
      </c>
      <c r="C1279">
        <v>3</v>
      </c>
      <c r="D1279" s="419">
        <v>6300</v>
      </c>
      <c r="E1279">
        <v>25</v>
      </c>
      <c r="F1279">
        <v>20</v>
      </c>
    </row>
    <row r="1280" spans="1:6" x14ac:dyDescent="0.2">
      <c r="A1280" s="3"/>
      <c r="B1280" s="694">
        <v>3.01</v>
      </c>
      <c r="C1280">
        <v>3.5</v>
      </c>
      <c r="D1280" s="419">
        <v>5250</v>
      </c>
      <c r="E1280">
        <v>25</v>
      </c>
      <c r="F1280">
        <v>20</v>
      </c>
    </row>
    <row r="1281" spans="1:6" x14ac:dyDescent="0.2">
      <c r="A1281" s="3"/>
      <c r="B1281" s="694">
        <v>3.51</v>
      </c>
      <c r="C1281">
        <v>4</v>
      </c>
      <c r="D1281" s="419">
        <v>5750</v>
      </c>
      <c r="E1281">
        <v>25</v>
      </c>
      <c r="F1281">
        <v>20</v>
      </c>
    </row>
    <row r="1282" spans="1:6" x14ac:dyDescent="0.2">
      <c r="A1282" s="3"/>
      <c r="B1282" s="694">
        <v>4.01</v>
      </c>
      <c r="C1282">
        <v>5</v>
      </c>
      <c r="D1282" s="419">
        <v>6762.5</v>
      </c>
      <c r="E1282">
        <v>25</v>
      </c>
      <c r="F1282">
        <v>20</v>
      </c>
    </row>
    <row r="1283" spans="1:6" x14ac:dyDescent="0.2">
      <c r="A1283" s="3"/>
      <c r="B1283" s="694">
        <v>5.01</v>
      </c>
      <c r="C1283">
        <v>7.5</v>
      </c>
      <c r="D1283" s="419">
        <v>11350</v>
      </c>
      <c r="E1283">
        <v>25</v>
      </c>
      <c r="F1283">
        <v>20</v>
      </c>
    </row>
    <row r="1284" spans="1:6" x14ac:dyDescent="0.2">
      <c r="A1284" s="3"/>
      <c r="B1284" s="694">
        <v>7.51</v>
      </c>
      <c r="C1284">
        <v>10</v>
      </c>
      <c r="D1284" s="419">
        <v>13700</v>
      </c>
      <c r="E1284">
        <v>25</v>
      </c>
      <c r="F1284">
        <v>20</v>
      </c>
    </row>
    <row r="1285" spans="1:6" x14ac:dyDescent="0.2">
      <c r="A1285" s="3" t="s">
        <v>4841</v>
      </c>
      <c r="B1285" s="694">
        <v>10.01</v>
      </c>
      <c r="C1285">
        <v>12</v>
      </c>
      <c r="D1285" s="419">
        <v>19700</v>
      </c>
      <c r="E1285">
        <v>25</v>
      </c>
      <c r="F1285">
        <v>20</v>
      </c>
    </row>
    <row r="1286" spans="1:6" x14ac:dyDescent="0.2">
      <c r="A1286" s="3"/>
      <c r="B1286" s="694">
        <v>12.01</v>
      </c>
      <c r="C1286">
        <v>15</v>
      </c>
      <c r="D1286" s="419">
        <v>21900</v>
      </c>
      <c r="E1286">
        <v>25</v>
      </c>
      <c r="F1286">
        <v>20</v>
      </c>
    </row>
    <row r="1287" spans="1:6" x14ac:dyDescent="0.2">
      <c r="B1287" s="694">
        <v>15.01</v>
      </c>
      <c r="C1287">
        <v>20</v>
      </c>
      <c r="D1287" s="419">
        <v>24100</v>
      </c>
      <c r="E1287">
        <v>25</v>
      </c>
      <c r="F1287">
        <v>20</v>
      </c>
    </row>
    <row r="1288" spans="1:6" x14ac:dyDescent="0.2">
      <c r="B1288" s="694">
        <v>20.010000000000002</v>
      </c>
      <c r="C1288">
        <v>25</v>
      </c>
      <c r="D1288" s="419">
        <v>32400</v>
      </c>
      <c r="E1288">
        <v>25</v>
      </c>
      <c r="F1288">
        <v>20</v>
      </c>
    </row>
    <row r="1289" spans="1:6" x14ac:dyDescent="0.2">
      <c r="B1289" s="694">
        <v>25.01</v>
      </c>
      <c r="C1289">
        <v>30</v>
      </c>
      <c r="D1289" s="419">
        <v>37400</v>
      </c>
      <c r="E1289">
        <v>25</v>
      </c>
      <c r="F1289">
        <v>20</v>
      </c>
    </row>
    <row r="1290" spans="1:6" x14ac:dyDescent="0.2">
      <c r="B1290" s="694">
        <v>30.01</v>
      </c>
      <c r="C1290">
        <v>40</v>
      </c>
      <c r="D1290" s="419">
        <v>50000</v>
      </c>
      <c r="E1290">
        <v>25</v>
      </c>
      <c r="F1290">
        <v>20</v>
      </c>
    </row>
    <row r="1291" spans="1:6" x14ac:dyDescent="0.2">
      <c r="B1291" s="694">
        <v>40.01</v>
      </c>
      <c r="C1291">
        <v>50</v>
      </c>
      <c r="D1291" s="419">
        <v>59500</v>
      </c>
      <c r="E1291">
        <v>25</v>
      </c>
      <c r="F1291">
        <v>20</v>
      </c>
    </row>
    <row r="1292" spans="1:6" x14ac:dyDescent="0.2">
      <c r="B1292" s="694">
        <v>50.01</v>
      </c>
      <c r="C1292" t="s">
        <v>687</v>
      </c>
      <c r="D1292" s="419" t="s">
        <v>687</v>
      </c>
    </row>
    <row r="1295" spans="1:6" x14ac:dyDescent="0.2">
      <c r="A1295" s="112" t="s">
        <v>4835</v>
      </c>
      <c r="B1295" s="934" t="s">
        <v>3522</v>
      </c>
      <c r="C1295" s="268"/>
      <c r="D1295" s="945"/>
      <c r="E1295" s="268"/>
      <c r="F1295" s="268"/>
    </row>
    <row r="1296" spans="1:6" x14ac:dyDescent="0.2">
      <c r="A1296" s="944">
        <v>22</v>
      </c>
      <c r="B1296" s="116" t="s">
        <v>4837</v>
      </c>
      <c r="C1296" s="116" t="s">
        <v>1032</v>
      </c>
      <c r="D1296" s="116" t="s">
        <v>4510</v>
      </c>
      <c r="E1296" s="116" t="s">
        <v>4503</v>
      </c>
      <c r="F1296" s="116" t="s">
        <v>4504</v>
      </c>
    </row>
    <row r="1297" spans="1:6" x14ac:dyDescent="0.2">
      <c r="A1297" s="3" t="s">
        <v>4843</v>
      </c>
      <c r="B1297">
        <v>0</v>
      </c>
      <c r="C1297">
        <v>109</v>
      </c>
      <c r="D1297" s="772">
        <v>38340</v>
      </c>
      <c r="E1297">
        <v>25</v>
      </c>
      <c r="F1297">
        <v>20</v>
      </c>
    </row>
    <row r="1298" spans="1:6" x14ac:dyDescent="0.2">
      <c r="B1298">
        <v>109.1</v>
      </c>
      <c r="C1298">
        <v>235</v>
      </c>
      <c r="D1298" s="772">
        <v>51502.500000000007</v>
      </c>
      <c r="E1298">
        <v>25</v>
      </c>
      <c r="F1298">
        <v>20</v>
      </c>
    </row>
    <row r="1299" spans="1:6" x14ac:dyDescent="0.2">
      <c r="B1299">
        <v>235.1</v>
      </c>
      <c r="C1299">
        <v>940</v>
      </c>
      <c r="D1299" s="772">
        <v>145625</v>
      </c>
      <c r="E1299">
        <v>25</v>
      </c>
      <c r="F1299">
        <v>20</v>
      </c>
    </row>
    <row r="1300" spans="1:6" x14ac:dyDescent="0.2">
      <c r="B1300">
        <v>940.1</v>
      </c>
      <c r="C1300">
        <v>1600</v>
      </c>
      <c r="D1300" s="772">
        <v>224928</v>
      </c>
      <c r="E1300">
        <v>25</v>
      </c>
      <c r="F1300">
        <v>20</v>
      </c>
    </row>
    <row r="1301" spans="1:6" x14ac:dyDescent="0.2">
      <c r="B1301">
        <v>1600.1</v>
      </c>
      <c r="C1301">
        <v>2480</v>
      </c>
      <c r="D1301" s="772">
        <v>318753</v>
      </c>
      <c r="E1301">
        <v>25</v>
      </c>
      <c r="F1301">
        <v>20</v>
      </c>
    </row>
    <row r="1302" spans="1:6" x14ac:dyDescent="0.2">
      <c r="B1302">
        <v>2480.1</v>
      </c>
      <c r="C1302">
        <v>3350</v>
      </c>
      <c r="D1302" s="772">
        <v>430315</v>
      </c>
      <c r="E1302">
        <v>25</v>
      </c>
      <c r="F1302">
        <v>20</v>
      </c>
    </row>
    <row r="1303" spans="1:6" x14ac:dyDescent="0.2">
      <c r="B1303">
        <v>3350.1</v>
      </c>
      <c r="C1303" t="s">
        <v>687</v>
      </c>
      <c r="D1303" s="772" t="s">
        <v>687</v>
      </c>
      <c r="E1303">
        <v>25</v>
      </c>
      <c r="F1303">
        <v>20</v>
      </c>
    </row>
    <row r="1306" spans="1:6" x14ac:dyDescent="0.2">
      <c r="A1306" s="112" t="s">
        <v>4835</v>
      </c>
      <c r="B1306" s="934" t="s">
        <v>3521</v>
      </c>
      <c r="C1306" s="268"/>
      <c r="D1306" s="945"/>
      <c r="E1306" s="268"/>
      <c r="F1306" s="268"/>
    </row>
    <row r="1307" spans="1:6" x14ac:dyDescent="0.2">
      <c r="A1307" s="944">
        <v>22</v>
      </c>
      <c r="B1307" s="116" t="s">
        <v>4837</v>
      </c>
      <c r="C1307" s="116" t="s">
        <v>1032</v>
      </c>
      <c r="D1307" s="116" t="s">
        <v>4510</v>
      </c>
      <c r="E1307" s="116" t="s">
        <v>4503</v>
      </c>
      <c r="F1307" s="116" t="s">
        <v>4504</v>
      </c>
    </row>
    <row r="1308" spans="1:6" x14ac:dyDescent="0.2">
      <c r="A1308" s="3" t="s">
        <v>4844</v>
      </c>
      <c r="B1308">
        <v>0</v>
      </c>
      <c r="C1308">
        <v>109</v>
      </c>
      <c r="D1308" s="772">
        <v>38340</v>
      </c>
      <c r="E1308">
        <v>25</v>
      </c>
      <c r="F1308">
        <v>20</v>
      </c>
    </row>
    <row r="1309" spans="1:6" x14ac:dyDescent="0.2">
      <c r="B1309">
        <v>109.1</v>
      </c>
      <c r="C1309">
        <v>235</v>
      </c>
      <c r="D1309" s="772">
        <v>51502.500000000007</v>
      </c>
      <c r="E1309">
        <v>25</v>
      </c>
      <c r="F1309">
        <v>20</v>
      </c>
    </row>
    <row r="1310" spans="1:6" x14ac:dyDescent="0.2">
      <c r="B1310">
        <v>235.1</v>
      </c>
      <c r="C1310">
        <v>940</v>
      </c>
      <c r="D1310" s="772">
        <v>145625</v>
      </c>
      <c r="E1310">
        <v>25</v>
      </c>
      <c r="F1310">
        <v>20</v>
      </c>
    </row>
    <row r="1311" spans="1:6" x14ac:dyDescent="0.2">
      <c r="B1311">
        <v>940.1</v>
      </c>
      <c r="C1311">
        <v>1600</v>
      </c>
      <c r="D1311" s="772">
        <v>224928</v>
      </c>
      <c r="E1311">
        <v>25</v>
      </c>
      <c r="F1311">
        <v>20</v>
      </c>
    </row>
    <row r="1312" spans="1:6" x14ac:dyDescent="0.2">
      <c r="B1312">
        <v>1600.1</v>
      </c>
      <c r="C1312">
        <v>2480</v>
      </c>
      <c r="D1312" s="772">
        <v>318753</v>
      </c>
      <c r="E1312">
        <v>25</v>
      </c>
      <c r="F1312">
        <v>20</v>
      </c>
    </row>
    <row r="1313" spans="1:6" x14ac:dyDescent="0.2">
      <c r="B1313">
        <v>2480.1</v>
      </c>
      <c r="C1313">
        <v>3350</v>
      </c>
      <c r="D1313" s="772">
        <v>430315</v>
      </c>
      <c r="E1313">
        <v>25</v>
      </c>
      <c r="F1313">
        <v>20</v>
      </c>
    </row>
    <row r="1314" spans="1:6" x14ac:dyDescent="0.2">
      <c r="B1314">
        <v>3350.1</v>
      </c>
      <c r="C1314" t="s">
        <v>687</v>
      </c>
      <c r="D1314" s="772" t="s">
        <v>687</v>
      </c>
      <c r="E1314">
        <v>25</v>
      </c>
      <c r="F1314">
        <v>20</v>
      </c>
    </row>
    <row r="1317" spans="1:6" x14ac:dyDescent="0.2">
      <c r="A1317" s="3"/>
      <c r="B1317" t="s">
        <v>4845</v>
      </c>
      <c r="C1317" s="3" t="s">
        <v>4846</v>
      </c>
      <c r="D1317" s="961">
        <v>6.4790285359180011</v>
      </c>
      <c r="E1317" s="696" t="s">
        <v>2346</v>
      </c>
    </row>
    <row r="1320" spans="1:6" x14ac:dyDescent="0.2">
      <c r="A1320" s="3"/>
      <c r="B1320" t="s">
        <v>2699</v>
      </c>
      <c r="C1320" s="3" t="s">
        <v>4847</v>
      </c>
      <c r="D1320" s="961">
        <v>11183.941281138788</v>
      </c>
      <c r="E1320" s="6" t="s">
        <v>1696</v>
      </c>
    </row>
    <row r="1323" spans="1:6" x14ac:dyDescent="0.2">
      <c r="A1323" s="3"/>
      <c r="B1323" t="s">
        <v>4848</v>
      </c>
      <c r="C1323" s="3" t="s">
        <v>4849</v>
      </c>
      <c r="D1323" s="961">
        <v>8.235301147941651E-2</v>
      </c>
      <c r="E1323" s="696" t="s">
        <v>2346</v>
      </c>
    </row>
    <row r="1326" spans="1:6" x14ac:dyDescent="0.2">
      <c r="A1326" s="3"/>
      <c r="B1326" t="s">
        <v>4850</v>
      </c>
      <c r="C1326" s="3" t="s">
        <v>4851</v>
      </c>
      <c r="D1326" s="962">
        <v>3.8295007720020586</v>
      </c>
      <c r="E1326" s="696" t="s">
        <v>3636</v>
      </c>
    </row>
    <row r="1329" spans="1:5" x14ac:dyDescent="0.2">
      <c r="A1329" s="3"/>
      <c r="B1329" t="s">
        <v>4852</v>
      </c>
      <c r="C1329" s="3" t="s">
        <v>4853</v>
      </c>
      <c r="D1329" s="962">
        <v>0.11001750924784216</v>
      </c>
      <c r="E1329" s="694" t="s">
        <v>3359</v>
      </c>
    </row>
    <row r="1332" spans="1:5" x14ac:dyDescent="0.2">
      <c r="A1332" s="3"/>
      <c r="B1332" t="s">
        <v>4854</v>
      </c>
      <c r="C1332" s="3" t="s">
        <v>4855</v>
      </c>
      <c r="D1332" s="962">
        <v>0.57856140350877194</v>
      </c>
      <c r="E1332" s="696" t="s">
        <v>3633</v>
      </c>
    </row>
    <row r="1335" spans="1:5" x14ac:dyDescent="0.2">
      <c r="A1335" s="57">
        <v>5</v>
      </c>
      <c r="B1335" t="s">
        <v>4856</v>
      </c>
      <c r="C1335" s="3" t="s">
        <v>4858</v>
      </c>
      <c r="D1335" s="68">
        <v>363.40616685535008</v>
      </c>
      <c r="E1335" s="6" t="s">
        <v>4857</v>
      </c>
    </row>
    <row r="1338" spans="1:5" x14ac:dyDescent="0.2">
      <c r="A1338" s="3"/>
      <c r="B1338" t="s">
        <v>4859</v>
      </c>
      <c r="C1338" s="3" t="s">
        <v>4861</v>
      </c>
      <c r="D1338" s="68">
        <v>3392.2096819686953</v>
      </c>
      <c r="E1338" s="6" t="s">
        <v>4860</v>
      </c>
    </row>
    <row r="1341" spans="1:5" x14ac:dyDescent="0.2">
      <c r="A1341" s="3"/>
      <c r="B1341" t="s">
        <v>4862</v>
      </c>
      <c r="C1341" s="3" t="s">
        <v>4864</v>
      </c>
      <c r="D1341" s="68">
        <v>0.28268414016405796</v>
      </c>
      <c r="E1341" s="6" t="s">
        <v>4863</v>
      </c>
    </row>
    <row r="1344" spans="1:5" x14ac:dyDescent="0.2">
      <c r="A1344" s="3"/>
      <c r="B1344" t="s">
        <v>4865</v>
      </c>
      <c r="C1344" s="3" t="s">
        <v>4866</v>
      </c>
      <c r="D1344" s="961">
        <v>0.14857538964026834</v>
      </c>
      <c r="E1344" s="696" t="s">
        <v>2346</v>
      </c>
    </row>
    <row r="1347" spans="1:7" x14ac:dyDescent="0.2">
      <c r="A1347" s="112" t="s">
        <v>4801</v>
      </c>
      <c r="B1347" s="934" t="s">
        <v>4867</v>
      </c>
      <c r="C1347" s="268"/>
      <c r="D1347" s="963"/>
      <c r="E1347" s="268" t="s">
        <v>4868</v>
      </c>
      <c r="F1347" s="268"/>
      <c r="G1347" s="268"/>
    </row>
    <row r="1348" spans="1:7" x14ac:dyDescent="0.2">
      <c r="A1348" s="944">
        <v>4</v>
      </c>
      <c r="B1348" s="116" t="s">
        <v>4869</v>
      </c>
      <c r="C1348" s="116" t="s">
        <v>4870</v>
      </c>
      <c r="D1348" s="116" t="s">
        <v>4871</v>
      </c>
      <c r="E1348" s="116" t="s">
        <v>4872</v>
      </c>
      <c r="F1348" s="964" t="s">
        <v>4873</v>
      </c>
      <c r="G1348" s="964" t="s">
        <v>4874</v>
      </c>
    </row>
    <row r="1349" spans="1:7" x14ac:dyDescent="0.2">
      <c r="A1349" s="3" t="s">
        <v>4875</v>
      </c>
      <c r="B1349">
        <v>0</v>
      </c>
      <c r="C1349">
        <v>0.03</v>
      </c>
      <c r="D1349">
        <v>1</v>
      </c>
      <c r="E1349" s="965">
        <v>34.161577540106947</v>
      </c>
      <c r="F1349" s="965">
        <v>50.648663101604278</v>
      </c>
      <c r="G1349" s="965">
        <v>32.90061497326203</v>
      </c>
    </row>
    <row r="1350" spans="1:7" x14ac:dyDescent="0.2">
      <c r="A1350" s="3"/>
      <c r="B1350">
        <v>3.1E-2</v>
      </c>
      <c r="C1350">
        <v>0.124</v>
      </c>
      <c r="D1350">
        <v>1</v>
      </c>
      <c r="E1350" s="965">
        <v>34.161577540106947</v>
      </c>
      <c r="F1350" s="965">
        <v>50.648663101604278</v>
      </c>
      <c r="G1350" s="965">
        <v>32.90061497326203</v>
      </c>
    </row>
    <row r="1351" spans="1:7" x14ac:dyDescent="0.2">
      <c r="A1351" s="3"/>
      <c r="B1351">
        <v>0.1241</v>
      </c>
      <c r="C1351">
        <v>0.30499999999999999</v>
      </c>
      <c r="D1351">
        <v>1.2</v>
      </c>
      <c r="E1351" s="965">
        <v>34.161577540106947</v>
      </c>
      <c r="F1351" s="965">
        <v>50.648663101604278</v>
      </c>
      <c r="G1351" s="965">
        <v>32.90061497326203</v>
      </c>
    </row>
    <row r="1352" spans="1:7" x14ac:dyDescent="0.2">
      <c r="A1352" s="3"/>
      <c r="B1352">
        <v>0.30509999999999998</v>
      </c>
      <c r="C1352">
        <v>0.74</v>
      </c>
      <c r="D1352">
        <v>1.2</v>
      </c>
      <c r="E1352" s="965">
        <v>34.161577540106947</v>
      </c>
      <c r="F1352" s="965">
        <v>50.648663101604278</v>
      </c>
      <c r="G1352" s="965">
        <v>32.90061497326203</v>
      </c>
    </row>
    <row r="1353" spans="1:7" x14ac:dyDescent="0.2">
      <c r="A1353" s="3"/>
      <c r="B1353">
        <v>0.74099999999999999</v>
      </c>
      <c r="C1353">
        <v>2.1520000000000001</v>
      </c>
      <c r="D1353">
        <v>1.6</v>
      </c>
      <c r="E1353" s="965">
        <v>36.431310160427806</v>
      </c>
      <c r="F1353" s="965">
        <v>57.930721925133689</v>
      </c>
      <c r="G1353" s="965">
        <v>32.90061497326203</v>
      </c>
    </row>
    <row r="1354" spans="1:7" x14ac:dyDescent="0.2">
      <c r="A1354" s="3"/>
      <c r="B1354">
        <v>2.1520999999999999</v>
      </c>
      <c r="C1354">
        <v>7.3650000000000002</v>
      </c>
      <c r="D1354">
        <v>2.8</v>
      </c>
      <c r="E1354" s="965">
        <v>38.459358288770055</v>
      </c>
      <c r="F1354" s="965">
        <v>64.529759358288771</v>
      </c>
      <c r="G1354" s="965">
        <v>42.483930481283423</v>
      </c>
    </row>
    <row r="1355" spans="1:7" x14ac:dyDescent="0.2">
      <c r="A1355" s="3"/>
      <c r="B1355">
        <v>7.3651</v>
      </c>
      <c r="C1355">
        <v>22.614000000000001</v>
      </c>
      <c r="D1355">
        <v>3.8</v>
      </c>
      <c r="E1355" s="965">
        <v>40.151149732620318</v>
      </c>
      <c r="F1355" s="965">
        <v>75.300481283422457</v>
      </c>
      <c r="G1355" s="965">
        <v>42.483930481283423</v>
      </c>
    </row>
    <row r="1356" spans="1:7" x14ac:dyDescent="0.2">
      <c r="A1356" s="3"/>
      <c r="B1356">
        <v>22.614100000000001</v>
      </c>
      <c r="C1356">
        <v>75.069999999999993</v>
      </c>
      <c r="D1356">
        <v>7.8</v>
      </c>
      <c r="E1356" s="965">
        <v>46.928823529411758</v>
      </c>
      <c r="F1356" s="965">
        <v>80.449411764705886</v>
      </c>
      <c r="G1356" s="965">
        <v>42.483930481283423</v>
      </c>
    </row>
    <row r="1359" spans="1:7" ht="20.25" x14ac:dyDescent="0.3">
      <c r="A1359" s="966"/>
      <c r="B1359" s="967" t="s">
        <v>4876</v>
      </c>
      <c r="C1359" s="968"/>
      <c r="D1359" s="968"/>
    </row>
    <row r="1360" spans="1:7" x14ac:dyDescent="0.2">
      <c r="A1360" s="969" t="s">
        <v>4877</v>
      </c>
      <c r="B1360" s="934" t="s">
        <v>4876</v>
      </c>
      <c r="C1360" s="268"/>
      <c r="D1360" s="268"/>
    </row>
    <row r="1361" spans="1:4" x14ac:dyDescent="0.2">
      <c r="A1361" s="944">
        <v>5</v>
      </c>
      <c r="B1361" s="970" t="s">
        <v>4878</v>
      </c>
      <c r="C1361" s="116" t="s">
        <v>4879</v>
      </c>
      <c r="D1361" s="113" t="s">
        <v>4880</v>
      </c>
    </row>
    <row r="1362" spans="1:4" x14ac:dyDescent="0.2">
      <c r="A1362" s="3" t="s">
        <v>4889</v>
      </c>
      <c r="B1362">
        <v>0</v>
      </c>
      <c r="C1362" t="s">
        <v>4881</v>
      </c>
      <c r="D1362" s="419">
        <v>21165.713250209614</v>
      </c>
    </row>
    <row r="1363" spans="1:4" x14ac:dyDescent="0.2">
      <c r="A1363" s="3"/>
      <c r="B1363">
        <v>3.1E-2</v>
      </c>
      <c r="C1363" t="s">
        <v>4882</v>
      </c>
      <c r="D1363" s="419">
        <v>20660.02273280502</v>
      </c>
    </row>
    <row r="1364" spans="1:4" x14ac:dyDescent="0.2">
      <c r="A1364" s="3"/>
      <c r="B1364">
        <v>0.1241</v>
      </c>
      <c r="C1364" t="s">
        <v>4883</v>
      </c>
      <c r="D1364" s="419">
        <v>16458.498827329597</v>
      </c>
    </row>
    <row r="1365" spans="1:4" x14ac:dyDescent="0.2">
      <c r="A1365" s="3"/>
      <c r="B1365">
        <v>0.30509999999999998</v>
      </c>
      <c r="C1365" t="s">
        <v>4884</v>
      </c>
      <c r="D1365" s="419">
        <v>19327.219360846331</v>
      </c>
    </row>
    <row r="1366" spans="1:4" x14ac:dyDescent="0.2">
      <c r="A1366" s="3"/>
      <c r="B1366">
        <v>0.74099999999999999</v>
      </c>
      <c r="C1366" t="s">
        <v>4885</v>
      </c>
      <c r="D1366" s="419">
        <v>31219.845835377939</v>
      </c>
    </row>
    <row r="1367" spans="1:4" x14ac:dyDescent="0.2">
      <c r="A1367" s="3"/>
      <c r="B1367">
        <v>2.1520999999999999</v>
      </c>
      <c r="C1367" t="s">
        <v>4886</v>
      </c>
      <c r="D1367" s="419">
        <v>68950.849699201353</v>
      </c>
    </row>
    <row r="1368" spans="1:4" x14ac:dyDescent="0.2">
      <c r="A1368" s="3"/>
      <c r="B1368">
        <v>7.3651</v>
      </c>
      <c r="C1368" t="s">
        <v>4887</v>
      </c>
      <c r="D1368" s="419">
        <v>129311.24247230604</v>
      </c>
    </row>
    <row r="1369" spans="1:4" x14ac:dyDescent="0.2">
      <c r="A1369" s="3"/>
      <c r="B1369">
        <v>22.614100000000001</v>
      </c>
      <c r="C1369" t="s">
        <v>4888</v>
      </c>
      <c r="D1369" s="419">
        <v>262816.68000200921</v>
      </c>
    </row>
    <row r="1372" spans="1:4" x14ac:dyDescent="0.2">
      <c r="A1372" s="969"/>
      <c r="B1372" s="934" t="s">
        <v>4890</v>
      </c>
      <c r="C1372" s="268"/>
    </row>
    <row r="1373" spans="1:4" x14ac:dyDescent="0.2">
      <c r="A1373" s="113"/>
      <c r="B1373" s="116" t="s">
        <v>4891</v>
      </c>
      <c r="C1373" s="116" t="s">
        <v>4892</v>
      </c>
    </row>
    <row r="1374" spans="1:4" x14ac:dyDescent="0.2">
      <c r="A1374" s="3" t="s">
        <v>4893</v>
      </c>
      <c r="B1374">
        <v>0</v>
      </c>
      <c r="C1374" s="419">
        <v>3769.1218688541057</v>
      </c>
    </row>
    <row r="1375" spans="1:4" x14ac:dyDescent="0.2">
      <c r="A1375" s="3"/>
      <c r="B1375">
        <v>1.0009999999999999</v>
      </c>
      <c r="C1375" s="419">
        <v>15599.976623868382</v>
      </c>
    </row>
    <row r="1378" spans="1:5" x14ac:dyDescent="0.2">
      <c r="A1378" s="3" t="s">
        <v>4895</v>
      </c>
      <c r="B1378" s="694" t="s">
        <v>4894</v>
      </c>
      <c r="C1378" s="419">
        <v>30467.068439904022</v>
      </c>
      <c r="D1378" s="419">
        <v>29100</v>
      </c>
      <c r="E1378" s="694">
        <v>2020</v>
      </c>
    </row>
    <row r="1381" spans="1:5" x14ac:dyDescent="0.2">
      <c r="A1381" s="3"/>
      <c r="B1381" t="s">
        <v>4896</v>
      </c>
      <c r="C1381" s="3" t="s">
        <v>4897</v>
      </c>
      <c r="D1381" s="68">
        <v>110.0374190046018</v>
      </c>
      <c r="E1381" s="6" t="s">
        <v>4857</v>
      </c>
    </row>
    <row r="1384" spans="1:5" x14ac:dyDescent="0.2">
      <c r="A1384" s="3"/>
      <c r="B1384" t="s">
        <v>4898</v>
      </c>
      <c r="C1384" s="3" t="s">
        <v>4899</v>
      </c>
      <c r="D1384" s="68">
        <v>0.21197894053360555</v>
      </c>
      <c r="E1384" s="6" t="s">
        <v>4863</v>
      </c>
    </row>
    <row r="1387" spans="1:5" x14ac:dyDescent="0.2">
      <c r="A1387" s="3"/>
      <c r="B1387" s="1" t="s">
        <v>4900</v>
      </c>
    </row>
    <row r="1388" spans="1:5" x14ac:dyDescent="0.2">
      <c r="A1388" s="969" t="s">
        <v>4877</v>
      </c>
      <c r="B1388" s="934" t="s">
        <v>4901</v>
      </c>
      <c r="C1388" s="268"/>
    </row>
    <row r="1389" spans="1:5" x14ac:dyDescent="0.2">
      <c r="A1389" s="944">
        <v>5</v>
      </c>
      <c r="B1389" s="116" t="s">
        <v>4902</v>
      </c>
      <c r="C1389" s="116" t="s">
        <v>4892</v>
      </c>
    </row>
    <row r="1390" spans="1:5" x14ac:dyDescent="0.2">
      <c r="A1390" s="3" t="s">
        <v>4903</v>
      </c>
      <c r="B1390">
        <v>0</v>
      </c>
      <c r="C1390" s="419">
        <v>2408.0500828790123</v>
      </c>
    </row>
    <row r="1391" spans="1:5" x14ac:dyDescent="0.2">
      <c r="A1391" s="3"/>
      <c r="B1391">
        <v>100000.1</v>
      </c>
      <c r="C1391" s="419">
        <v>3036.2370610213629</v>
      </c>
    </row>
    <row r="1392" spans="1:5" x14ac:dyDescent="0.2">
      <c r="A1392" s="3"/>
      <c r="B1392">
        <v>1000000.1</v>
      </c>
      <c r="C1392" s="419">
        <v>5548.9849735907674</v>
      </c>
    </row>
    <row r="1395" spans="1:3" ht="20.25" x14ac:dyDescent="0.3">
      <c r="A1395" s="966"/>
      <c r="B1395" s="967" t="s">
        <v>4904</v>
      </c>
      <c r="C1395" s="968"/>
    </row>
    <row r="1396" spans="1:3" x14ac:dyDescent="0.2">
      <c r="A1396" s="969" t="s">
        <v>4801</v>
      </c>
      <c r="B1396" s="934" t="s">
        <v>4905</v>
      </c>
      <c r="C1396" s="268"/>
    </row>
    <row r="1397" spans="1:3" x14ac:dyDescent="0.2">
      <c r="A1397" s="971">
        <v>4</v>
      </c>
      <c r="B1397" s="972" t="s">
        <v>4906</v>
      </c>
      <c r="C1397" s="973"/>
    </row>
    <row r="1398" spans="1:3" x14ac:dyDescent="0.2">
      <c r="A1398" s="3"/>
      <c r="B1398" t="s">
        <v>4907</v>
      </c>
      <c r="C1398" s="694" t="s">
        <v>4908</v>
      </c>
    </row>
    <row r="1399" spans="1:3" x14ac:dyDescent="0.2">
      <c r="A1399" s="3" t="s">
        <v>4938</v>
      </c>
      <c r="B1399" t="s">
        <v>271</v>
      </c>
      <c r="C1399" s="957">
        <v>15793.535539996074</v>
      </c>
    </row>
    <row r="1400" spans="1:3" x14ac:dyDescent="0.2">
      <c r="A1400" s="3"/>
      <c r="B1400" s="694" t="s">
        <v>4909</v>
      </c>
      <c r="C1400" s="957">
        <v>15793.535539996074</v>
      </c>
    </row>
    <row r="1401" spans="1:3" x14ac:dyDescent="0.2">
      <c r="A1401" s="3"/>
      <c r="B1401" s="694" t="s">
        <v>4683</v>
      </c>
      <c r="C1401" s="957">
        <v>15793.535539996074</v>
      </c>
    </row>
    <row r="1402" spans="1:3" x14ac:dyDescent="0.2">
      <c r="A1402" s="3"/>
      <c r="B1402" s="694" t="s">
        <v>4910</v>
      </c>
      <c r="C1402" s="957">
        <v>15793.535539996074</v>
      </c>
    </row>
    <row r="1403" spans="1:3" x14ac:dyDescent="0.2">
      <c r="A1403" s="3"/>
      <c r="B1403" s="694" t="s">
        <v>4911</v>
      </c>
      <c r="C1403" s="957">
        <v>15793.535539996074</v>
      </c>
    </row>
    <row r="1404" spans="1:3" x14ac:dyDescent="0.2">
      <c r="A1404" s="3"/>
      <c r="B1404" s="694" t="s">
        <v>4912</v>
      </c>
      <c r="C1404" s="957">
        <v>15793.535539996074</v>
      </c>
    </row>
    <row r="1405" spans="1:3" x14ac:dyDescent="0.2">
      <c r="A1405" s="3"/>
      <c r="B1405" s="694" t="s">
        <v>4913</v>
      </c>
      <c r="C1405" s="957">
        <v>15793.535539996074</v>
      </c>
    </row>
    <row r="1406" spans="1:3" x14ac:dyDescent="0.2">
      <c r="A1406" s="3"/>
      <c r="B1406" s="694" t="s">
        <v>4914</v>
      </c>
      <c r="C1406" s="957">
        <v>15793.535539996074</v>
      </c>
    </row>
    <row r="1407" spans="1:3" x14ac:dyDescent="0.2">
      <c r="A1407" s="3"/>
      <c r="B1407" s="694" t="s">
        <v>4915</v>
      </c>
      <c r="C1407" s="957">
        <v>15793.535539996074</v>
      </c>
    </row>
    <row r="1408" spans="1:3" x14ac:dyDescent="0.2">
      <c r="A1408" s="3"/>
      <c r="B1408" s="694" t="s">
        <v>4916</v>
      </c>
      <c r="C1408" s="957">
        <v>615.39008342245984</v>
      </c>
    </row>
    <row r="1409" spans="1:3" x14ac:dyDescent="0.2">
      <c r="A1409" s="3"/>
      <c r="B1409" t="s">
        <v>4917</v>
      </c>
      <c r="C1409" s="957">
        <v>1217.0660847213492</v>
      </c>
    </row>
    <row r="1410" spans="1:3" x14ac:dyDescent="0.2">
      <c r="A1410" s="3"/>
      <c r="B1410" t="s">
        <v>4918</v>
      </c>
      <c r="C1410" s="957">
        <v>1217.0660847213492</v>
      </c>
    </row>
    <row r="1411" spans="1:3" x14ac:dyDescent="0.2">
      <c r="A1411" s="3"/>
      <c r="B1411" s="694" t="s">
        <v>4919</v>
      </c>
      <c r="C1411" s="957">
        <v>860.39920013666426</v>
      </c>
    </row>
    <row r="1412" spans="1:3" x14ac:dyDescent="0.2">
      <c r="A1412" s="3"/>
      <c r="B1412" t="s">
        <v>4920</v>
      </c>
      <c r="C1412" s="957">
        <v>58859.382028416068</v>
      </c>
    </row>
    <row r="1413" spans="1:3" x14ac:dyDescent="0.2">
      <c r="A1413" s="3"/>
      <c r="B1413" t="s">
        <v>4921</v>
      </c>
      <c r="C1413" s="957">
        <v>58859.382028416068</v>
      </c>
    </row>
    <row r="1414" spans="1:3" x14ac:dyDescent="0.2">
      <c r="A1414" s="3"/>
      <c r="B1414" t="s">
        <v>4922</v>
      </c>
      <c r="C1414" s="957">
        <v>2709.1797841536459</v>
      </c>
    </row>
    <row r="1415" spans="1:3" x14ac:dyDescent="0.2">
      <c r="A1415" s="3"/>
      <c r="B1415" t="s">
        <v>4923</v>
      </c>
      <c r="C1415" s="957">
        <v>2709.1797841536459</v>
      </c>
    </row>
    <row r="1416" spans="1:3" x14ac:dyDescent="0.2">
      <c r="A1416" s="3"/>
      <c r="B1416" t="s">
        <v>4924</v>
      </c>
      <c r="C1416" s="957">
        <v>0</v>
      </c>
    </row>
    <row r="1417" spans="1:3" x14ac:dyDescent="0.2">
      <c r="A1417" s="3"/>
      <c r="B1417" t="s">
        <v>4925</v>
      </c>
      <c r="C1417" s="957">
        <v>24372.554078613746</v>
      </c>
    </row>
    <row r="1418" spans="1:3" x14ac:dyDescent="0.2">
      <c r="A1418" s="3"/>
      <c r="B1418" t="s">
        <v>4926</v>
      </c>
      <c r="C1418" s="957">
        <v>615.39008342245984</v>
      </c>
    </row>
    <row r="1419" spans="1:3" x14ac:dyDescent="0.2">
      <c r="A1419" s="3"/>
      <c r="B1419" s="694" t="s">
        <v>4927</v>
      </c>
      <c r="C1419" s="957">
        <v>16444.957306241584</v>
      </c>
    </row>
    <row r="1420" spans="1:3" x14ac:dyDescent="0.2">
      <c r="A1420" s="3"/>
      <c r="B1420" s="694" t="s">
        <v>4928</v>
      </c>
      <c r="C1420" s="957">
        <v>16444.957306241584</v>
      </c>
    </row>
    <row r="1421" spans="1:3" x14ac:dyDescent="0.2">
      <c r="A1421" s="3"/>
      <c r="B1421" s="694" t="s">
        <v>4929</v>
      </c>
      <c r="C1421" s="957">
        <v>14998.238656107189</v>
      </c>
    </row>
    <row r="1422" spans="1:3" x14ac:dyDescent="0.2">
      <c r="A1422" s="3"/>
      <c r="B1422" t="s">
        <v>4930</v>
      </c>
      <c r="C1422" s="957">
        <v>2499.8674794593167</v>
      </c>
    </row>
    <row r="1423" spans="1:3" x14ac:dyDescent="0.2">
      <c r="A1423" s="3"/>
      <c r="B1423" t="s">
        <v>4931</v>
      </c>
      <c r="C1423" s="957">
        <v>32140.792422095365</v>
      </c>
    </row>
    <row r="1424" spans="1:3" x14ac:dyDescent="0.2">
      <c r="A1424" s="3"/>
      <c r="B1424" t="s">
        <v>4932</v>
      </c>
      <c r="C1424" s="957">
        <v>5513.4302822925574</v>
      </c>
    </row>
    <row r="1425" spans="1:3" x14ac:dyDescent="0.2">
      <c r="A1425" s="3"/>
      <c r="B1425" s="694" t="s">
        <v>472</v>
      </c>
      <c r="C1425" s="957">
        <v>134602.19700079926</v>
      </c>
    </row>
    <row r="1426" spans="1:3" x14ac:dyDescent="0.2">
      <c r="A1426" s="3"/>
      <c r="B1426" s="694" t="s">
        <v>4933</v>
      </c>
      <c r="C1426" s="957">
        <v>113958.93551980422</v>
      </c>
    </row>
    <row r="1427" spans="1:3" x14ac:dyDescent="0.2">
      <c r="A1427" s="974"/>
      <c r="B1427" s="972" t="s">
        <v>4934</v>
      </c>
      <c r="C1427" s="973"/>
    </row>
    <row r="1428" spans="1:3" x14ac:dyDescent="0.2">
      <c r="A1428" s="3" t="s">
        <v>4937</v>
      </c>
      <c r="B1428" t="s">
        <v>271</v>
      </c>
      <c r="C1428" s="957">
        <v>70415.236495493649</v>
      </c>
    </row>
    <row r="1429" spans="1:3" x14ac:dyDescent="0.2">
      <c r="A1429" s="3"/>
      <c r="B1429" s="694" t="s">
        <v>4909</v>
      </c>
      <c r="C1429" s="957">
        <v>70415.236495493649</v>
      </c>
    </row>
    <row r="1430" spans="1:3" x14ac:dyDescent="0.2">
      <c r="A1430" s="3"/>
      <c r="B1430" s="694" t="s">
        <v>4683</v>
      </c>
      <c r="C1430" s="957">
        <v>70415.236495493649</v>
      </c>
    </row>
    <row r="1431" spans="1:3" x14ac:dyDescent="0.2">
      <c r="A1431" s="3"/>
      <c r="B1431" s="694" t="s">
        <v>4910</v>
      </c>
      <c r="C1431" s="957">
        <v>70415.236495493649</v>
      </c>
    </row>
    <row r="1432" spans="1:3" x14ac:dyDescent="0.2">
      <c r="A1432" s="3"/>
      <c r="B1432" s="694" t="s">
        <v>4911</v>
      </c>
      <c r="C1432" s="957">
        <v>70415.236495493649</v>
      </c>
    </row>
    <row r="1433" spans="1:3" x14ac:dyDescent="0.2">
      <c r="A1433" s="3"/>
      <c r="B1433" s="694" t="s">
        <v>4912</v>
      </c>
      <c r="C1433" s="957">
        <v>70415.236495493649</v>
      </c>
    </row>
    <row r="1434" spans="1:3" x14ac:dyDescent="0.2">
      <c r="A1434" s="3"/>
      <c r="B1434" s="694" t="s">
        <v>4913</v>
      </c>
      <c r="C1434" s="957">
        <v>70415.236495493649</v>
      </c>
    </row>
    <row r="1435" spans="1:3" x14ac:dyDescent="0.2">
      <c r="A1435" s="3"/>
      <c r="B1435" s="694" t="s">
        <v>4914</v>
      </c>
      <c r="C1435" s="957">
        <v>70415.236495493649</v>
      </c>
    </row>
    <row r="1436" spans="1:3" x14ac:dyDescent="0.2">
      <c r="A1436" s="3"/>
      <c r="B1436" s="694" t="s">
        <v>4915</v>
      </c>
      <c r="C1436" s="957">
        <v>70415.236495493649</v>
      </c>
    </row>
    <row r="1437" spans="1:3" x14ac:dyDescent="0.2">
      <c r="A1437" s="3"/>
      <c r="B1437" s="694" t="s">
        <v>4916</v>
      </c>
      <c r="C1437" s="957">
        <v>615.39008342245984</v>
      </c>
    </row>
    <row r="1438" spans="1:3" x14ac:dyDescent="0.2">
      <c r="A1438" s="3"/>
      <c r="B1438" t="s">
        <v>4917</v>
      </c>
      <c r="C1438" s="957">
        <v>66652.775724390434</v>
      </c>
    </row>
    <row r="1439" spans="1:3" x14ac:dyDescent="0.2">
      <c r="A1439" s="3"/>
      <c r="B1439" t="s">
        <v>4918</v>
      </c>
      <c r="C1439" s="957">
        <v>66652.775724390434</v>
      </c>
    </row>
    <row r="1440" spans="1:3" x14ac:dyDescent="0.2">
      <c r="A1440" s="3"/>
      <c r="B1440" s="694" t="s">
        <v>4919</v>
      </c>
      <c r="C1440" s="957">
        <v>67436.081031866575</v>
      </c>
    </row>
    <row r="1441" spans="1:3" x14ac:dyDescent="0.2">
      <c r="A1441" s="3"/>
      <c r="B1441" t="s">
        <v>4920</v>
      </c>
      <c r="C1441" s="957">
        <v>106012.42499444949</v>
      </c>
    </row>
    <row r="1442" spans="1:3" x14ac:dyDescent="0.2">
      <c r="A1442" s="3"/>
      <c r="B1442" t="s">
        <v>4921</v>
      </c>
      <c r="C1442" s="957">
        <v>106012.42499444949</v>
      </c>
    </row>
    <row r="1443" spans="1:3" x14ac:dyDescent="0.2">
      <c r="A1443" s="3"/>
      <c r="B1443" t="s">
        <v>4922</v>
      </c>
      <c r="C1443" s="957">
        <v>87277.850879096295</v>
      </c>
    </row>
    <row r="1444" spans="1:3" x14ac:dyDescent="0.2">
      <c r="A1444" s="3"/>
      <c r="B1444" t="s">
        <v>4923</v>
      </c>
      <c r="C1444" s="957">
        <v>87277.850879096295</v>
      </c>
    </row>
    <row r="1445" spans="1:3" x14ac:dyDescent="0.2">
      <c r="A1445" s="3"/>
      <c r="B1445" t="s">
        <v>4924</v>
      </c>
      <c r="C1445" s="957">
        <v>20136.618090557393</v>
      </c>
    </row>
    <row r="1446" spans="1:3" x14ac:dyDescent="0.2">
      <c r="A1446" s="3"/>
      <c r="B1446" t="s">
        <v>4925</v>
      </c>
      <c r="C1446" s="957">
        <v>62551.098535576341</v>
      </c>
    </row>
    <row r="1447" spans="1:3" x14ac:dyDescent="0.2">
      <c r="A1447" s="3"/>
      <c r="B1447" t="s">
        <v>4926</v>
      </c>
      <c r="C1447" s="957">
        <v>615.39008342245984</v>
      </c>
    </row>
    <row r="1448" spans="1:3" x14ac:dyDescent="0.2">
      <c r="A1448" s="3"/>
      <c r="B1448" s="694" t="s">
        <v>4927</v>
      </c>
      <c r="C1448" s="957">
        <v>36426.901995363005</v>
      </c>
    </row>
    <row r="1449" spans="1:3" x14ac:dyDescent="0.2">
      <c r="A1449" s="3"/>
      <c r="B1449" s="694" t="s">
        <v>4928</v>
      </c>
      <c r="C1449" s="957">
        <v>36426.901995363005</v>
      </c>
    </row>
    <row r="1450" spans="1:3" x14ac:dyDescent="0.2">
      <c r="A1450" s="3"/>
      <c r="B1450" s="694" t="s">
        <v>4929</v>
      </c>
      <c r="C1450" s="957">
        <v>33992.302523002589</v>
      </c>
    </row>
    <row r="1451" spans="1:3" x14ac:dyDescent="0.2">
      <c r="A1451" s="3"/>
      <c r="B1451" t="s">
        <v>4930</v>
      </c>
      <c r="C1451" s="957">
        <v>3749.8012191889752</v>
      </c>
    </row>
    <row r="1452" spans="1:3" x14ac:dyDescent="0.2">
      <c r="A1452" s="3"/>
      <c r="B1452" t="s">
        <v>4931</v>
      </c>
      <c r="C1452" s="957">
        <v>48543.555387689659</v>
      </c>
    </row>
    <row r="1453" spans="1:3" x14ac:dyDescent="0.2">
      <c r="A1453" s="3"/>
      <c r="B1453" t="s">
        <v>4932</v>
      </c>
      <c r="C1453" s="957">
        <v>189167.22449229649</v>
      </c>
    </row>
    <row r="1454" spans="1:3" x14ac:dyDescent="0.2">
      <c r="A1454" s="3"/>
      <c r="B1454" s="694" t="s">
        <v>472</v>
      </c>
      <c r="C1454" s="957">
        <v>216124.0034000657</v>
      </c>
    </row>
    <row r="1455" spans="1:3" x14ac:dyDescent="0.2">
      <c r="A1455" s="3"/>
      <c r="B1455" s="694" t="s">
        <v>4933</v>
      </c>
      <c r="C1455" s="957">
        <v>134570.11249132303</v>
      </c>
    </row>
    <row r="1456" spans="1:3" x14ac:dyDescent="0.2">
      <c r="A1456" s="974"/>
      <c r="B1456" s="972" t="s">
        <v>4935</v>
      </c>
      <c r="C1456" s="973"/>
    </row>
    <row r="1457" spans="1:3" x14ac:dyDescent="0.2">
      <c r="A1457" s="3" t="s">
        <v>4936</v>
      </c>
      <c r="B1457" t="s">
        <v>271</v>
      </c>
      <c r="C1457" s="957">
        <v>70415.236495493649</v>
      </c>
    </row>
    <row r="1458" spans="1:3" x14ac:dyDescent="0.2">
      <c r="A1458" s="3"/>
      <c r="B1458" s="694" t="s">
        <v>4909</v>
      </c>
      <c r="C1458" s="957">
        <v>70415.236495493649</v>
      </c>
    </row>
    <row r="1459" spans="1:3" x14ac:dyDescent="0.2">
      <c r="A1459" s="3"/>
      <c r="B1459" s="694" t="s">
        <v>4683</v>
      </c>
      <c r="C1459" s="957">
        <v>70415.236495493649</v>
      </c>
    </row>
    <row r="1460" spans="1:3" x14ac:dyDescent="0.2">
      <c r="A1460" s="3"/>
      <c r="B1460" s="694" t="s">
        <v>4910</v>
      </c>
      <c r="C1460" s="957">
        <v>70415.236495493649</v>
      </c>
    </row>
    <row r="1461" spans="1:3" x14ac:dyDescent="0.2">
      <c r="A1461" s="3"/>
      <c r="B1461" s="694" t="s">
        <v>4911</v>
      </c>
      <c r="C1461" s="957">
        <v>70415.236495493649</v>
      </c>
    </row>
    <row r="1462" spans="1:3" x14ac:dyDescent="0.2">
      <c r="A1462" s="3"/>
      <c r="B1462" s="694" t="s">
        <v>4912</v>
      </c>
      <c r="C1462" s="957">
        <v>70415.236495493649</v>
      </c>
    </row>
    <row r="1463" spans="1:3" x14ac:dyDescent="0.2">
      <c r="A1463" s="3"/>
      <c r="B1463" s="694" t="s">
        <v>4913</v>
      </c>
      <c r="C1463" s="957">
        <v>70415.236495493649</v>
      </c>
    </row>
    <row r="1464" spans="1:3" x14ac:dyDescent="0.2">
      <c r="A1464" s="3"/>
      <c r="B1464" s="694" t="s">
        <v>4914</v>
      </c>
      <c r="C1464" s="957">
        <v>70415.236495493649</v>
      </c>
    </row>
    <row r="1465" spans="1:3" x14ac:dyDescent="0.2">
      <c r="A1465" s="3"/>
      <c r="B1465" s="694" t="s">
        <v>4915</v>
      </c>
      <c r="C1465" s="957">
        <v>70415.236495493649</v>
      </c>
    </row>
    <row r="1466" spans="1:3" x14ac:dyDescent="0.2">
      <c r="A1466" s="3"/>
      <c r="B1466" s="694" t="s">
        <v>4916</v>
      </c>
      <c r="C1466" s="957">
        <v>615.39008342245984</v>
      </c>
    </row>
    <row r="1467" spans="1:3" x14ac:dyDescent="0.2">
      <c r="A1467" s="3"/>
      <c r="B1467" t="s">
        <v>4917</v>
      </c>
      <c r="C1467" s="957">
        <v>138633.82081554571</v>
      </c>
    </row>
    <row r="1468" spans="1:3" x14ac:dyDescent="0.2">
      <c r="A1468" s="3"/>
      <c r="B1468" t="s">
        <v>4918</v>
      </c>
      <c r="C1468" s="957">
        <v>138633.82081554571</v>
      </c>
    </row>
    <row r="1469" spans="1:3" x14ac:dyDescent="0.2">
      <c r="A1469" s="3"/>
      <c r="B1469" s="694" t="s">
        <v>4919</v>
      </c>
      <c r="C1469" s="957">
        <v>142217.78903377001</v>
      </c>
    </row>
    <row r="1470" spans="1:3" x14ac:dyDescent="0.2">
      <c r="A1470" s="3"/>
      <c r="B1470" t="s">
        <v>4920</v>
      </c>
      <c r="C1470" s="957">
        <v>218629.75925053674</v>
      </c>
    </row>
    <row r="1471" spans="1:3" x14ac:dyDescent="0.2">
      <c r="A1471" s="3"/>
      <c r="B1471" t="s">
        <v>4921</v>
      </c>
      <c r="C1471" s="957">
        <v>218629.75925053674</v>
      </c>
    </row>
    <row r="1472" spans="1:3" x14ac:dyDescent="0.2">
      <c r="A1472" s="3"/>
      <c r="B1472" t="s">
        <v>4922</v>
      </c>
      <c r="C1472" s="957">
        <v>160637.62679028435</v>
      </c>
    </row>
    <row r="1473" spans="1:3" x14ac:dyDescent="0.2">
      <c r="A1473" s="3"/>
      <c r="B1473" t="s">
        <v>4923</v>
      </c>
      <c r="C1473" s="957">
        <v>160637.62679028435</v>
      </c>
    </row>
    <row r="1474" spans="1:3" x14ac:dyDescent="0.2">
      <c r="A1474" s="3"/>
      <c r="B1474" t="s">
        <v>4924</v>
      </c>
      <c r="C1474" s="957">
        <v>39431.052611067469</v>
      </c>
    </row>
    <row r="1475" spans="1:3" x14ac:dyDescent="0.2">
      <c r="A1475" s="3"/>
      <c r="B1475" t="s">
        <v>4925</v>
      </c>
      <c r="C1475" s="957">
        <v>114612.79624085034</v>
      </c>
    </row>
    <row r="1476" spans="1:3" x14ac:dyDescent="0.2">
      <c r="A1476" s="3"/>
      <c r="B1476" t="s">
        <v>4926</v>
      </c>
      <c r="C1476" s="957">
        <v>615.39008342245984</v>
      </c>
    </row>
    <row r="1477" spans="1:3" x14ac:dyDescent="0.2">
      <c r="A1477" s="3"/>
      <c r="B1477" s="694" t="s">
        <v>4927</v>
      </c>
      <c r="C1477" s="957">
        <v>68723.781450000242</v>
      </c>
    </row>
    <row r="1478" spans="1:3" x14ac:dyDescent="0.2">
      <c r="A1478" s="3"/>
      <c r="B1478" s="694" t="s">
        <v>4928</v>
      </c>
      <c r="C1478" s="957">
        <v>68723.781450000242</v>
      </c>
    </row>
    <row r="1479" spans="1:3" x14ac:dyDescent="0.2">
      <c r="A1479" s="3"/>
      <c r="B1479" s="694" t="s">
        <v>4929</v>
      </c>
      <c r="C1479" s="957">
        <v>66289.181977639833</v>
      </c>
    </row>
    <row r="1480" spans="1:3" x14ac:dyDescent="0.2">
      <c r="A1480" s="3"/>
      <c r="B1480" t="s">
        <v>4930</v>
      </c>
      <c r="C1480" s="957">
        <v>4999.7349589186333</v>
      </c>
    </row>
    <row r="1481" spans="1:3" x14ac:dyDescent="0.2">
      <c r="A1481" s="3"/>
      <c r="B1481" t="s">
        <v>4931</v>
      </c>
      <c r="C1481" s="957">
        <v>48543.555387689659</v>
      </c>
    </row>
    <row r="1482" spans="1:3" x14ac:dyDescent="0.2">
      <c r="A1482" s="3"/>
      <c r="B1482" t="s">
        <v>4932</v>
      </c>
      <c r="C1482" s="957">
        <v>222516.75400470028</v>
      </c>
    </row>
    <row r="1483" spans="1:3" x14ac:dyDescent="0.2">
      <c r="A1483" s="3"/>
      <c r="B1483" s="694" t="s">
        <v>472</v>
      </c>
      <c r="C1483" s="957">
        <v>354406.6446382748</v>
      </c>
    </row>
    <row r="1484" spans="1:3" x14ac:dyDescent="0.2">
      <c r="A1484" s="3"/>
      <c r="B1484" s="694" t="s">
        <v>4933</v>
      </c>
      <c r="C1484" s="957">
        <v>245287.83478699805</v>
      </c>
    </row>
    <row r="1487" spans="1:3" ht="20.25" x14ac:dyDescent="0.3">
      <c r="A1487" s="966"/>
      <c r="B1487" s="967" t="s">
        <v>4904</v>
      </c>
      <c r="C1487" s="968"/>
    </row>
    <row r="1488" spans="1:3" x14ac:dyDescent="0.2">
      <c r="A1488" s="969" t="s">
        <v>4801</v>
      </c>
      <c r="B1488" s="934" t="s">
        <v>4905</v>
      </c>
      <c r="C1488" s="268"/>
    </row>
    <row r="1489" spans="1:3" x14ac:dyDescent="0.2">
      <c r="A1489" s="971">
        <v>4</v>
      </c>
      <c r="B1489" s="972" t="s">
        <v>4906</v>
      </c>
      <c r="C1489" s="973"/>
    </row>
    <row r="1490" spans="1:3" x14ac:dyDescent="0.2">
      <c r="A1490" s="3"/>
      <c r="B1490" t="s">
        <v>4907</v>
      </c>
      <c r="C1490" s="694" t="s">
        <v>4908</v>
      </c>
    </row>
    <row r="1491" spans="1:3" x14ac:dyDescent="0.2">
      <c r="A1491" s="3" t="s">
        <v>4938</v>
      </c>
      <c r="B1491" t="s">
        <v>271</v>
      </c>
      <c r="C1491" s="957">
        <v>15793.535539996074</v>
      </c>
    </row>
    <row r="1492" spans="1:3" x14ac:dyDescent="0.2">
      <c r="A1492" s="3"/>
      <c r="B1492" s="694" t="s">
        <v>4909</v>
      </c>
      <c r="C1492" s="957">
        <v>15793.535539996074</v>
      </c>
    </row>
    <row r="1493" spans="1:3" x14ac:dyDescent="0.2">
      <c r="A1493" s="3"/>
      <c r="B1493" s="694" t="s">
        <v>4683</v>
      </c>
      <c r="C1493" s="957">
        <v>15793.535539996074</v>
      </c>
    </row>
    <row r="1494" spans="1:3" x14ac:dyDescent="0.2">
      <c r="A1494" s="3"/>
      <c r="B1494" s="694" t="s">
        <v>4910</v>
      </c>
      <c r="C1494" s="957">
        <v>15793.535539996074</v>
      </c>
    </row>
    <row r="1495" spans="1:3" x14ac:dyDescent="0.2">
      <c r="A1495" s="3"/>
      <c r="B1495" s="694" t="s">
        <v>4911</v>
      </c>
      <c r="C1495" s="957">
        <v>15793.535539996074</v>
      </c>
    </row>
    <row r="1496" spans="1:3" x14ac:dyDescent="0.2">
      <c r="A1496" s="3"/>
      <c r="B1496" s="694" t="s">
        <v>4912</v>
      </c>
      <c r="C1496" s="957">
        <v>15793.535539996074</v>
      </c>
    </row>
    <row r="1497" spans="1:3" x14ac:dyDescent="0.2">
      <c r="A1497" s="3"/>
      <c r="B1497" s="694" t="s">
        <v>4913</v>
      </c>
      <c r="C1497" s="957">
        <v>15793.535539996074</v>
      </c>
    </row>
    <row r="1498" spans="1:3" x14ac:dyDescent="0.2">
      <c r="A1498" s="3"/>
      <c r="B1498" s="694" t="s">
        <v>4914</v>
      </c>
      <c r="C1498" s="957">
        <v>15793.535539996074</v>
      </c>
    </row>
    <row r="1499" spans="1:3" x14ac:dyDescent="0.2">
      <c r="A1499" s="3"/>
      <c r="B1499" s="694" t="s">
        <v>4915</v>
      </c>
      <c r="C1499" s="957">
        <v>15793.535539996074</v>
      </c>
    </row>
    <row r="1500" spans="1:3" x14ac:dyDescent="0.2">
      <c r="A1500" s="3"/>
      <c r="B1500" s="694" t="s">
        <v>4916</v>
      </c>
      <c r="C1500" s="957">
        <v>615.39008342245984</v>
      </c>
    </row>
    <row r="1501" spans="1:3" x14ac:dyDescent="0.2">
      <c r="A1501" s="3"/>
      <c r="B1501" t="s">
        <v>4917</v>
      </c>
      <c r="C1501" s="957">
        <v>1217.0660847213492</v>
      </c>
    </row>
    <row r="1502" spans="1:3" x14ac:dyDescent="0.2">
      <c r="A1502" s="3"/>
      <c r="B1502" t="s">
        <v>4918</v>
      </c>
      <c r="C1502" s="957">
        <v>1217.0660847213492</v>
      </c>
    </row>
    <row r="1503" spans="1:3" x14ac:dyDescent="0.2">
      <c r="A1503" s="3"/>
      <c r="B1503" s="694" t="s">
        <v>4919</v>
      </c>
      <c r="C1503" s="957">
        <v>860.39920013666426</v>
      </c>
    </row>
    <row r="1504" spans="1:3" x14ac:dyDescent="0.2">
      <c r="A1504" s="3"/>
      <c r="B1504" t="s">
        <v>4920</v>
      </c>
      <c r="C1504" s="957">
        <v>58859.382028416068</v>
      </c>
    </row>
    <row r="1505" spans="1:3" x14ac:dyDescent="0.2">
      <c r="A1505" s="3"/>
      <c r="B1505" t="s">
        <v>4921</v>
      </c>
      <c r="C1505" s="957">
        <v>58859.382028416068</v>
      </c>
    </row>
    <row r="1506" spans="1:3" x14ac:dyDescent="0.2">
      <c r="A1506" s="3"/>
      <c r="B1506" t="s">
        <v>4922</v>
      </c>
      <c r="C1506" s="957">
        <v>2709.1797841536459</v>
      </c>
    </row>
    <row r="1507" spans="1:3" x14ac:dyDescent="0.2">
      <c r="A1507" s="3"/>
      <c r="B1507" t="s">
        <v>4923</v>
      </c>
      <c r="C1507" s="957">
        <v>2709.1797841536459</v>
      </c>
    </row>
    <row r="1508" spans="1:3" x14ac:dyDescent="0.2">
      <c r="A1508" s="3"/>
      <c r="B1508" t="s">
        <v>4924</v>
      </c>
      <c r="C1508" s="957">
        <v>0</v>
      </c>
    </row>
    <row r="1509" spans="1:3" x14ac:dyDescent="0.2">
      <c r="A1509" s="3"/>
      <c r="B1509" t="s">
        <v>4925</v>
      </c>
      <c r="C1509" s="957">
        <v>24372.554078613746</v>
      </c>
    </row>
    <row r="1510" spans="1:3" x14ac:dyDescent="0.2">
      <c r="A1510" s="3"/>
      <c r="B1510" t="s">
        <v>4926</v>
      </c>
      <c r="C1510" s="957">
        <v>615.39008342245984</v>
      </c>
    </row>
    <row r="1511" spans="1:3" x14ac:dyDescent="0.2">
      <c r="A1511" s="3"/>
      <c r="B1511" s="694" t="s">
        <v>4927</v>
      </c>
      <c r="C1511" s="957">
        <v>16444.957306241584</v>
      </c>
    </row>
    <row r="1512" spans="1:3" x14ac:dyDescent="0.2">
      <c r="A1512" s="3"/>
      <c r="B1512" s="694" t="s">
        <v>4928</v>
      </c>
      <c r="C1512" s="957">
        <v>16444.957306241584</v>
      </c>
    </row>
    <row r="1513" spans="1:3" x14ac:dyDescent="0.2">
      <c r="A1513" s="3"/>
      <c r="B1513" s="694" t="s">
        <v>4929</v>
      </c>
      <c r="C1513" s="957">
        <v>14998.238656107189</v>
      </c>
    </row>
    <row r="1514" spans="1:3" x14ac:dyDescent="0.2">
      <c r="A1514" s="3"/>
      <c r="B1514" t="s">
        <v>4930</v>
      </c>
      <c r="C1514" s="957">
        <v>2499.8674794593167</v>
      </c>
    </row>
    <row r="1515" spans="1:3" x14ac:dyDescent="0.2">
      <c r="A1515" s="3"/>
      <c r="B1515" t="s">
        <v>4931</v>
      </c>
      <c r="C1515" s="957">
        <v>32140.792422095365</v>
      </c>
    </row>
    <row r="1516" spans="1:3" x14ac:dyDescent="0.2">
      <c r="A1516" s="3"/>
      <c r="B1516" t="s">
        <v>4932</v>
      </c>
      <c r="C1516" s="957">
        <v>5513.4302822925574</v>
      </c>
    </row>
    <row r="1517" spans="1:3" x14ac:dyDescent="0.2">
      <c r="A1517" s="3"/>
      <c r="B1517" s="694" t="s">
        <v>472</v>
      </c>
      <c r="C1517" s="957">
        <v>134602.19700079926</v>
      </c>
    </row>
    <row r="1518" spans="1:3" x14ac:dyDescent="0.2">
      <c r="A1518" s="3"/>
      <c r="B1518" s="694" t="s">
        <v>4933</v>
      </c>
      <c r="C1518" s="957">
        <v>113958.93551980422</v>
      </c>
    </row>
    <row r="1519" spans="1:3" x14ac:dyDescent="0.2">
      <c r="A1519" s="974"/>
      <c r="B1519" s="972" t="s">
        <v>4934</v>
      </c>
      <c r="C1519" s="973"/>
    </row>
    <row r="1520" spans="1:3" x14ac:dyDescent="0.2">
      <c r="A1520" s="3" t="s">
        <v>4937</v>
      </c>
      <c r="B1520" t="s">
        <v>271</v>
      </c>
      <c r="C1520" s="957">
        <v>70415.236495493649</v>
      </c>
    </row>
    <row r="1521" spans="1:3" x14ac:dyDescent="0.2">
      <c r="A1521" s="3"/>
      <c r="B1521" s="694" t="s">
        <v>4909</v>
      </c>
      <c r="C1521" s="957">
        <v>70415.236495493649</v>
      </c>
    </row>
    <row r="1522" spans="1:3" x14ac:dyDescent="0.2">
      <c r="A1522" s="3"/>
      <c r="B1522" s="694" t="s">
        <v>4683</v>
      </c>
      <c r="C1522" s="957">
        <v>70415.236495493649</v>
      </c>
    </row>
    <row r="1523" spans="1:3" x14ac:dyDescent="0.2">
      <c r="A1523" s="3"/>
      <c r="B1523" s="694" t="s">
        <v>4910</v>
      </c>
      <c r="C1523" s="957">
        <v>70415.236495493649</v>
      </c>
    </row>
    <row r="1524" spans="1:3" x14ac:dyDescent="0.2">
      <c r="A1524" s="3"/>
      <c r="B1524" s="694" t="s">
        <v>4911</v>
      </c>
      <c r="C1524" s="957">
        <v>70415.236495493649</v>
      </c>
    </row>
    <row r="1525" spans="1:3" x14ac:dyDescent="0.2">
      <c r="A1525" s="3"/>
      <c r="B1525" s="694" t="s">
        <v>4912</v>
      </c>
      <c r="C1525" s="957">
        <v>70415.236495493649</v>
      </c>
    </row>
    <row r="1526" spans="1:3" x14ac:dyDescent="0.2">
      <c r="A1526" s="3"/>
      <c r="B1526" s="694" t="s">
        <v>4913</v>
      </c>
      <c r="C1526" s="957">
        <v>70415.236495493649</v>
      </c>
    </row>
    <row r="1527" spans="1:3" x14ac:dyDescent="0.2">
      <c r="A1527" s="3"/>
      <c r="B1527" s="694" t="s">
        <v>4914</v>
      </c>
      <c r="C1527" s="957">
        <v>70415.236495493649</v>
      </c>
    </row>
    <row r="1528" spans="1:3" x14ac:dyDescent="0.2">
      <c r="A1528" s="3"/>
      <c r="B1528" s="694" t="s">
        <v>4915</v>
      </c>
      <c r="C1528" s="957">
        <v>70415.236495493649</v>
      </c>
    </row>
    <row r="1529" spans="1:3" x14ac:dyDescent="0.2">
      <c r="A1529" s="3"/>
      <c r="B1529" s="694" t="s">
        <v>4916</v>
      </c>
      <c r="C1529" s="957">
        <v>615.39008342245984</v>
      </c>
    </row>
    <row r="1530" spans="1:3" x14ac:dyDescent="0.2">
      <c r="A1530" s="3"/>
      <c r="B1530" t="s">
        <v>4917</v>
      </c>
      <c r="C1530" s="957">
        <v>66652.775724390434</v>
      </c>
    </row>
    <row r="1531" spans="1:3" x14ac:dyDescent="0.2">
      <c r="A1531" s="3"/>
      <c r="B1531" t="s">
        <v>4918</v>
      </c>
      <c r="C1531" s="957">
        <v>66652.775724390434</v>
      </c>
    </row>
    <row r="1532" spans="1:3" x14ac:dyDescent="0.2">
      <c r="A1532" s="3"/>
      <c r="B1532" s="694" t="s">
        <v>4919</v>
      </c>
      <c r="C1532" s="957">
        <v>67436.081031866575</v>
      </c>
    </row>
    <row r="1533" spans="1:3" x14ac:dyDescent="0.2">
      <c r="A1533" s="3"/>
      <c r="B1533" t="s">
        <v>4920</v>
      </c>
      <c r="C1533" s="957">
        <v>106012.42499444949</v>
      </c>
    </row>
    <row r="1534" spans="1:3" x14ac:dyDescent="0.2">
      <c r="A1534" s="3"/>
      <c r="B1534" t="s">
        <v>4921</v>
      </c>
      <c r="C1534" s="957">
        <v>106012.42499444949</v>
      </c>
    </row>
    <row r="1535" spans="1:3" x14ac:dyDescent="0.2">
      <c r="A1535" s="3"/>
      <c r="B1535" t="s">
        <v>4922</v>
      </c>
      <c r="C1535" s="957">
        <v>87277.850879096295</v>
      </c>
    </row>
    <row r="1536" spans="1:3" x14ac:dyDescent="0.2">
      <c r="A1536" s="3"/>
      <c r="B1536" t="s">
        <v>4923</v>
      </c>
      <c r="C1536" s="957">
        <v>87277.850879096295</v>
      </c>
    </row>
    <row r="1537" spans="1:3" x14ac:dyDescent="0.2">
      <c r="A1537" s="3"/>
      <c r="B1537" t="s">
        <v>4924</v>
      </c>
      <c r="C1537" s="957">
        <v>20136.618090557393</v>
      </c>
    </row>
    <row r="1538" spans="1:3" x14ac:dyDescent="0.2">
      <c r="A1538" s="3"/>
      <c r="B1538" t="s">
        <v>4925</v>
      </c>
      <c r="C1538" s="957">
        <v>62551.098535576341</v>
      </c>
    </row>
    <row r="1539" spans="1:3" x14ac:dyDescent="0.2">
      <c r="A1539" s="3"/>
      <c r="B1539" t="s">
        <v>4926</v>
      </c>
      <c r="C1539" s="957">
        <v>615.39008342245984</v>
      </c>
    </row>
    <row r="1540" spans="1:3" x14ac:dyDescent="0.2">
      <c r="A1540" s="3"/>
      <c r="B1540" s="694" t="s">
        <v>4927</v>
      </c>
      <c r="C1540" s="957">
        <v>36426.901995363005</v>
      </c>
    </row>
    <row r="1541" spans="1:3" x14ac:dyDescent="0.2">
      <c r="A1541" s="3"/>
      <c r="B1541" s="694" t="s">
        <v>4928</v>
      </c>
      <c r="C1541" s="957">
        <v>36426.901995363005</v>
      </c>
    </row>
    <row r="1542" spans="1:3" x14ac:dyDescent="0.2">
      <c r="A1542" s="3"/>
      <c r="B1542" s="694" t="s">
        <v>4929</v>
      </c>
      <c r="C1542" s="957">
        <v>33992.302523002589</v>
      </c>
    </row>
    <row r="1543" spans="1:3" x14ac:dyDescent="0.2">
      <c r="A1543" s="3"/>
      <c r="B1543" t="s">
        <v>4930</v>
      </c>
      <c r="C1543" s="957">
        <v>3749.8012191889752</v>
      </c>
    </row>
    <row r="1544" spans="1:3" x14ac:dyDescent="0.2">
      <c r="A1544" s="3"/>
      <c r="B1544" t="s">
        <v>4931</v>
      </c>
      <c r="C1544" s="957">
        <v>48543.555387689659</v>
      </c>
    </row>
    <row r="1545" spans="1:3" x14ac:dyDescent="0.2">
      <c r="A1545" s="3"/>
      <c r="B1545" t="s">
        <v>4932</v>
      </c>
      <c r="C1545" s="957">
        <v>189167.22449229649</v>
      </c>
    </row>
    <row r="1546" spans="1:3" x14ac:dyDescent="0.2">
      <c r="A1546" s="3"/>
      <c r="B1546" s="694" t="s">
        <v>472</v>
      </c>
      <c r="C1546" s="957">
        <v>216124.0034000657</v>
      </c>
    </row>
    <row r="1547" spans="1:3" x14ac:dyDescent="0.2">
      <c r="A1547" s="3"/>
      <c r="B1547" s="694" t="s">
        <v>4933</v>
      </c>
      <c r="C1547" s="957">
        <v>134570.11249132303</v>
      </c>
    </row>
    <row r="1550" spans="1:3" ht="20.25" x14ac:dyDescent="0.3">
      <c r="A1550" s="966"/>
      <c r="B1550" s="967" t="s">
        <v>4904</v>
      </c>
      <c r="C1550" s="968"/>
    </row>
    <row r="1551" spans="1:3" x14ac:dyDescent="0.2">
      <c r="A1551" s="969" t="s">
        <v>4801</v>
      </c>
      <c r="B1551" s="934" t="s">
        <v>4905</v>
      </c>
      <c r="C1551" s="268"/>
    </row>
    <row r="1552" spans="1:3" x14ac:dyDescent="0.2">
      <c r="A1552" s="971">
        <v>4</v>
      </c>
      <c r="B1552" s="972" t="s">
        <v>4906</v>
      </c>
      <c r="C1552" s="973"/>
    </row>
    <row r="1553" spans="1:3" x14ac:dyDescent="0.2">
      <c r="A1553" s="3"/>
      <c r="B1553" t="s">
        <v>4907</v>
      </c>
      <c r="C1553" s="694" t="s">
        <v>4908</v>
      </c>
    </row>
    <row r="1554" spans="1:3" x14ac:dyDescent="0.2">
      <c r="A1554" s="3" t="s">
        <v>4938</v>
      </c>
      <c r="B1554" t="s">
        <v>271</v>
      </c>
      <c r="C1554" s="957">
        <v>15793.535539996074</v>
      </c>
    </row>
    <row r="1555" spans="1:3" x14ac:dyDescent="0.2">
      <c r="A1555" s="3"/>
      <c r="B1555" s="694" t="s">
        <v>4909</v>
      </c>
      <c r="C1555" s="957">
        <v>15793.535539996074</v>
      </c>
    </row>
    <row r="1556" spans="1:3" x14ac:dyDescent="0.2">
      <c r="A1556" s="3"/>
      <c r="B1556" s="694" t="s">
        <v>4683</v>
      </c>
      <c r="C1556" s="957">
        <v>15793.535539996074</v>
      </c>
    </row>
    <row r="1557" spans="1:3" x14ac:dyDescent="0.2">
      <c r="A1557" s="3"/>
      <c r="B1557" s="694" t="s">
        <v>4910</v>
      </c>
      <c r="C1557" s="957">
        <v>15793.535539996074</v>
      </c>
    </row>
    <row r="1558" spans="1:3" x14ac:dyDescent="0.2">
      <c r="A1558" s="3"/>
      <c r="B1558" s="694" t="s">
        <v>4911</v>
      </c>
      <c r="C1558" s="957">
        <v>15793.535539996074</v>
      </c>
    </row>
    <row r="1559" spans="1:3" x14ac:dyDescent="0.2">
      <c r="A1559" s="3"/>
      <c r="B1559" s="694" t="s">
        <v>4912</v>
      </c>
      <c r="C1559" s="957">
        <v>15793.535539996074</v>
      </c>
    </row>
    <row r="1560" spans="1:3" x14ac:dyDescent="0.2">
      <c r="A1560" s="3"/>
      <c r="B1560" s="694" t="s">
        <v>4913</v>
      </c>
      <c r="C1560" s="957">
        <v>15793.535539996074</v>
      </c>
    </row>
    <row r="1561" spans="1:3" x14ac:dyDescent="0.2">
      <c r="A1561" s="3"/>
      <c r="B1561" s="694" t="s">
        <v>4914</v>
      </c>
      <c r="C1561" s="957">
        <v>15793.535539996074</v>
      </c>
    </row>
    <row r="1562" spans="1:3" x14ac:dyDescent="0.2">
      <c r="A1562" s="3"/>
      <c r="B1562" s="694" t="s">
        <v>4915</v>
      </c>
      <c r="C1562" s="957">
        <v>15793.535539996074</v>
      </c>
    </row>
    <row r="1563" spans="1:3" x14ac:dyDescent="0.2">
      <c r="A1563" s="3"/>
      <c r="B1563" s="694" t="s">
        <v>4916</v>
      </c>
      <c r="C1563" s="957">
        <v>615.39008342245984</v>
      </c>
    </row>
    <row r="1564" spans="1:3" x14ac:dyDescent="0.2">
      <c r="A1564" s="3"/>
      <c r="B1564" t="s">
        <v>4917</v>
      </c>
      <c r="C1564" s="957">
        <v>1217.0660847213492</v>
      </c>
    </row>
    <row r="1565" spans="1:3" x14ac:dyDescent="0.2">
      <c r="A1565" s="3"/>
      <c r="B1565" t="s">
        <v>4918</v>
      </c>
      <c r="C1565" s="957">
        <v>1217.0660847213492</v>
      </c>
    </row>
    <row r="1566" spans="1:3" x14ac:dyDescent="0.2">
      <c r="A1566" s="3"/>
      <c r="B1566" s="694" t="s">
        <v>4919</v>
      </c>
      <c r="C1566" s="957">
        <v>860.39920013666426</v>
      </c>
    </row>
    <row r="1567" spans="1:3" x14ac:dyDescent="0.2">
      <c r="A1567" s="3"/>
      <c r="B1567" t="s">
        <v>4920</v>
      </c>
      <c r="C1567" s="957">
        <v>58859.382028416068</v>
      </c>
    </row>
    <row r="1568" spans="1:3" x14ac:dyDescent="0.2">
      <c r="A1568" s="3"/>
      <c r="B1568" t="s">
        <v>4921</v>
      </c>
      <c r="C1568" s="957">
        <v>58859.382028416068</v>
      </c>
    </row>
    <row r="1569" spans="1:5" x14ac:dyDescent="0.2">
      <c r="A1569" s="3"/>
      <c r="B1569" t="s">
        <v>4922</v>
      </c>
      <c r="C1569" s="957">
        <v>2709.1797841536459</v>
      </c>
    </row>
    <row r="1570" spans="1:5" x14ac:dyDescent="0.2">
      <c r="A1570" s="3"/>
      <c r="B1570" t="s">
        <v>4923</v>
      </c>
      <c r="C1570" s="957">
        <v>2709.1797841536459</v>
      </c>
    </row>
    <row r="1571" spans="1:5" x14ac:dyDescent="0.2">
      <c r="A1571" s="3"/>
      <c r="B1571" t="s">
        <v>4924</v>
      </c>
      <c r="C1571" s="957">
        <v>0</v>
      </c>
    </row>
    <row r="1572" spans="1:5" x14ac:dyDescent="0.2">
      <c r="A1572" s="3"/>
      <c r="B1572" t="s">
        <v>4925</v>
      </c>
      <c r="C1572" s="957">
        <v>24372.554078613746</v>
      </c>
    </row>
    <row r="1573" spans="1:5" x14ac:dyDescent="0.2">
      <c r="A1573" s="3"/>
      <c r="B1573" t="s">
        <v>4926</v>
      </c>
      <c r="C1573" s="957">
        <v>615.39008342245984</v>
      </c>
    </row>
    <row r="1574" spans="1:5" x14ac:dyDescent="0.2">
      <c r="A1574" s="3"/>
      <c r="B1574" s="694" t="s">
        <v>4927</v>
      </c>
      <c r="C1574" s="957">
        <v>16444.957306241584</v>
      </c>
    </row>
    <row r="1575" spans="1:5" x14ac:dyDescent="0.2">
      <c r="A1575" s="3"/>
      <c r="B1575" s="694" t="s">
        <v>4928</v>
      </c>
      <c r="C1575" s="957">
        <v>16444.957306241584</v>
      </c>
    </row>
    <row r="1576" spans="1:5" x14ac:dyDescent="0.2">
      <c r="A1576" s="3"/>
      <c r="B1576" s="694" t="s">
        <v>4929</v>
      </c>
      <c r="C1576" s="957">
        <v>14998.238656107189</v>
      </c>
    </row>
    <row r="1577" spans="1:5" x14ac:dyDescent="0.2">
      <c r="A1577" s="3"/>
      <c r="B1577" t="s">
        <v>4930</v>
      </c>
      <c r="C1577" s="957">
        <v>2499.8674794593167</v>
      </c>
    </row>
    <row r="1578" spans="1:5" x14ac:dyDescent="0.2">
      <c r="A1578" s="3"/>
      <c r="B1578" t="s">
        <v>4931</v>
      </c>
      <c r="C1578" s="957">
        <v>32140.792422095365</v>
      </c>
    </row>
    <row r="1579" spans="1:5" x14ac:dyDescent="0.2">
      <c r="A1579" s="3"/>
      <c r="B1579" t="s">
        <v>4932</v>
      </c>
      <c r="C1579" s="957">
        <v>5513.4302822925574</v>
      </c>
    </row>
    <row r="1580" spans="1:5" x14ac:dyDescent="0.2">
      <c r="A1580" s="3"/>
      <c r="B1580" s="694" t="s">
        <v>472</v>
      </c>
      <c r="C1580" s="957">
        <v>134602.19700079926</v>
      </c>
    </row>
    <row r="1581" spans="1:5" x14ac:dyDescent="0.2">
      <c r="A1581" s="3"/>
      <c r="B1581" s="694" t="s">
        <v>4933</v>
      </c>
      <c r="C1581" s="957">
        <v>113958.93551980422</v>
      </c>
    </row>
    <row r="1584" spans="1:5" x14ac:dyDescent="0.2">
      <c r="A1584" s="3"/>
      <c r="B1584" t="s">
        <v>4939</v>
      </c>
      <c r="C1584" s="3" t="s">
        <v>4941</v>
      </c>
      <c r="D1584" s="68">
        <v>17.200849956393093</v>
      </c>
      <c r="E1584" s="6" t="s">
        <v>4940</v>
      </c>
    </row>
    <row r="1587" spans="1:5" x14ac:dyDescent="0.2">
      <c r="A1587" s="3"/>
      <c r="B1587" t="s">
        <v>4942</v>
      </c>
      <c r="C1587" s="3" t="s">
        <v>4943</v>
      </c>
      <c r="D1587" s="68">
        <v>18.819499575878012</v>
      </c>
      <c r="E1587" s="6" t="s">
        <v>4940</v>
      </c>
    </row>
    <row r="1590" spans="1:5" x14ac:dyDescent="0.2">
      <c r="A1590" s="3"/>
      <c r="B1590" t="s">
        <v>4944</v>
      </c>
      <c r="C1590" s="3" t="s">
        <v>4946</v>
      </c>
      <c r="D1590" s="68">
        <v>0.26599808746868864</v>
      </c>
      <c r="E1590" s="6" t="s">
        <v>4945</v>
      </c>
    </row>
    <row r="1593" spans="1:5" x14ac:dyDescent="0.2">
      <c r="A1593" s="3"/>
      <c r="B1593" t="s">
        <v>4947</v>
      </c>
      <c r="C1593" s="3" t="s">
        <v>4948</v>
      </c>
      <c r="D1593" s="68">
        <v>0.38318831991939695</v>
      </c>
      <c r="E1593" s="6" t="s">
        <v>4945</v>
      </c>
    </row>
    <row r="1596" spans="1:5" x14ac:dyDescent="0.2">
      <c r="A1596" s="3"/>
      <c r="B1596" t="s">
        <v>4949</v>
      </c>
      <c r="C1596" s="3" t="s">
        <v>4951</v>
      </c>
      <c r="D1596" s="68">
        <v>5.5573636935648949</v>
      </c>
      <c r="E1596" s="6" t="s">
        <v>4950</v>
      </c>
    </row>
    <row r="1599" spans="1:5" x14ac:dyDescent="0.2">
      <c r="A1599" s="3"/>
      <c r="B1599" t="s">
        <v>4952</v>
      </c>
      <c r="C1599" s="3" t="s">
        <v>4953</v>
      </c>
      <c r="D1599" s="68">
        <v>6.0105855870206728</v>
      </c>
      <c r="E1599" s="6" t="s">
        <v>4950</v>
      </c>
    </row>
    <row r="1602" spans="1:4" x14ac:dyDescent="0.2">
      <c r="A1602" s="3" t="s">
        <v>4955</v>
      </c>
      <c r="B1602" s="694" t="s">
        <v>4954</v>
      </c>
      <c r="C1602" s="419">
        <v>2722.1435719501874</v>
      </c>
      <c r="D1602" s="419">
        <v>2600</v>
      </c>
    </row>
    <row r="1605" spans="1:4" x14ac:dyDescent="0.2">
      <c r="A1605" s="969"/>
      <c r="B1605" s="934" t="s">
        <v>4956</v>
      </c>
      <c r="C1605" s="268"/>
    </row>
    <row r="1606" spans="1:4" x14ac:dyDescent="0.2">
      <c r="A1606" s="113"/>
      <c r="B1606" s="952" t="s">
        <v>4891</v>
      </c>
      <c r="C1606" s="116" t="s">
        <v>4892</v>
      </c>
    </row>
    <row r="1607" spans="1:4" x14ac:dyDescent="0.2">
      <c r="A1607" s="3" t="s">
        <v>4957</v>
      </c>
      <c r="B1607">
        <v>0</v>
      </c>
      <c r="C1607" s="419">
        <v>0</v>
      </c>
    </row>
    <row r="1608" spans="1:4" x14ac:dyDescent="0.2">
      <c r="A1608" s="3"/>
      <c r="B1608">
        <v>1</v>
      </c>
      <c r="C1608" s="419">
        <v>1779.8631047366612</v>
      </c>
    </row>
    <row r="1609" spans="1:4" x14ac:dyDescent="0.2">
      <c r="A1609" s="3"/>
      <c r="B1609">
        <v>5</v>
      </c>
      <c r="C1609" s="419">
        <v>2722.1435719501874</v>
      </c>
    </row>
    <row r="1612" spans="1:4" x14ac:dyDescent="0.2">
      <c r="A1612" s="969"/>
      <c r="B1612" s="934" t="s">
        <v>4958</v>
      </c>
      <c r="C1612" s="268"/>
      <c r="D1612" s="268"/>
    </row>
    <row r="1613" spans="1:4" x14ac:dyDescent="0.2">
      <c r="A1613" s="113"/>
      <c r="B1613" s="952" t="s">
        <v>4878</v>
      </c>
      <c r="C1613" s="116" t="s">
        <v>4879</v>
      </c>
      <c r="D1613" s="975" t="s">
        <v>4959</v>
      </c>
    </row>
    <row r="1614" spans="1:4" x14ac:dyDescent="0.2">
      <c r="A1614" s="3" t="s">
        <v>4960</v>
      </c>
      <c r="B1614">
        <v>0</v>
      </c>
      <c r="C1614" s="419" t="s">
        <v>4881</v>
      </c>
      <c r="D1614" s="419">
        <v>2.6</v>
      </c>
    </row>
    <row r="1615" spans="1:4" x14ac:dyDescent="0.2">
      <c r="A1615" s="3"/>
      <c r="B1615">
        <v>3.1E-2</v>
      </c>
      <c r="C1615" s="419" t="s">
        <v>4882</v>
      </c>
      <c r="D1615" s="419">
        <v>2.2999999999999998</v>
      </c>
    </row>
    <row r="1616" spans="1:4" x14ac:dyDescent="0.2">
      <c r="A1616" s="3"/>
      <c r="B1616">
        <v>0.1241</v>
      </c>
      <c r="C1616" s="419" t="s">
        <v>4883</v>
      </c>
      <c r="D1616" s="419">
        <v>2.2000000000000002</v>
      </c>
    </row>
    <row r="1617" spans="2:4" x14ac:dyDescent="0.2">
      <c r="B1617">
        <v>0.30509999999999998</v>
      </c>
      <c r="C1617" t="s">
        <v>4884</v>
      </c>
      <c r="D1617">
        <v>1.8</v>
      </c>
    </row>
    <row r="1618" spans="2:4" x14ac:dyDescent="0.2">
      <c r="B1618">
        <v>0.74099999999999999</v>
      </c>
      <c r="C1618" t="s">
        <v>4885</v>
      </c>
      <c r="D1618">
        <v>1.6</v>
      </c>
    </row>
    <row r="1619" spans="2:4" x14ac:dyDescent="0.2">
      <c r="B1619">
        <v>2.1520999999999999</v>
      </c>
      <c r="C1619" t="s">
        <v>4886</v>
      </c>
      <c r="D1619">
        <v>1.5</v>
      </c>
    </row>
    <row r="1620" spans="2:4" x14ac:dyDescent="0.2">
      <c r="B1620">
        <v>7.3651</v>
      </c>
      <c r="C1620" t="s">
        <v>4887</v>
      </c>
      <c r="D1620">
        <v>1.5</v>
      </c>
    </row>
    <row r="1621" spans="2:4" x14ac:dyDescent="0.2">
      <c r="B1621">
        <v>22.614100000000001</v>
      </c>
      <c r="C1621" t="s">
        <v>4888</v>
      </c>
      <c r="D1621">
        <v>1.4</v>
      </c>
    </row>
  </sheetData>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E34FB-A3C3-452F-9BAF-6BE0AD214AD0}">
  <dimension ref="A1:O263"/>
  <sheetViews>
    <sheetView zoomScaleNormal="100" workbookViewId="0">
      <pane ySplit="3" topLeftCell="A4" activePane="bottomLeft" state="frozen"/>
      <selection pane="bottomLeft"/>
    </sheetView>
  </sheetViews>
  <sheetFormatPr defaultRowHeight="12.75" x14ac:dyDescent="0.2"/>
  <cols>
    <col min="1" max="1" width="39.7109375" customWidth="1"/>
    <col min="2" max="2" width="28.7109375" customWidth="1"/>
    <col min="3" max="3" width="16.5703125" customWidth="1"/>
    <col min="4" max="4" width="22" customWidth="1"/>
    <col min="5" max="5" width="11.5703125" customWidth="1"/>
    <col min="6" max="7" width="11.7109375" customWidth="1"/>
  </cols>
  <sheetData>
    <row r="1" spans="1:8" x14ac:dyDescent="0.2">
      <c r="A1" s="1" t="s">
        <v>4961</v>
      </c>
    </row>
    <row r="2" spans="1:8" x14ac:dyDescent="0.2">
      <c r="A2" s="725" t="s">
        <v>5261</v>
      </c>
    </row>
    <row r="4" spans="1:8" x14ac:dyDescent="0.2">
      <c r="A4" s="1" t="s">
        <v>4962</v>
      </c>
      <c r="B4" s="694"/>
      <c r="C4" s="694"/>
      <c r="D4" s="694"/>
      <c r="E4" s="694"/>
    </row>
    <row r="5" spans="1:8" x14ac:dyDescent="0.2">
      <c r="A5" t="s">
        <v>4963</v>
      </c>
      <c r="B5" t="s">
        <v>4964</v>
      </c>
      <c r="C5" t="s">
        <v>4965</v>
      </c>
    </row>
    <row r="6" spans="1:8" x14ac:dyDescent="0.2">
      <c r="A6" s="976">
        <v>0</v>
      </c>
      <c r="B6" t="s">
        <v>4966</v>
      </c>
      <c r="C6" s="889">
        <v>0.09</v>
      </c>
    </row>
    <row r="7" spans="1:8" x14ac:dyDescent="0.2">
      <c r="A7" s="976">
        <v>250000</v>
      </c>
      <c r="B7" t="s">
        <v>4967</v>
      </c>
      <c r="C7" s="889">
        <v>0.08</v>
      </c>
    </row>
    <row r="8" spans="1:8" x14ac:dyDescent="0.2">
      <c r="A8" s="976">
        <v>500000</v>
      </c>
      <c r="B8" t="s">
        <v>4968</v>
      </c>
      <c r="C8" s="889">
        <v>7.0000000000000007E-2</v>
      </c>
    </row>
    <row r="9" spans="1:8" x14ac:dyDescent="0.2">
      <c r="A9" s="976">
        <v>1000000</v>
      </c>
      <c r="B9" t="s">
        <v>4969</v>
      </c>
      <c r="C9" s="889">
        <v>6.2E-2</v>
      </c>
    </row>
    <row r="10" spans="1:8" x14ac:dyDescent="0.2">
      <c r="A10" s="976">
        <v>5000000</v>
      </c>
      <c r="B10" t="s">
        <v>4970</v>
      </c>
      <c r="C10" s="889">
        <v>5.2999999999999999E-2</v>
      </c>
    </row>
    <row r="11" spans="1:8" x14ac:dyDescent="0.2">
      <c r="A11" s="976">
        <v>10000000</v>
      </c>
      <c r="B11" t="s">
        <v>4971</v>
      </c>
      <c r="C11" s="889">
        <v>4.9000000000000002E-2</v>
      </c>
    </row>
    <row r="12" spans="1:8" x14ac:dyDescent="0.2">
      <c r="A12" s="976">
        <v>50000000</v>
      </c>
      <c r="B12" t="s">
        <v>4972</v>
      </c>
      <c r="C12" s="889">
        <v>4.4999999999999998E-2</v>
      </c>
    </row>
    <row r="15" spans="1:8" x14ac:dyDescent="0.2">
      <c r="A15" s="1" t="s">
        <v>4973</v>
      </c>
    </row>
    <row r="16" spans="1:8" x14ac:dyDescent="0.2">
      <c r="A16" s="694" t="s">
        <v>4974</v>
      </c>
      <c r="B16" s="694" t="s">
        <v>4975</v>
      </c>
      <c r="C16" s="694" t="s">
        <v>4976</v>
      </c>
      <c r="D16" s="694" t="s">
        <v>4977</v>
      </c>
      <c r="E16" s="694" t="s">
        <v>4978</v>
      </c>
      <c r="F16" s="694" t="s">
        <v>4979</v>
      </c>
      <c r="G16" s="694" t="s">
        <v>4980</v>
      </c>
      <c r="H16" s="694" t="s">
        <v>4981</v>
      </c>
    </row>
    <row r="17" spans="1:8" x14ac:dyDescent="0.2">
      <c r="A17" s="694">
        <v>0</v>
      </c>
      <c r="B17" s="694">
        <v>265</v>
      </c>
      <c r="C17" s="694">
        <v>7.5</v>
      </c>
      <c r="D17" s="694">
        <v>4</v>
      </c>
      <c r="E17" s="694">
        <v>48</v>
      </c>
      <c r="F17" s="694">
        <v>20</v>
      </c>
      <c r="G17" s="977">
        <v>4</v>
      </c>
      <c r="H17" s="977">
        <v>1.6666666666666667</v>
      </c>
    </row>
    <row r="18" spans="1:8" x14ac:dyDescent="0.2">
      <c r="A18" s="694">
        <v>266</v>
      </c>
      <c r="B18" s="694">
        <v>540</v>
      </c>
      <c r="C18" s="694">
        <v>15</v>
      </c>
      <c r="D18" s="694">
        <v>4</v>
      </c>
      <c r="E18" s="694">
        <v>57</v>
      </c>
      <c r="F18" s="694">
        <v>28</v>
      </c>
      <c r="G18" s="977">
        <v>4.75</v>
      </c>
      <c r="H18" s="977">
        <v>2.3333333333333335</v>
      </c>
    </row>
    <row r="19" spans="1:8" x14ac:dyDescent="0.2">
      <c r="A19" s="694">
        <v>541</v>
      </c>
      <c r="B19" s="694">
        <v>1080</v>
      </c>
      <c r="C19" s="694">
        <v>30</v>
      </c>
      <c r="D19" s="694">
        <v>4</v>
      </c>
      <c r="E19" s="694">
        <v>70</v>
      </c>
      <c r="F19" s="694">
        <v>40</v>
      </c>
      <c r="G19" s="977">
        <v>5.833333333333333</v>
      </c>
      <c r="H19" s="977">
        <v>3.3333333333333335</v>
      </c>
    </row>
    <row r="20" spans="1:8" x14ac:dyDescent="0.2">
      <c r="A20" s="694">
        <v>1081</v>
      </c>
      <c r="B20" s="694">
        <v>3475</v>
      </c>
      <c r="C20" s="694">
        <v>100</v>
      </c>
      <c r="D20" s="694">
        <v>4</v>
      </c>
      <c r="E20" s="694">
        <v>78</v>
      </c>
      <c r="F20" s="694">
        <v>55</v>
      </c>
      <c r="G20" s="977">
        <v>6.5</v>
      </c>
      <c r="H20" s="977">
        <v>4.583333333333333</v>
      </c>
    </row>
    <row r="21" spans="1:8" x14ac:dyDescent="0.2">
      <c r="A21" s="694">
        <v>3476</v>
      </c>
      <c r="B21" s="694">
        <v>4000</v>
      </c>
      <c r="C21" s="694">
        <v>125</v>
      </c>
      <c r="D21" s="694">
        <v>6</v>
      </c>
      <c r="E21" s="694">
        <v>88</v>
      </c>
      <c r="F21" s="694">
        <v>72</v>
      </c>
      <c r="G21" s="977">
        <v>7.333333333333333</v>
      </c>
      <c r="H21" s="977">
        <v>6</v>
      </c>
    </row>
    <row r="22" spans="1:8" x14ac:dyDescent="0.2">
      <c r="A22" s="694">
        <v>4001</v>
      </c>
      <c r="B22" s="694">
        <v>5000</v>
      </c>
      <c r="C22" s="694">
        <v>140</v>
      </c>
      <c r="D22" s="694">
        <v>5</v>
      </c>
      <c r="E22" s="694">
        <v>100</v>
      </c>
      <c r="F22" s="694">
        <v>84</v>
      </c>
      <c r="G22" s="977">
        <v>8.3333333333333339</v>
      </c>
      <c r="H22" s="977">
        <v>7</v>
      </c>
    </row>
    <row r="25" spans="1:8" x14ac:dyDescent="0.2">
      <c r="A25" s="1" t="s">
        <v>4982</v>
      </c>
    </row>
    <row r="26" spans="1:8" x14ac:dyDescent="0.2">
      <c r="A26" s="2" t="s">
        <v>4537</v>
      </c>
      <c r="B26" s="2" t="s">
        <v>4983</v>
      </c>
      <c r="C26" s="2" t="s">
        <v>1642</v>
      </c>
    </row>
    <row r="27" spans="1:8" ht="15" x14ac:dyDescent="0.25">
      <c r="A27" s="694" t="s">
        <v>4543</v>
      </c>
      <c r="B27" s="157">
        <v>50000</v>
      </c>
      <c r="C27" s="694" t="s">
        <v>2591</v>
      </c>
      <c r="D27" s="978" t="s">
        <v>4984</v>
      </c>
      <c r="E27" s="978"/>
    </row>
    <row r="28" spans="1:8" ht="15" x14ac:dyDescent="0.25">
      <c r="A28" s="694" t="s">
        <v>4985</v>
      </c>
      <c r="B28" s="157">
        <v>50000</v>
      </c>
      <c r="C28" s="694" t="s">
        <v>2591</v>
      </c>
      <c r="D28" s="978" t="s">
        <v>4986</v>
      </c>
      <c r="E28" s="978"/>
    </row>
    <row r="29" spans="1:8" ht="15" x14ac:dyDescent="0.25">
      <c r="A29" s="694" t="s">
        <v>4544</v>
      </c>
      <c r="B29" s="157">
        <v>0</v>
      </c>
      <c r="C29" s="694" t="s">
        <v>2591</v>
      </c>
      <c r="D29" s="978" t="s">
        <v>4987</v>
      </c>
    </row>
    <row r="30" spans="1:8" ht="15" x14ac:dyDescent="0.25">
      <c r="A30" s="694" t="s">
        <v>4545</v>
      </c>
      <c r="B30" s="157">
        <v>2000</v>
      </c>
      <c r="C30" s="694" t="s">
        <v>2591</v>
      </c>
      <c r="D30" s="978" t="s">
        <v>4988</v>
      </c>
    </row>
    <row r="31" spans="1:8" ht="15" x14ac:dyDescent="0.25">
      <c r="A31" s="694" t="s">
        <v>4989</v>
      </c>
      <c r="B31" s="157">
        <v>2000</v>
      </c>
      <c r="C31" s="694" t="s">
        <v>2591</v>
      </c>
      <c r="D31" s="978" t="s">
        <v>4986</v>
      </c>
    </row>
    <row r="32" spans="1:8" ht="15" x14ac:dyDescent="0.25">
      <c r="A32" s="694" t="s">
        <v>4546</v>
      </c>
      <c r="B32" s="157">
        <v>0</v>
      </c>
      <c r="C32" s="694" t="s">
        <v>2591</v>
      </c>
      <c r="D32" s="978" t="s">
        <v>4990</v>
      </c>
    </row>
    <row r="33" spans="1:4" ht="15" x14ac:dyDescent="0.25">
      <c r="A33" s="694" t="s">
        <v>4550</v>
      </c>
      <c r="B33" s="157">
        <v>2000</v>
      </c>
      <c r="C33" s="694" t="s">
        <v>2591</v>
      </c>
      <c r="D33" s="978" t="s">
        <v>4991</v>
      </c>
    </row>
    <row r="34" spans="1:4" ht="15" x14ac:dyDescent="0.25">
      <c r="A34" s="694" t="s">
        <v>4551</v>
      </c>
      <c r="B34" s="157">
        <v>500</v>
      </c>
      <c r="C34" s="694" t="s">
        <v>2591</v>
      </c>
      <c r="D34" s="978" t="s">
        <v>4992</v>
      </c>
    </row>
    <row r="35" spans="1:4" ht="15" x14ac:dyDescent="0.25">
      <c r="A35" s="694" t="s">
        <v>4552</v>
      </c>
      <c r="B35" s="157">
        <v>0</v>
      </c>
      <c r="C35" s="694" t="s">
        <v>2591</v>
      </c>
      <c r="D35" s="978" t="s">
        <v>4993</v>
      </c>
    </row>
    <row r="36" spans="1:4" ht="15" x14ac:dyDescent="0.25">
      <c r="A36" s="694" t="s">
        <v>4553</v>
      </c>
      <c r="B36" s="157">
        <v>17710</v>
      </c>
      <c r="C36" s="694" t="s">
        <v>2591</v>
      </c>
      <c r="D36" s="978" t="s">
        <v>4994</v>
      </c>
    </row>
    <row r="37" spans="1:4" ht="15" x14ac:dyDescent="0.25">
      <c r="A37" s="694" t="s">
        <v>4554</v>
      </c>
      <c r="B37" s="157">
        <v>1771</v>
      </c>
      <c r="C37" s="694" t="s">
        <v>2591</v>
      </c>
      <c r="D37" s="978" t="s">
        <v>4995</v>
      </c>
    </row>
    <row r="38" spans="1:4" ht="15" x14ac:dyDescent="0.25">
      <c r="A38" s="694" t="s">
        <v>4555</v>
      </c>
      <c r="B38" s="157">
        <v>0</v>
      </c>
      <c r="C38" s="694" t="s">
        <v>2591</v>
      </c>
      <c r="D38" s="978" t="s">
        <v>4996</v>
      </c>
    </row>
    <row r="39" spans="1:4" ht="15" x14ac:dyDescent="0.25">
      <c r="A39" s="694" t="s">
        <v>4556</v>
      </c>
      <c r="B39" s="157">
        <v>50000</v>
      </c>
      <c r="C39" s="694" t="s">
        <v>2591</v>
      </c>
      <c r="D39" s="978" t="s">
        <v>4997</v>
      </c>
    </row>
    <row r="40" spans="1:4" ht="15" x14ac:dyDescent="0.25">
      <c r="A40" s="694" t="s">
        <v>4998</v>
      </c>
      <c r="B40" s="157">
        <v>50000</v>
      </c>
      <c r="C40" s="694" t="s">
        <v>2591</v>
      </c>
      <c r="D40" s="978" t="s">
        <v>4986</v>
      </c>
    </row>
    <row r="41" spans="1:4" ht="15" x14ac:dyDescent="0.25">
      <c r="A41" s="694" t="s">
        <v>4557</v>
      </c>
      <c r="B41" s="157">
        <v>0</v>
      </c>
      <c r="C41" s="694" t="s">
        <v>2591</v>
      </c>
      <c r="D41" s="978" t="s">
        <v>4999</v>
      </c>
    </row>
    <row r="42" spans="1:4" ht="15" x14ac:dyDescent="0.25">
      <c r="A42" s="694" t="s">
        <v>4558</v>
      </c>
      <c r="B42" s="979">
        <v>1</v>
      </c>
      <c r="C42" s="694" t="s">
        <v>3587</v>
      </c>
      <c r="D42" s="978" t="s">
        <v>5000</v>
      </c>
    </row>
    <row r="43" spans="1:4" ht="15" x14ac:dyDescent="0.25">
      <c r="A43" s="694" t="s">
        <v>4559</v>
      </c>
      <c r="B43" s="979">
        <v>0.5</v>
      </c>
      <c r="C43" s="694" t="s">
        <v>3587</v>
      </c>
      <c r="D43" s="978" t="s">
        <v>5001</v>
      </c>
    </row>
    <row r="44" spans="1:4" ht="15" x14ac:dyDescent="0.25">
      <c r="A44" s="694" t="s">
        <v>4560</v>
      </c>
      <c r="B44" s="157">
        <v>0</v>
      </c>
      <c r="C44" s="694" t="s">
        <v>3587</v>
      </c>
      <c r="D44" s="978" t="s">
        <v>5002</v>
      </c>
    </row>
    <row r="45" spans="1:4" ht="15" x14ac:dyDescent="0.25">
      <c r="A45" s="694" t="s">
        <v>4563</v>
      </c>
      <c r="B45" s="157">
        <v>44000</v>
      </c>
      <c r="C45" s="694" t="s">
        <v>2591</v>
      </c>
      <c r="D45" s="978" t="s">
        <v>5003</v>
      </c>
    </row>
    <row r="46" spans="1:4" ht="15" x14ac:dyDescent="0.25">
      <c r="A46" s="694" t="s">
        <v>4564</v>
      </c>
      <c r="B46" s="157">
        <v>3621.75</v>
      </c>
      <c r="C46" s="694" t="s">
        <v>2591</v>
      </c>
      <c r="D46" s="978" t="s">
        <v>5004</v>
      </c>
    </row>
    <row r="47" spans="1:4" ht="15" x14ac:dyDescent="0.25">
      <c r="A47" s="694" t="s">
        <v>4565</v>
      </c>
      <c r="B47" s="157">
        <v>0</v>
      </c>
      <c r="C47" s="694" t="s">
        <v>2591</v>
      </c>
      <c r="D47" s="978"/>
    </row>
    <row r="48" spans="1:4" ht="15" x14ac:dyDescent="0.25">
      <c r="A48" s="694" t="s">
        <v>4566</v>
      </c>
      <c r="B48" s="157">
        <v>44000</v>
      </c>
      <c r="C48" s="694" t="s">
        <v>2591</v>
      </c>
      <c r="D48" s="978" t="s">
        <v>5003</v>
      </c>
    </row>
    <row r="49" spans="1:4" ht="15" x14ac:dyDescent="0.25">
      <c r="A49" s="694" t="s">
        <v>5005</v>
      </c>
      <c r="B49" s="157">
        <v>44000</v>
      </c>
      <c r="C49" s="694" t="s">
        <v>2591</v>
      </c>
      <c r="D49" s="978" t="s">
        <v>4986</v>
      </c>
    </row>
    <row r="50" spans="1:4" ht="15" x14ac:dyDescent="0.25">
      <c r="A50" s="694" t="s">
        <v>4567</v>
      </c>
      <c r="B50" s="157">
        <v>0</v>
      </c>
      <c r="C50" s="694" t="s">
        <v>2591</v>
      </c>
      <c r="D50" s="978"/>
    </row>
    <row r="51" spans="1:4" ht="15" x14ac:dyDescent="0.25">
      <c r="A51" s="694" t="s">
        <v>4568</v>
      </c>
      <c r="B51" s="157">
        <v>19800</v>
      </c>
      <c r="C51" t="s">
        <v>2591</v>
      </c>
      <c r="D51" s="978" t="s">
        <v>5006</v>
      </c>
    </row>
    <row r="52" spans="1:4" ht="15" x14ac:dyDescent="0.25">
      <c r="A52" s="694" t="s">
        <v>5007</v>
      </c>
      <c r="B52" s="157">
        <v>5445</v>
      </c>
      <c r="C52" t="s">
        <v>2591</v>
      </c>
      <c r="D52" s="978" t="s">
        <v>4986</v>
      </c>
    </row>
    <row r="53" spans="1:4" ht="15" x14ac:dyDescent="0.25">
      <c r="A53" s="694" t="s">
        <v>4569</v>
      </c>
      <c r="B53" s="157">
        <v>0</v>
      </c>
      <c r="C53" t="s">
        <v>2591</v>
      </c>
      <c r="D53" s="978" t="s">
        <v>5008</v>
      </c>
    </row>
    <row r="54" spans="1:4" ht="15" x14ac:dyDescent="0.25">
      <c r="A54" t="s">
        <v>4574</v>
      </c>
      <c r="B54" s="157">
        <v>27500</v>
      </c>
      <c r="C54" t="s">
        <v>2591</v>
      </c>
      <c r="D54" s="978" t="s">
        <v>5009</v>
      </c>
    </row>
    <row r="55" spans="1:4" ht="15" x14ac:dyDescent="0.25">
      <c r="A55" t="s">
        <v>4575</v>
      </c>
      <c r="B55" s="157">
        <v>5000</v>
      </c>
      <c r="C55" t="s">
        <v>2591</v>
      </c>
      <c r="D55" s="978" t="s">
        <v>5010</v>
      </c>
    </row>
    <row r="56" spans="1:4" ht="15" x14ac:dyDescent="0.25">
      <c r="A56" t="s">
        <v>4576</v>
      </c>
      <c r="B56" s="157">
        <v>0</v>
      </c>
      <c r="C56" t="s">
        <v>2591</v>
      </c>
      <c r="D56" s="978" t="s">
        <v>5011</v>
      </c>
    </row>
    <row r="57" spans="1:4" ht="15" x14ac:dyDescent="0.25">
      <c r="A57" s="694" t="s">
        <v>4580</v>
      </c>
      <c r="B57" s="157">
        <v>25436.999999999996</v>
      </c>
      <c r="C57" t="s">
        <v>2591</v>
      </c>
      <c r="D57" s="978" t="s">
        <v>5012</v>
      </c>
    </row>
    <row r="58" spans="1:4" ht="15" x14ac:dyDescent="0.25">
      <c r="A58" s="694" t="s">
        <v>4581</v>
      </c>
      <c r="B58" s="157">
        <v>5000</v>
      </c>
      <c r="C58" t="s">
        <v>2591</v>
      </c>
      <c r="D58" s="978" t="s">
        <v>5013</v>
      </c>
    </row>
    <row r="59" spans="1:4" ht="15" x14ac:dyDescent="0.25">
      <c r="A59" s="694" t="s">
        <v>4582</v>
      </c>
      <c r="B59" s="157">
        <v>0</v>
      </c>
      <c r="C59" t="s">
        <v>2591</v>
      </c>
      <c r="D59" s="978" t="s">
        <v>5014</v>
      </c>
    </row>
    <row r="60" spans="1:4" ht="15" x14ac:dyDescent="0.25">
      <c r="A60" s="694" t="s">
        <v>4583</v>
      </c>
      <c r="B60" s="157">
        <v>21317.039999999997</v>
      </c>
      <c r="C60" t="s">
        <v>2591</v>
      </c>
      <c r="D60" s="978" t="s">
        <v>5015</v>
      </c>
    </row>
    <row r="61" spans="1:4" ht="15" x14ac:dyDescent="0.25">
      <c r="A61" s="694" t="s">
        <v>4584</v>
      </c>
      <c r="B61" s="157">
        <v>4000</v>
      </c>
      <c r="C61" t="s">
        <v>2591</v>
      </c>
      <c r="D61" s="978" t="s">
        <v>5016</v>
      </c>
    </row>
    <row r="62" spans="1:4" ht="15" x14ac:dyDescent="0.25">
      <c r="A62" s="694" t="s">
        <v>4585</v>
      </c>
      <c r="B62" s="157">
        <v>0</v>
      </c>
      <c r="C62" t="s">
        <v>2591</v>
      </c>
      <c r="D62" s="978"/>
    </row>
    <row r="63" spans="1:4" ht="15" x14ac:dyDescent="0.25">
      <c r="A63" t="s">
        <v>4586</v>
      </c>
      <c r="B63" s="157">
        <v>2000</v>
      </c>
      <c r="C63" t="s">
        <v>1332</v>
      </c>
      <c r="D63" s="978" t="s">
        <v>5017</v>
      </c>
    </row>
    <row r="64" spans="1:4" ht="15" x14ac:dyDescent="0.25">
      <c r="A64" t="s">
        <v>4587</v>
      </c>
      <c r="B64" s="157">
        <v>550</v>
      </c>
      <c r="C64" t="s">
        <v>1332</v>
      </c>
      <c r="D64" s="978" t="s">
        <v>5018</v>
      </c>
    </row>
    <row r="65" spans="1:5" ht="15" x14ac:dyDescent="0.25">
      <c r="A65" t="s">
        <v>4588</v>
      </c>
      <c r="B65" s="157">
        <v>0</v>
      </c>
      <c r="C65" t="s">
        <v>1332</v>
      </c>
      <c r="D65" s="978" t="s">
        <v>5019</v>
      </c>
    </row>
    <row r="66" spans="1:5" ht="15" x14ac:dyDescent="0.25">
      <c r="A66" s="694" t="s">
        <v>4589</v>
      </c>
      <c r="B66" s="157">
        <v>28427.723999999998</v>
      </c>
      <c r="C66" s="694" t="s">
        <v>2591</v>
      </c>
      <c r="D66" s="978" t="s">
        <v>5020</v>
      </c>
    </row>
    <row r="67" spans="1:5" ht="15" x14ac:dyDescent="0.25">
      <c r="A67" s="694" t="s">
        <v>5021</v>
      </c>
      <c r="B67" s="157">
        <v>28427.723999999998</v>
      </c>
      <c r="C67" s="694" t="s">
        <v>2591</v>
      </c>
      <c r="D67" s="978" t="s">
        <v>4986</v>
      </c>
    </row>
    <row r="68" spans="1:5" ht="15" x14ac:dyDescent="0.25">
      <c r="A68" s="694" t="s">
        <v>4590</v>
      </c>
      <c r="B68" s="157">
        <v>0</v>
      </c>
      <c r="C68" s="694" t="s">
        <v>2591</v>
      </c>
      <c r="D68" s="978"/>
    </row>
    <row r="69" spans="1:5" ht="15" x14ac:dyDescent="0.25">
      <c r="A69" t="s">
        <v>4592</v>
      </c>
      <c r="B69" s="157">
        <v>2000</v>
      </c>
      <c r="C69" t="s">
        <v>1332</v>
      </c>
      <c r="D69" s="978" t="s">
        <v>5022</v>
      </c>
    </row>
    <row r="70" spans="1:5" ht="15" x14ac:dyDescent="0.25">
      <c r="A70" t="s">
        <v>4593</v>
      </c>
      <c r="B70" s="157">
        <v>500</v>
      </c>
      <c r="C70" t="s">
        <v>1332</v>
      </c>
      <c r="D70" s="978" t="s">
        <v>5023</v>
      </c>
    </row>
    <row r="71" spans="1:5" ht="15" x14ac:dyDescent="0.25">
      <c r="A71" t="s">
        <v>4594</v>
      </c>
      <c r="B71" s="157">
        <v>0</v>
      </c>
      <c r="C71" t="s">
        <v>1332</v>
      </c>
      <c r="D71" s="978" t="s">
        <v>5014</v>
      </c>
    </row>
    <row r="74" spans="1:5" x14ac:dyDescent="0.2">
      <c r="A74" s="1" t="s">
        <v>5024</v>
      </c>
      <c r="B74" s="694"/>
      <c r="C74" s="694"/>
      <c r="D74" s="694"/>
      <c r="E74" s="694"/>
    </row>
    <row r="75" spans="1:5" x14ac:dyDescent="0.2">
      <c r="A75" t="s">
        <v>4963</v>
      </c>
      <c r="B75" t="s">
        <v>4964</v>
      </c>
      <c r="C75" t="s">
        <v>1752</v>
      </c>
    </row>
    <row r="76" spans="1:5" x14ac:dyDescent="0.2">
      <c r="A76" s="976">
        <v>0</v>
      </c>
      <c r="B76" t="s">
        <v>5025</v>
      </c>
      <c r="C76" s="889">
        <v>0.1</v>
      </c>
    </row>
    <row r="77" spans="1:5" x14ac:dyDescent="0.2">
      <c r="A77" s="976">
        <v>100000</v>
      </c>
      <c r="B77" t="s">
        <v>5026</v>
      </c>
      <c r="C77" s="889">
        <v>0.09</v>
      </c>
    </row>
    <row r="78" spans="1:5" x14ac:dyDescent="0.2">
      <c r="A78" s="976">
        <v>250000</v>
      </c>
      <c r="B78" t="s">
        <v>5027</v>
      </c>
      <c r="C78" s="889">
        <v>0.06</v>
      </c>
    </row>
    <row r="79" spans="1:5" x14ac:dyDescent="0.2">
      <c r="A79" s="976">
        <v>1000000</v>
      </c>
      <c r="B79" t="s">
        <v>4969</v>
      </c>
      <c r="C79" s="889">
        <v>0.05</v>
      </c>
    </row>
    <row r="80" spans="1:5" x14ac:dyDescent="0.2">
      <c r="A80" s="976">
        <v>5000000</v>
      </c>
      <c r="B80" t="s">
        <v>4970</v>
      </c>
      <c r="C80" s="889">
        <v>0.04</v>
      </c>
    </row>
    <row r="81" spans="1:5" x14ac:dyDescent="0.2">
      <c r="A81" s="976">
        <v>10000000</v>
      </c>
      <c r="B81" t="s">
        <v>5028</v>
      </c>
      <c r="C81" s="889">
        <v>3.2000000000000001E-2</v>
      </c>
    </row>
    <row r="84" spans="1:5" x14ac:dyDescent="0.2">
      <c r="A84" s="1" t="s">
        <v>5029</v>
      </c>
      <c r="B84" s="694"/>
      <c r="C84" s="694"/>
      <c r="D84" s="694"/>
      <c r="E84" s="694"/>
    </row>
    <row r="85" spans="1:5" x14ac:dyDescent="0.2">
      <c r="A85" t="s">
        <v>5030</v>
      </c>
      <c r="B85" t="s">
        <v>4964</v>
      </c>
      <c r="C85" t="s">
        <v>5031</v>
      </c>
    </row>
    <row r="86" spans="1:5" x14ac:dyDescent="0.2">
      <c r="A86" s="976">
        <v>0</v>
      </c>
      <c r="B86" s="16" t="s">
        <v>5032</v>
      </c>
      <c r="C86" s="980">
        <v>6.7000000000000004E-2</v>
      </c>
      <c r="E86" s="980"/>
    </row>
    <row r="87" spans="1:5" x14ac:dyDescent="0.2">
      <c r="A87" s="976">
        <v>500000</v>
      </c>
      <c r="B87" s="16" t="s">
        <v>5033</v>
      </c>
      <c r="C87" s="980">
        <v>5.8000000000000003E-2</v>
      </c>
      <c r="E87" s="980"/>
    </row>
    <row r="88" spans="1:5" x14ac:dyDescent="0.2">
      <c r="A88" s="976">
        <v>3000000</v>
      </c>
      <c r="B88" s="16" t="s">
        <v>5034</v>
      </c>
      <c r="C88" s="980">
        <v>4.9000000000000002E-2</v>
      </c>
      <c r="E88" s="980"/>
    </row>
    <row r="89" spans="1:5" x14ac:dyDescent="0.2">
      <c r="A89" s="976">
        <v>15000000</v>
      </c>
      <c r="B89" s="16" t="s">
        <v>5035</v>
      </c>
      <c r="C89" s="980">
        <v>4.1000000000000002E-2</v>
      </c>
      <c r="E89" s="980"/>
    </row>
    <row r="90" spans="1:5" x14ac:dyDescent="0.2">
      <c r="A90" s="976">
        <v>50000000</v>
      </c>
      <c r="B90" s="16" t="s">
        <v>5036</v>
      </c>
      <c r="C90" s="980">
        <v>3.2000000000000001E-2</v>
      </c>
      <c r="E90" s="980"/>
    </row>
    <row r="91" spans="1:5" x14ac:dyDescent="0.2">
      <c r="A91" s="976">
        <v>100000000</v>
      </c>
      <c r="B91" s="16" t="s">
        <v>5037</v>
      </c>
      <c r="C91" s="980">
        <v>5.8000000000000003E-2</v>
      </c>
      <c r="E91" s="980"/>
    </row>
    <row r="94" spans="1:5" x14ac:dyDescent="0.2">
      <c r="A94" s="694" t="s">
        <v>5038</v>
      </c>
      <c r="B94" s="3" t="s">
        <v>5040</v>
      </c>
      <c r="C94" s="815">
        <v>3800</v>
      </c>
      <c r="D94" s="694" t="s">
        <v>5039</v>
      </c>
    </row>
    <row r="97" spans="1:4" x14ac:dyDescent="0.2">
      <c r="A97" s="694" t="s">
        <v>5041</v>
      </c>
      <c r="B97" s="3" t="s">
        <v>5043</v>
      </c>
      <c r="C97" s="981">
        <v>0.1</v>
      </c>
      <c r="D97" s="694" t="s">
        <v>5042</v>
      </c>
    </row>
    <row r="100" spans="1:4" x14ac:dyDescent="0.2">
      <c r="A100" s="1" t="s">
        <v>5044</v>
      </c>
    </row>
    <row r="101" spans="1:4" x14ac:dyDescent="0.2">
      <c r="A101" s="1" t="s">
        <v>5045</v>
      </c>
      <c r="B101" s="1" t="s">
        <v>5046</v>
      </c>
    </row>
    <row r="102" spans="1:4" x14ac:dyDescent="0.2">
      <c r="A102">
        <v>0</v>
      </c>
      <c r="B102">
        <v>1.5</v>
      </c>
      <c r="C102" s="7" t="s">
        <v>5264</v>
      </c>
    </row>
    <row r="103" spans="1:4" x14ac:dyDescent="0.2">
      <c r="A103" s="888">
        <v>6.95</v>
      </c>
      <c r="B103">
        <v>2</v>
      </c>
      <c r="C103" s="157"/>
    </row>
    <row r="104" spans="1:4" x14ac:dyDescent="0.2">
      <c r="A104" s="888">
        <v>13.1</v>
      </c>
      <c r="B104">
        <v>2.5</v>
      </c>
      <c r="C104" s="157"/>
    </row>
    <row r="105" spans="1:4" x14ac:dyDescent="0.2">
      <c r="A105" s="888">
        <v>22.2</v>
      </c>
      <c r="B105">
        <v>3</v>
      </c>
      <c r="C105" s="157"/>
    </row>
    <row r="106" spans="1:4" x14ac:dyDescent="0.2">
      <c r="A106" s="888">
        <v>33</v>
      </c>
      <c r="B106">
        <v>4</v>
      </c>
      <c r="C106" s="157"/>
    </row>
    <row r="107" spans="1:4" x14ac:dyDescent="0.2">
      <c r="A107" s="888">
        <v>39.200000000000003</v>
      </c>
      <c r="B107">
        <v>6</v>
      </c>
      <c r="C107" s="157"/>
    </row>
    <row r="108" spans="1:4" x14ac:dyDescent="0.2">
      <c r="A108" s="888">
        <v>53.5</v>
      </c>
      <c r="B108">
        <v>8</v>
      </c>
      <c r="C108" s="157"/>
    </row>
    <row r="110" spans="1:4" x14ac:dyDescent="0.2">
      <c r="A110" t="s">
        <v>5048</v>
      </c>
      <c r="B110" s="3" t="s">
        <v>5049</v>
      </c>
      <c r="C110">
        <v>50</v>
      </c>
      <c r="D110" t="s">
        <v>3587</v>
      </c>
    </row>
    <row r="113" spans="1:5" x14ac:dyDescent="0.2">
      <c r="A113" t="s">
        <v>5050</v>
      </c>
      <c r="B113" s="3" t="s">
        <v>5051</v>
      </c>
      <c r="C113">
        <v>200</v>
      </c>
      <c r="D113" t="s">
        <v>1074</v>
      </c>
    </row>
    <row r="116" spans="1:5" x14ac:dyDescent="0.2">
      <c r="A116" t="s">
        <v>5052</v>
      </c>
      <c r="B116" s="3" t="s">
        <v>5053</v>
      </c>
      <c r="C116">
        <v>113.32</v>
      </c>
      <c r="D116" t="s">
        <v>3587</v>
      </c>
    </row>
    <row r="119" spans="1:5" x14ac:dyDescent="0.2">
      <c r="A119" t="s">
        <v>5054</v>
      </c>
      <c r="B119" s="3" t="s">
        <v>5055</v>
      </c>
      <c r="C119">
        <v>6148</v>
      </c>
      <c r="D119" t="s">
        <v>1074</v>
      </c>
    </row>
    <row r="122" spans="1:5" x14ac:dyDescent="0.2">
      <c r="A122" t="s">
        <v>5056</v>
      </c>
      <c r="B122" s="3" t="s">
        <v>5057</v>
      </c>
      <c r="C122">
        <v>14</v>
      </c>
      <c r="D122" t="s">
        <v>3506</v>
      </c>
    </row>
    <row r="125" spans="1:5" x14ac:dyDescent="0.2">
      <c r="A125" t="s">
        <v>5058</v>
      </c>
      <c r="B125" s="3" t="s">
        <v>5059</v>
      </c>
      <c r="C125">
        <v>1.5</v>
      </c>
      <c r="D125" t="s">
        <v>3506</v>
      </c>
    </row>
    <row r="128" spans="1:5" x14ac:dyDescent="0.2">
      <c r="A128" s="1" t="s">
        <v>5060</v>
      </c>
      <c r="B128" s="694"/>
      <c r="C128" s="694"/>
      <c r="D128" s="694"/>
      <c r="E128" s="694"/>
    </row>
    <row r="129" spans="1:5" x14ac:dyDescent="0.2">
      <c r="A129" t="s">
        <v>5061</v>
      </c>
      <c r="B129" t="s">
        <v>4964</v>
      </c>
      <c r="C129" t="s">
        <v>5062</v>
      </c>
      <c r="D129" t="s">
        <v>5063</v>
      </c>
      <c r="E129" t="s">
        <v>5064</v>
      </c>
    </row>
    <row r="130" spans="1:5" x14ac:dyDescent="0.2">
      <c r="A130" s="976">
        <v>0</v>
      </c>
      <c r="B130" t="s">
        <v>5025</v>
      </c>
      <c r="C130" s="976">
        <v>0</v>
      </c>
      <c r="D130" s="982">
        <v>2.5000000000000001E-2</v>
      </c>
      <c r="E130" s="976">
        <v>0</v>
      </c>
    </row>
    <row r="131" spans="1:5" x14ac:dyDescent="0.2">
      <c r="A131" s="976">
        <v>100000</v>
      </c>
      <c r="B131" t="s">
        <v>5065</v>
      </c>
      <c r="C131" s="976">
        <v>2500</v>
      </c>
      <c r="D131" s="982">
        <v>1.4999999999999999E-2</v>
      </c>
      <c r="E131" s="976">
        <v>100000</v>
      </c>
    </row>
    <row r="132" spans="1:5" x14ac:dyDescent="0.2">
      <c r="A132" s="976">
        <v>500000</v>
      </c>
      <c r="B132" t="s">
        <v>5066</v>
      </c>
      <c r="C132" s="976">
        <v>8500</v>
      </c>
      <c r="D132" s="982">
        <v>0.01</v>
      </c>
      <c r="E132" s="976">
        <v>500000</v>
      </c>
    </row>
    <row r="133" spans="1:5" x14ac:dyDescent="0.2">
      <c r="A133" s="976">
        <v>2500000</v>
      </c>
      <c r="B133" t="s">
        <v>5067</v>
      </c>
      <c r="C133" s="976">
        <v>28500</v>
      </c>
      <c r="D133" s="982">
        <v>7.4999999999999997E-3</v>
      </c>
      <c r="E133" s="976">
        <v>2500000</v>
      </c>
    </row>
    <row r="134" spans="1:5" x14ac:dyDescent="0.2">
      <c r="A134" s="976">
        <v>5000000</v>
      </c>
      <c r="B134" t="s">
        <v>5068</v>
      </c>
      <c r="C134" s="976">
        <v>47250</v>
      </c>
      <c r="D134" s="982">
        <v>7.0000000000000001E-3</v>
      </c>
      <c r="E134" s="976">
        <v>5000000</v>
      </c>
    </row>
    <row r="135" spans="1:5" x14ac:dyDescent="0.2">
      <c r="A135" s="976">
        <v>7500000</v>
      </c>
      <c r="B135" t="s">
        <v>5069</v>
      </c>
      <c r="C135" s="976">
        <v>64750</v>
      </c>
      <c r="D135" s="982">
        <v>6.0000000000000001E-3</v>
      </c>
      <c r="E135" s="976">
        <v>7500000</v>
      </c>
    </row>
    <row r="138" spans="1:5" x14ac:dyDescent="0.2">
      <c r="A138" s="1" t="s">
        <v>5070</v>
      </c>
      <c r="B138" s="694"/>
      <c r="C138" s="694"/>
      <c r="D138" s="694"/>
      <c r="E138" s="694"/>
    </row>
    <row r="139" spans="1:5" x14ac:dyDescent="0.2">
      <c r="A139" s="1" t="s">
        <v>5071</v>
      </c>
      <c r="B139" s="694"/>
      <c r="C139" s="694"/>
      <c r="D139" s="694"/>
      <c r="E139" s="694"/>
    </row>
    <row r="140" spans="1:5" x14ac:dyDescent="0.2">
      <c r="A140" t="s">
        <v>5072</v>
      </c>
      <c r="B140" t="s">
        <v>5046</v>
      </c>
      <c r="C140" s="694"/>
    </row>
    <row r="141" spans="1:5" x14ac:dyDescent="0.2">
      <c r="A141">
        <v>0</v>
      </c>
      <c r="B141">
        <v>0.5</v>
      </c>
    </row>
    <row r="142" spans="1:5" x14ac:dyDescent="0.2">
      <c r="A142">
        <v>2.1</v>
      </c>
      <c r="B142">
        <v>0.75</v>
      </c>
    </row>
    <row r="143" spans="1:5" x14ac:dyDescent="0.2">
      <c r="A143">
        <v>4.0999999999999996</v>
      </c>
      <c r="B143">
        <v>1</v>
      </c>
    </row>
    <row r="144" spans="1:5" x14ac:dyDescent="0.2">
      <c r="A144">
        <v>7.1</v>
      </c>
      <c r="B144">
        <v>1.5</v>
      </c>
    </row>
    <row r="145" spans="1:2" x14ac:dyDescent="0.2">
      <c r="A145">
        <v>21.1</v>
      </c>
      <c r="B145">
        <v>2</v>
      </c>
    </row>
    <row r="146" spans="1:2" x14ac:dyDescent="0.2">
      <c r="A146">
        <v>41.1</v>
      </c>
      <c r="B146">
        <v>2.5</v>
      </c>
    </row>
    <row r="147" spans="1:2" x14ac:dyDescent="0.2">
      <c r="A147">
        <v>66.099999999999994</v>
      </c>
      <c r="B147">
        <v>3</v>
      </c>
    </row>
    <row r="148" spans="1:2" x14ac:dyDescent="0.2">
      <c r="A148">
        <v>116.1</v>
      </c>
      <c r="B148">
        <v>4</v>
      </c>
    </row>
    <row r="149" spans="1:2" x14ac:dyDescent="0.2">
      <c r="A149">
        <v>238.1</v>
      </c>
      <c r="B149">
        <v>6</v>
      </c>
    </row>
    <row r="150" spans="1:2" x14ac:dyDescent="0.2">
      <c r="A150">
        <v>697.1</v>
      </c>
      <c r="B150">
        <v>8</v>
      </c>
    </row>
    <row r="151" spans="1:2" x14ac:dyDescent="0.2">
      <c r="A151">
        <v>1435.1</v>
      </c>
      <c r="B151">
        <v>10</v>
      </c>
    </row>
    <row r="152" spans="1:2" x14ac:dyDescent="0.2">
      <c r="A152">
        <v>2608.1</v>
      </c>
      <c r="B152">
        <v>12</v>
      </c>
    </row>
    <row r="153" spans="1:2" x14ac:dyDescent="0.2">
      <c r="A153">
        <v>4132.1000000000004</v>
      </c>
      <c r="B153">
        <v>14</v>
      </c>
    </row>
    <row r="154" spans="1:2" x14ac:dyDescent="0.2">
      <c r="A154">
        <v>5299.1</v>
      </c>
      <c r="B154">
        <v>16</v>
      </c>
    </row>
    <row r="155" spans="1:2" x14ac:dyDescent="0.2">
      <c r="A155">
        <v>7528.1</v>
      </c>
      <c r="B155">
        <v>18</v>
      </c>
    </row>
    <row r="156" spans="1:2" x14ac:dyDescent="0.2">
      <c r="A156">
        <v>10265.1</v>
      </c>
      <c r="B156">
        <v>20</v>
      </c>
    </row>
    <row r="157" spans="1:2" x14ac:dyDescent="0.2">
      <c r="A157">
        <v>13643.1</v>
      </c>
      <c r="B157">
        <v>24</v>
      </c>
    </row>
    <row r="158" spans="1:2" x14ac:dyDescent="0.2">
      <c r="A158">
        <v>22174.1</v>
      </c>
      <c r="B158">
        <v>30</v>
      </c>
    </row>
    <row r="159" spans="1:2" x14ac:dyDescent="0.2">
      <c r="A159">
        <v>50561.1</v>
      </c>
      <c r="B159">
        <v>36</v>
      </c>
    </row>
    <row r="160" spans="1:2" x14ac:dyDescent="0.2">
      <c r="A160">
        <v>81777.100000000006</v>
      </c>
      <c r="B160">
        <v>42</v>
      </c>
    </row>
    <row r="161" spans="1:15" x14ac:dyDescent="0.2">
      <c r="A161">
        <v>122025.1</v>
      </c>
      <c r="B161">
        <v>48</v>
      </c>
    </row>
    <row r="164" spans="1:15" x14ac:dyDescent="0.2">
      <c r="A164" s="1" t="s">
        <v>5073</v>
      </c>
      <c r="O164" s="694"/>
    </row>
    <row r="165" spans="1:15" x14ac:dyDescent="0.2">
      <c r="A165" t="s">
        <v>5074</v>
      </c>
      <c r="B165" t="s">
        <v>5075</v>
      </c>
      <c r="C165" t="s">
        <v>4980</v>
      </c>
      <c r="D165" t="s">
        <v>4981</v>
      </c>
      <c r="O165" s="694"/>
    </row>
    <row r="166" spans="1:15" x14ac:dyDescent="0.2">
      <c r="A166">
        <v>0</v>
      </c>
      <c r="B166">
        <v>350</v>
      </c>
      <c r="C166">
        <v>2.5</v>
      </c>
      <c r="D166">
        <v>2.5</v>
      </c>
      <c r="O166" s="694"/>
    </row>
    <row r="167" spans="1:15" x14ac:dyDescent="0.2">
      <c r="A167">
        <v>351</v>
      </c>
      <c r="B167">
        <v>1740</v>
      </c>
      <c r="C167">
        <v>3.75</v>
      </c>
      <c r="D167">
        <v>3.75</v>
      </c>
      <c r="O167" s="694"/>
    </row>
    <row r="168" spans="1:15" x14ac:dyDescent="0.2">
      <c r="A168">
        <v>1741</v>
      </c>
      <c r="B168">
        <v>7000</v>
      </c>
      <c r="C168">
        <v>5</v>
      </c>
      <c r="D168">
        <v>5</v>
      </c>
      <c r="O168" s="694"/>
    </row>
    <row r="169" spans="1:15" x14ac:dyDescent="0.2">
      <c r="A169">
        <v>7001</v>
      </c>
      <c r="B169">
        <v>35000</v>
      </c>
      <c r="C169" s="9">
        <v>7.083333333333333</v>
      </c>
      <c r="D169" s="9">
        <v>7.083333333333333</v>
      </c>
      <c r="O169" s="694"/>
    </row>
    <row r="172" spans="1:15" x14ac:dyDescent="0.2">
      <c r="A172" s="2" t="s">
        <v>5076</v>
      </c>
      <c r="B172" s="2" t="s">
        <v>5077</v>
      </c>
      <c r="C172" s="2" t="s">
        <v>5078</v>
      </c>
    </row>
    <row r="173" spans="1:15" x14ac:dyDescent="0.2">
      <c r="A173" s="694" t="s">
        <v>5079</v>
      </c>
      <c r="B173" s="983" t="s">
        <v>5080</v>
      </c>
      <c r="C173" s="694" t="s">
        <v>5081</v>
      </c>
    </row>
    <row r="174" spans="1:15" x14ac:dyDescent="0.2">
      <c r="A174" s="694" t="s">
        <v>4927</v>
      </c>
      <c r="B174" s="983" t="s">
        <v>5082</v>
      </c>
      <c r="C174" s="694" t="s">
        <v>5083</v>
      </c>
    </row>
    <row r="175" spans="1:15" x14ac:dyDescent="0.2">
      <c r="A175" s="694" t="s">
        <v>4926</v>
      </c>
      <c r="B175" s="983" t="s">
        <v>5082</v>
      </c>
      <c r="C175" s="694" t="s">
        <v>5083</v>
      </c>
    </row>
    <row r="176" spans="1:15" x14ac:dyDescent="0.2">
      <c r="A176" s="694" t="s">
        <v>4929</v>
      </c>
      <c r="B176" s="983" t="s">
        <v>5082</v>
      </c>
      <c r="C176" s="694" t="s">
        <v>5083</v>
      </c>
    </row>
    <row r="177" spans="1:3" x14ac:dyDescent="0.2">
      <c r="A177" s="694" t="s">
        <v>4928</v>
      </c>
      <c r="B177" s="983" t="s">
        <v>5082</v>
      </c>
      <c r="C177" s="694" t="s">
        <v>5083</v>
      </c>
    </row>
    <row r="178" spans="1:3" x14ac:dyDescent="0.2">
      <c r="A178" t="s">
        <v>5084</v>
      </c>
      <c r="B178" s="983" t="s">
        <v>5082</v>
      </c>
      <c r="C178" s="694" t="s">
        <v>5083</v>
      </c>
    </row>
    <row r="179" spans="1:3" x14ac:dyDescent="0.2">
      <c r="A179" s="694" t="s">
        <v>4933</v>
      </c>
      <c r="B179" s="983" t="s">
        <v>5085</v>
      </c>
      <c r="C179" s="694" t="s">
        <v>5086</v>
      </c>
    </row>
    <row r="180" spans="1:3" x14ac:dyDescent="0.2">
      <c r="A180" s="694" t="s">
        <v>472</v>
      </c>
      <c r="B180" s="983" t="s">
        <v>5087</v>
      </c>
      <c r="C180" s="694" t="s">
        <v>5088</v>
      </c>
    </row>
    <row r="181" spans="1:3" x14ac:dyDescent="0.2">
      <c r="A181" s="694" t="s">
        <v>5089</v>
      </c>
      <c r="B181" s="983" t="s">
        <v>5090</v>
      </c>
      <c r="C181" s="694" t="s">
        <v>5091</v>
      </c>
    </row>
    <row r="182" spans="1:3" x14ac:dyDescent="0.2">
      <c r="A182" s="694" t="s">
        <v>5092</v>
      </c>
      <c r="B182" s="983" t="s">
        <v>5093</v>
      </c>
      <c r="C182" s="694" t="s">
        <v>5094</v>
      </c>
    </row>
    <row r="183" spans="1:3" x14ac:dyDescent="0.2">
      <c r="A183" s="694" t="s">
        <v>5095</v>
      </c>
      <c r="B183" s="983" t="s">
        <v>5096</v>
      </c>
      <c r="C183" s="694" t="s">
        <v>5047</v>
      </c>
    </row>
    <row r="184" spans="1:3" x14ac:dyDescent="0.2">
      <c r="A184" s="694" t="s">
        <v>5097</v>
      </c>
      <c r="B184" s="983" t="s">
        <v>5096</v>
      </c>
      <c r="C184" s="694" t="s">
        <v>5047</v>
      </c>
    </row>
    <row r="185" spans="1:3" x14ac:dyDescent="0.2">
      <c r="A185" s="694" t="s">
        <v>5098</v>
      </c>
      <c r="B185" t="s">
        <v>5099</v>
      </c>
      <c r="C185" s="694" t="s">
        <v>5098</v>
      </c>
    </row>
    <row r="186" spans="1:3" x14ac:dyDescent="0.2">
      <c r="A186" s="694" t="s">
        <v>5100</v>
      </c>
      <c r="B186" s="983" t="s">
        <v>5101</v>
      </c>
      <c r="C186" s="694" t="s">
        <v>5102</v>
      </c>
    </row>
    <row r="187" spans="1:3" x14ac:dyDescent="0.2">
      <c r="A187" s="694" t="s">
        <v>4932</v>
      </c>
      <c r="B187" s="983" t="s">
        <v>5101</v>
      </c>
      <c r="C187" s="694" t="s">
        <v>5102</v>
      </c>
    </row>
    <row r="188" spans="1:3" x14ac:dyDescent="0.2">
      <c r="A188" s="694" t="s">
        <v>5089</v>
      </c>
      <c r="B188" s="983" t="s">
        <v>5103</v>
      </c>
      <c r="C188" s="694" t="s">
        <v>5104</v>
      </c>
    </row>
    <row r="189" spans="1:3" x14ac:dyDescent="0.2">
      <c r="A189" s="694" t="s">
        <v>5105</v>
      </c>
      <c r="B189" s="983" t="s">
        <v>5106</v>
      </c>
      <c r="C189" s="694" t="s">
        <v>5107</v>
      </c>
    </row>
    <row r="190" spans="1:3" x14ac:dyDescent="0.2">
      <c r="A190" s="694" t="s">
        <v>5108</v>
      </c>
      <c r="B190" t="s">
        <v>5109</v>
      </c>
      <c r="C190" s="694" t="s">
        <v>5108</v>
      </c>
    </row>
    <row r="191" spans="1:3" x14ac:dyDescent="0.2">
      <c r="A191" s="694" t="s">
        <v>271</v>
      </c>
      <c r="B191" t="s">
        <v>5110</v>
      </c>
      <c r="C191" s="694" t="s">
        <v>5111</v>
      </c>
    </row>
    <row r="192" spans="1:3" x14ac:dyDescent="0.2">
      <c r="A192" s="694" t="s">
        <v>5089</v>
      </c>
      <c r="B192" s="983" t="s">
        <v>5112</v>
      </c>
      <c r="C192" s="694" t="s">
        <v>4489</v>
      </c>
    </row>
    <row r="193" spans="1:3" x14ac:dyDescent="0.2">
      <c r="A193" s="694" t="s">
        <v>4914</v>
      </c>
      <c r="B193" s="983" t="s">
        <v>5113</v>
      </c>
      <c r="C193" s="694" t="s">
        <v>5114</v>
      </c>
    </row>
    <row r="194" spans="1:3" x14ac:dyDescent="0.2">
      <c r="A194" s="694" t="s">
        <v>4915</v>
      </c>
      <c r="B194" s="983" t="s">
        <v>5113</v>
      </c>
      <c r="C194" s="694" t="s">
        <v>5114</v>
      </c>
    </row>
    <row r="195" spans="1:3" x14ac:dyDescent="0.2">
      <c r="A195" s="694" t="s">
        <v>4913</v>
      </c>
      <c r="B195" s="983" t="s">
        <v>5113</v>
      </c>
      <c r="C195" s="694" t="s">
        <v>5114</v>
      </c>
    </row>
    <row r="196" spans="1:3" x14ac:dyDescent="0.2">
      <c r="A196" s="694" t="s">
        <v>5115</v>
      </c>
      <c r="B196" s="983" t="s">
        <v>5113</v>
      </c>
      <c r="C196" s="694" t="s">
        <v>5114</v>
      </c>
    </row>
    <row r="197" spans="1:3" x14ac:dyDescent="0.2">
      <c r="A197" s="694" t="s">
        <v>5116</v>
      </c>
      <c r="B197" s="983" t="s">
        <v>5113</v>
      </c>
      <c r="C197" s="694" t="s">
        <v>5114</v>
      </c>
    </row>
    <row r="198" spans="1:3" x14ac:dyDescent="0.2">
      <c r="A198" s="694" t="s">
        <v>5117</v>
      </c>
      <c r="B198" s="983" t="s">
        <v>5118</v>
      </c>
      <c r="C198" s="694" t="s">
        <v>5119</v>
      </c>
    </row>
    <row r="199" spans="1:3" x14ac:dyDescent="0.2">
      <c r="A199" s="694" t="s">
        <v>5120</v>
      </c>
      <c r="B199" s="983" t="s">
        <v>5121</v>
      </c>
      <c r="C199" s="694" t="s">
        <v>5122</v>
      </c>
    </row>
    <row r="200" spans="1:3" x14ac:dyDescent="0.2">
      <c r="A200" s="694" t="s">
        <v>4919</v>
      </c>
      <c r="B200" s="983" t="s">
        <v>5121</v>
      </c>
      <c r="C200" s="694" t="s">
        <v>5122</v>
      </c>
    </row>
    <row r="201" spans="1:3" x14ac:dyDescent="0.2">
      <c r="A201" s="694" t="s">
        <v>5089</v>
      </c>
      <c r="B201" s="983" t="s">
        <v>5123</v>
      </c>
      <c r="C201" s="694" t="s">
        <v>5124</v>
      </c>
    </row>
    <row r="202" spans="1:3" x14ac:dyDescent="0.2">
      <c r="A202" s="694" t="s">
        <v>5125</v>
      </c>
      <c r="B202" s="983" t="s">
        <v>5126</v>
      </c>
      <c r="C202" s="694" t="s">
        <v>5127</v>
      </c>
    </row>
    <row r="203" spans="1:3" x14ac:dyDescent="0.2">
      <c r="A203" s="694" t="s">
        <v>5089</v>
      </c>
      <c r="B203" s="983" t="s">
        <v>5128</v>
      </c>
      <c r="C203" s="694" t="s">
        <v>5129</v>
      </c>
    </row>
    <row r="204" spans="1:3" x14ac:dyDescent="0.2">
      <c r="A204" s="694" t="s">
        <v>5130</v>
      </c>
      <c r="B204" s="983" t="s">
        <v>5131</v>
      </c>
      <c r="C204" s="694" t="s">
        <v>5130</v>
      </c>
    </row>
    <row r="205" spans="1:3" x14ac:dyDescent="0.2">
      <c r="A205" s="694" t="s">
        <v>5132</v>
      </c>
      <c r="B205" s="983" t="s">
        <v>5133</v>
      </c>
      <c r="C205" s="694" t="s">
        <v>5134</v>
      </c>
    </row>
    <row r="206" spans="1:3" x14ac:dyDescent="0.2">
      <c r="A206" s="694" t="s">
        <v>4916</v>
      </c>
      <c r="B206" s="983" t="s">
        <v>5135</v>
      </c>
      <c r="C206" s="694" t="s">
        <v>5136</v>
      </c>
    </row>
    <row r="207" spans="1:3" x14ac:dyDescent="0.2">
      <c r="A207" s="694" t="s">
        <v>5089</v>
      </c>
      <c r="B207" s="983" t="s">
        <v>5137</v>
      </c>
      <c r="C207" s="694" t="s">
        <v>5138</v>
      </c>
    </row>
    <row r="208" spans="1:3" x14ac:dyDescent="0.2">
      <c r="A208" s="694" t="s">
        <v>5089</v>
      </c>
      <c r="B208" s="983" t="s">
        <v>5139</v>
      </c>
      <c r="C208" s="694" t="s">
        <v>5140</v>
      </c>
    </row>
    <row r="209" spans="1:5" x14ac:dyDescent="0.2">
      <c r="A209" s="694" t="s">
        <v>4924</v>
      </c>
      <c r="B209" s="983" t="s">
        <v>5141</v>
      </c>
      <c r="C209" s="694" t="s">
        <v>5142</v>
      </c>
    </row>
    <row r="210" spans="1:5" x14ac:dyDescent="0.2">
      <c r="A210" s="694" t="s">
        <v>5143</v>
      </c>
      <c r="B210" s="983" t="s">
        <v>5144</v>
      </c>
      <c r="C210" s="694" t="s">
        <v>5145</v>
      </c>
    </row>
    <row r="211" spans="1:5" x14ac:dyDescent="0.2">
      <c r="A211" s="694" t="s">
        <v>5089</v>
      </c>
      <c r="B211" s="983" t="s">
        <v>5146</v>
      </c>
      <c r="C211" s="694" t="s">
        <v>5147</v>
      </c>
    </row>
    <row r="214" spans="1:5" x14ac:dyDescent="0.2">
      <c r="A214" s="1" t="s">
        <v>5148</v>
      </c>
      <c r="B214" s="694"/>
      <c r="C214" s="694"/>
      <c r="D214" s="694"/>
      <c r="E214" s="694"/>
    </row>
    <row r="215" spans="1:5" x14ac:dyDescent="0.2">
      <c r="A215" t="s">
        <v>5149</v>
      </c>
      <c r="B215" s="288" t="s">
        <v>5150</v>
      </c>
      <c r="C215" s="7" t="s">
        <v>5151</v>
      </c>
    </row>
    <row r="216" spans="1:5" x14ac:dyDescent="0.2">
      <c r="A216" s="984" t="s">
        <v>5152</v>
      </c>
      <c r="B216" s="984" t="s">
        <v>4492</v>
      </c>
      <c r="C216" s="984" t="s">
        <v>5153</v>
      </c>
    </row>
    <row r="217" spans="1:5" x14ac:dyDescent="0.2">
      <c r="A217" s="985">
        <v>0</v>
      </c>
      <c r="B217" s="986">
        <v>347.63563037472028</v>
      </c>
      <c r="C217" s="985">
        <v>2</v>
      </c>
    </row>
    <row r="218" spans="1:5" x14ac:dyDescent="0.2">
      <c r="A218" s="985">
        <v>2.1</v>
      </c>
      <c r="B218" s="986">
        <v>681.91181843044774</v>
      </c>
      <c r="C218" s="985">
        <v>3</v>
      </c>
    </row>
    <row r="219" spans="1:5" x14ac:dyDescent="0.2">
      <c r="A219" s="985">
        <v>3.1</v>
      </c>
      <c r="B219" s="986">
        <v>1260.0087440508869</v>
      </c>
      <c r="C219" s="985">
        <v>4</v>
      </c>
    </row>
    <row r="220" spans="1:5" x14ac:dyDescent="0.2">
      <c r="A220" s="985">
        <v>4.0999999999999996</v>
      </c>
      <c r="B220" s="986">
        <v>2835.0196741144964</v>
      </c>
      <c r="C220" s="985">
        <v>6</v>
      </c>
    </row>
    <row r="221" spans="1:5" x14ac:dyDescent="0.2">
      <c r="A221" s="985">
        <v>6.1</v>
      </c>
      <c r="B221" s="986">
        <v>4990.7439767005962</v>
      </c>
      <c r="C221" s="985">
        <v>8</v>
      </c>
    </row>
    <row r="222" spans="1:5" x14ac:dyDescent="0.2">
      <c r="A222" s="985">
        <v>8.1</v>
      </c>
      <c r="B222" s="986">
        <v>7813.4106239126322</v>
      </c>
      <c r="C222" s="985">
        <v>10</v>
      </c>
    </row>
    <row r="223" spans="1:5" x14ac:dyDescent="0.2">
      <c r="A223" s="985">
        <v>10.1</v>
      </c>
      <c r="B223" s="986">
        <v>11192.326806056015</v>
      </c>
      <c r="C223" s="985">
        <v>12</v>
      </c>
    </row>
    <row r="224" spans="1:5" x14ac:dyDescent="0.2">
      <c r="A224" s="985">
        <v>12.1</v>
      </c>
      <c r="B224" s="986">
        <v>15314.284822868764</v>
      </c>
      <c r="C224" s="985">
        <v>14</v>
      </c>
    </row>
    <row r="225" spans="1:5" x14ac:dyDescent="0.2">
      <c r="A225" s="985">
        <v>14.1</v>
      </c>
      <c r="B225" s="986">
        <v>20002.331197216343</v>
      </c>
      <c r="C225" s="985">
        <v>16</v>
      </c>
    </row>
    <row r="226" spans="1:5" x14ac:dyDescent="0.2">
      <c r="A226" s="985">
        <v>16.100000000000001</v>
      </c>
      <c r="B226" s="986">
        <v>25315.450421476933</v>
      </c>
      <c r="C226" s="985">
        <v>18</v>
      </c>
    </row>
    <row r="227" spans="1:5" x14ac:dyDescent="0.2">
      <c r="A227" s="985">
        <v>18.100000000000001</v>
      </c>
      <c r="B227" s="986">
        <v>31130.717767160371</v>
      </c>
      <c r="C227" s="985">
        <v>20</v>
      </c>
    </row>
    <row r="228" spans="1:5" x14ac:dyDescent="0.2">
      <c r="A228" s="985">
        <v>20.100000000000001</v>
      </c>
      <c r="B228" s="986">
        <v>45064.326572600447</v>
      </c>
      <c r="C228" s="985">
        <v>24</v>
      </c>
    </row>
    <row r="229" spans="1:5" x14ac:dyDescent="0.2">
      <c r="A229" s="985">
        <v>24.1</v>
      </c>
      <c r="B229" s="986">
        <v>61050.596681665913</v>
      </c>
      <c r="C229" s="985">
        <v>28</v>
      </c>
    </row>
    <row r="230" spans="1:5" x14ac:dyDescent="0.2">
      <c r="A230" s="985">
        <v>28.1</v>
      </c>
      <c r="B230" s="986">
        <v>70505.385478216151</v>
      </c>
      <c r="C230" s="985">
        <v>30</v>
      </c>
    </row>
    <row r="231" spans="1:5" x14ac:dyDescent="0.2">
      <c r="A231" s="985">
        <v>30.1</v>
      </c>
      <c r="B231" s="986">
        <v>124768.59941751491</v>
      </c>
      <c r="C231" s="985">
        <v>40</v>
      </c>
    </row>
    <row r="232" spans="1:5" x14ac:dyDescent="0.2">
      <c r="A232" s="985">
        <v>40.1</v>
      </c>
      <c r="B232" s="986">
        <v>137828.56340581886</v>
      </c>
      <c r="C232" s="985">
        <v>42</v>
      </c>
    </row>
    <row r="233" spans="1:5" x14ac:dyDescent="0.2">
      <c r="A233" s="985">
        <v>42.1</v>
      </c>
      <c r="B233" s="986">
        <v>180257.30629040179</v>
      </c>
      <c r="C233" s="985">
        <v>48</v>
      </c>
    </row>
    <row r="236" spans="1:5" x14ac:dyDescent="0.2">
      <c r="A236" s="1" t="s">
        <v>5154</v>
      </c>
      <c r="B236" s="694"/>
      <c r="C236" s="694"/>
      <c r="D236" s="694"/>
      <c r="E236" s="694"/>
    </row>
    <row r="237" spans="1:5" x14ac:dyDescent="0.2">
      <c r="A237" s="694" t="s">
        <v>5155</v>
      </c>
    </row>
    <row r="238" spans="1:5" x14ac:dyDescent="0.2">
      <c r="A238" t="s">
        <v>5156</v>
      </c>
    </row>
    <row r="239" spans="1:5" x14ac:dyDescent="0.2">
      <c r="A239" s="16" t="s">
        <v>2460</v>
      </c>
      <c r="B239" s="16" t="s">
        <v>5157</v>
      </c>
      <c r="C239" s="16" t="s">
        <v>5158</v>
      </c>
    </row>
    <row r="240" spans="1:5" x14ac:dyDescent="0.2">
      <c r="A240" s="16" t="s">
        <v>3506</v>
      </c>
      <c r="B240" s="16" t="s">
        <v>3506</v>
      </c>
      <c r="C240" s="16" t="s">
        <v>3506</v>
      </c>
    </row>
    <row r="241" spans="1:3" x14ac:dyDescent="0.2">
      <c r="A241">
        <v>1.5</v>
      </c>
      <c r="B241">
        <v>3</v>
      </c>
      <c r="C241">
        <v>6</v>
      </c>
    </row>
    <row r="242" spans="1:3" x14ac:dyDescent="0.2">
      <c r="A242">
        <v>2</v>
      </c>
      <c r="B242">
        <v>3.5</v>
      </c>
      <c r="C242">
        <v>7.5</v>
      </c>
    </row>
    <row r="243" spans="1:3" x14ac:dyDescent="0.2">
      <c r="A243">
        <v>2.5</v>
      </c>
      <c r="B243">
        <v>4</v>
      </c>
      <c r="C243">
        <v>9</v>
      </c>
    </row>
    <row r="244" spans="1:3" x14ac:dyDescent="0.2">
      <c r="A244">
        <v>3</v>
      </c>
      <c r="B244">
        <v>4</v>
      </c>
      <c r="C244">
        <v>10</v>
      </c>
    </row>
    <row r="245" spans="1:3" x14ac:dyDescent="0.2">
      <c r="A245">
        <v>3.5</v>
      </c>
      <c r="B245">
        <v>4.5</v>
      </c>
      <c r="C245">
        <v>10</v>
      </c>
    </row>
    <row r="246" spans="1:3" x14ac:dyDescent="0.2">
      <c r="A246">
        <v>4</v>
      </c>
      <c r="B246">
        <v>4.5</v>
      </c>
      <c r="C246">
        <v>12</v>
      </c>
    </row>
    <row r="247" spans="1:3" x14ac:dyDescent="0.2">
      <c r="A247">
        <v>4.5</v>
      </c>
      <c r="B247">
        <v>4.5</v>
      </c>
      <c r="C247">
        <v>15</v>
      </c>
    </row>
    <row r="248" spans="1:3" x14ac:dyDescent="0.2">
      <c r="A248">
        <v>5</v>
      </c>
      <c r="B248">
        <v>4.5</v>
      </c>
      <c r="C248">
        <v>15</v>
      </c>
    </row>
    <row r="249" spans="1:3" x14ac:dyDescent="0.2">
      <c r="A249">
        <v>5.5</v>
      </c>
      <c r="B249">
        <v>4.5</v>
      </c>
      <c r="C249">
        <v>15</v>
      </c>
    </row>
    <row r="250" spans="1:3" x14ac:dyDescent="0.2">
      <c r="A250">
        <v>6</v>
      </c>
      <c r="B250">
        <v>4.5</v>
      </c>
      <c r="C250">
        <v>18</v>
      </c>
    </row>
    <row r="251" spans="1:3" x14ac:dyDescent="0.2">
      <c r="A251">
        <v>6.5</v>
      </c>
      <c r="B251">
        <v>5.5</v>
      </c>
      <c r="C251">
        <v>18</v>
      </c>
    </row>
    <row r="252" spans="1:3" x14ac:dyDescent="0.2">
      <c r="A252">
        <v>7</v>
      </c>
      <c r="B252">
        <v>5.5</v>
      </c>
      <c r="C252">
        <v>18</v>
      </c>
    </row>
    <row r="253" spans="1:3" x14ac:dyDescent="0.2">
      <c r="A253">
        <v>7.5</v>
      </c>
      <c r="B253">
        <v>6</v>
      </c>
      <c r="C253">
        <v>18</v>
      </c>
    </row>
    <row r="254" spans="1:3" x14ac:dyDescent="0.2">
      <c r="A254">
        <v>8</v>
      </c>
      <c r="B254">
        <v>6</v>
      </c>
      <c r="C254">
        <v>20</v>
      </c>
    </row>
    <row r="255" spans="1:3" x14ac:dyDescent="0.2">
      <c r="A255">
        <v>8.5</v>
      </c>
      <c r="B255">
        <v>6</v>
      </c>
      <c r="C255">
        <v>20</v>
      </c>
    </row>
    <row r="256" spans="1:3" x14ac:dyDescent="0.2">
      <c r="A256">
        <v>9</v>
      </c>
      <c r="B256">
        <v>6</v>
      </c>
      <c r="C256">
        <v>20</v>
      </c>
    </row>
    <row r="257" spans="1:3" x14ac:dyDescent="0.2">
      <c r="A257">
        <v>9.5</v>
      </c>
      <c r="B257">
        <v>6</v>
      </c>
      <c r="C257">
        <v>20</v>
      </c>
    </row>
    <row r="258" spans="1:3" x14ac:dyDescent="0.2">
      <c r="A258">
        <v>10</v>
      </c>
      <c r="B258">
        <v>6</v>
      </c>
      <c r="C258">
        <v>24</v>
      </c>
    </row>
    <row r="259" spans="1:3" x14ac:dyDescent="0.2">
      <c r="A259">
        <v>10.5</v>
      </c>
      <c r="B259">
        <v>6</v>
      </c>
      <c r="C259">
        <v>24</v>
      </c>
    </row>
    <row r="260" spans="1:3" x14ac:dyDescent="0.2">
      <c r="A260">
        <v>11</v>
      </c>
      <c r="B260">
        <v>6</v>
      </c>
      <c r="C260">
        <v>24</v>
      </c>
    </row>
    <row r="261" spans="1:3" x14ac:dyDescent="0.2">
      <c r="A261">
        <v>11.5</v>
      </c>
      <c r="B261">
        <v>6</v>
      </c>
      <c r="C261">
        <v>24</v>
      </c>
    </row>
    <row r="262" spans="1:3" x14ac:dyDescent="0.2">
      <c r="A262">
        <v>12</v>
      </c>
      <c r="B262">
        <v>6</v>
      </c>
      <c r="C262">
        <v>24</v>
      </c>
    </row>
    <row r="263" spans="1:3" x14ac:dyDescent="0.2">
      <c r="A263">
        <v>14</v>
      </c>
      <c r="B263">
        <v>6</v>
      </c>
      <c r="C263">
        <v>24</v>
      </c>
    </row>
  </sheetData>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dimension ref="A1:F51"/>
  <sheetViews>
    <sheetView workbookViewId="0">
      <pane ySplit="3" topLeftCell="A4" activePane="bottomLeft" state="frozen"/>
      <selection pane="bottomLeft"/>
    </sheetView>
  </sheetViews>
  <sheetFormatPr defaultRowHeight="12.75" x14ac:dyDescent="0.2"/>
  <cols>
    <col min="1" max="1" width="28.42578125" customWidth="1"/>
    <col min="2" max="2" width="24.28515625" customWidth="1"/>
    <col min="3" max="3" width="17.42578125" customWidth="1"/>
    <col min="4" max="4" width="12.5703125" customWidth="1"/>
    <col min="5" max="5" width="15.140625" customWidth="1"/>
    <col min="6" max="6" width="16.7109375" customWidth="1"/>
  </cols>
  <sheetData>
    <row r="1" spans="1:6" x14ac:dyDescent="0.2">
      <c r="A1" s="1" t="s">
        <v>3865</v>
      </c>
    </row>
    <row r="2" spans="1:6" x14ac:dyDescent="0.2">
      <c r="A2" s="725" t="s">
        <v>3866</v>
      </c>
    </row>
    <row r="3" spans="1:6" x14ac:dyDescent="0.2">
      <c r="A3" s="1"/>
    </row>
    <row r="4" spans="1:6" x14ac:dyDescent="0.2">
      <c r="A4" s="2" t="s">
        <v>3809</v>
      </c>
    </row>
    <row r="5" spans="1:6" x14ac:dyDescent="0.2">
      <c r="A5">
        <v>1</v>
      </c>
      <c r="B5" s="694" t="s">
        <v>3828</v>
      </c>
    </row>
    <row r="6" spans="1:6" x14ac:dyDescent="0.2">
      <c r="A6">
        <v>2</v>
      </c>
      <c r="B6" s="694" t="s">
        <v>3812</v>
      </c>
    </row>
    <row r="7" spans="1:6" x14ac:dyDescent="0.2">
      <c r="A7">
        <v>3</v>
      </c>
      <c r="B7" s="694" t="s">
        <v>3813</v>
      </c>
    </row>
    <row r="8" spans="1:6" x14ac:dyDescent="0.2">
      <c r="A8" s="2" t="s">
        <v>2612</v>
      </c>
      <c r="B8" s="5"/>
    </row>
    <row r="9" spans="1:6" x14ac:dyDescent="0.2">
      <c r="A9">
        <v>1</v>
      </c>
      <c r="B9" s="5" t="s">
        <v>1911</v>
      </c>
    </row>
    <row r="10" spans="1:6" x14ac:dyDescent="0.2">
      <c r="A10">
        <v>2</v>
      </c>
      <c r="B10" s="5" t="s">
        <v>1912</v>
      </c>
    </row>
    <row r="11" spans="1:6" x14ac:dyDescent="0.2">
      <c r="A11">
        <v>3</v>
      </c>
      <c r="B11" s="5" t="s">
        <v>1913</v>
      </c>
    </row>
    <row r="13" spans="1:6" x14ac:dyDescent="0.2">
      <c r="A13" s="3" t="s">
        <v>680</v>
      </c>
    </row>
    <row r="14" spans="1:6" x14ac:dyDescent="0.2">
      <c r="A14" s="67" t="s">
        <v>681</v>
      </c>
      <c r="B14" s="57"/>
      <c r="C14" s="505"/>
      <c r="D14" s="67"/>
      <c r="E14" s="67"/>
      <c r="F14" s="67"/>
    </row>
    <row r="15" spans="1:6" x14ac:dyDescent="0.2">
      <c r="A15" s="745" t="s">
        <v>682</v>
      </c>
      <c r="B15" s="745" t="s">
        <v>682</v>
      </c>
      <c r="C15" s="505" t="s">
        <v>683</v>
      </c>
      <c r="D15" s="505" t="s">
        <v>684</v>
      </c>
      <c r="E15" s="505" t="s">
        <v>685</v>
      </c>
      <c r="F15" s="505" t="s">
        <v>686</v>
      </c>
    </row>
    <row r="16" spans="1:6" x14ac:dyDescent="0.2">
      <c r="A16" s="746">
        <v>0</v>
      </c>
      <c r="B16" s="746">
        <v>2000</v>
      </c>
      <c r="C16" s="750">
        <v>1.2</v>
      </c>
      <c r="D16" s="747">
        <v>360</v>
      </c>
      <c r="E16" s="747">
        <v>97</v>
      </c>
      <c r="F16" s="747">
        <v>105</v>
      </c>
    </row>
    <row r="17" spans="1:6" x14ac:dyDescent="0.2">
      <c r="A17" s="746">
        <v>2001</v>
      </c>
      <c r="B17" s="746">
        <v>2750</v>
      </c>
      <c r="C17" s="750">
        <v>1.6</v>
      </c>
      <c r="D17" s="748">
        <v>368</v>
      </c>
      <c r="E17" s="748">
        <v>119</v>
      </c>
      <c r="F17" s="747">
        <v>107</v>
      </c>
    </row>
    <row r="18" spans="1:6" x14ac:dyDescent="0.2">
      <c r="A18" s="746">
        <v>2751</v>
      </c>
      <c r="B18" s="746">
        <v>3250</v>
      </c>
      <c r="C18" s="750">
        <v>2</v>
      </c>
      <c r="D18" s="748">
        <v>351</v>
      </c>
      <c r="E18" s="748">
        <v>134</v>
      </c>
      <c r="F18" s="747">
        <v>107</v>
      </c>
    </row>
    <row r="19" spans="1:6" x14ac:dyDescent="0.2">
      <c r="A19" s="746">
        <v>3251</v>
      </c>
      <c r="B19" s="746">
        <v>4250</v>
      </c>
      <c r="C19" s="750">
        <v>2.5</v>
      </c>
      <c r="D19" s="748">
        <v>395</v>
      </c>
      <c r="E19" s="748">
        <v>161</v>
      </c>
      <c r="F19" s="748">
        <v>114</v>
      </c>
    </row>
    <row r="20" spans="1:6" x14ac:dyDescent="0.2">
      <c r="A20" s="746">
        <v>4251</v>
      </c>
      <c r="B20" s="746">
        <v>5250</v>
      </c>
      <c r="C20" s="750">
        <v>3</v>
      </c>
      <c r="D20" s="748">
        <v>452</v>
      </c>
      <c r="E20" s="748">
        <v>180</v>
      </c>
      <c r="F20" s="748">
        <v>118</v>
      </c>
    </row>
    <row r="21" spans="1:6" x14ac:dyDescent="0.2">
      <c r="A21" s="746">
        <v>5251</v>
      </c>
      <c r="B21" s="746">
        <v>9999999</v>
      </c>
      <c r="C21" s="751" t="s">
        <v>687</v>
      </c>
      <c r="D21" s="749"/>
      <c r="E21" s="749"/>
      <c r="F21" s="749"/>
    </row>
    <row r="23" spans="1:6" x14ac:dyDescent="0.2">
      <c r="A23" s="3" t="s">
        <v>3816</v>
      </c>
    </row>
    <row r="24" spans="1:6" x14ac:dyDescent="0.2">
      <c r="A24" s="752" t="s">
        <v>3815</v>
      </c>
    </row>
    <row r="25" spans="1:6" x14ac:dyDescent="0.2">
      <c r="A25" s="753" t="str">
        <f>IF(contam=2,"","additional nitrogen required")</f>
        <v>additional nitrogen required</v>
      </c>
    </row>
    <row r="26" spans="1:6" x14ac:dyDescent="0.2">
      <c r="A26" s="753" t="s">
        <v>2404</v>
      </c>
    </row>
    <row r="27" spans="1:6" x14ac:dyDescent="0.2">
      <c r="A27" s="752" t="str">
        <f>IF(contam=2,"","both nitrogen and phosphorous required")</f>
        <v>both nitrogen and phosphorous required</v>
      </c>
    </row>
    <row r="28" spans="1:6" x14ac:dyDescent="0.2">
      <c r="A28" s="3" t="s">
        <v>3772</v>
      </c>
    </row>
    <row r="29" spans="1:6" x14ac:dyDescent="0.2">
      <c r="A29" s="753" t="s">
        <v>3771</v>
      </c>
    </row>
    <row r="30" spans="1:6" x14ac:dyDescent="0.2">
      <c r="A30" s="753" t="s">
        <v>3773</v>
      </c>
    </row>
    <row r="31" spans="1:6" x14ac:dyDescent="0.2">
      <c r="A31" s="753"/>
    </row>
    <row r="32" spans="1:6" x14ac:dyDescent="0.2">
      <c r="A32" s="3" t="s">
        <v>3774</v>
      </c>
    </row>
    <row r="33" spans="1:1" x14ac:dyDescent="0.2">
      <c r="A33" s="753" t="s">
        <v>3775</v>
      </c>
    </row>
    <row r="34" spans="1:1" x14ac:dyDescent="0.2">
      <c r="A34" s="753" t="s">
        <v>3776</v>
      </c>
    </row>
    <row r="35" spans="1:1" x14ac:dyDescent="0.2">
      <c r="A35" s="753"/>
    </row>
    <row r="36" spans="1:1" x14ac:dyDescent="0.2">
      <c r="A36" s="3" t="s">
        <v>3777</v>
      </c>
    </row>
    <row r="37" spans="1:1" x14ac:dyDescent="0.2">
      <c r="A37" s="753" t="s">
        <v>2496</v>
      </c>
    </row>
    <row r="38" spans="1:1" x14ac:dyDescent="0.2">
      <c r="A38" s="753" t="s">
        <v>2498</v>
      </c>
    </row>
    <row r="39" spans="1:1" x14ac:dyDescent="0.2">
      <c r="A39" s="753" t="s">
        <v>2499</v>
      </c>
    </row>
    <row r="40" spans="1:1" x14ac:dyDescent="0.2">
      <c r="A40" s="753"/>
    </row>
    <row r="41" spans="1:1" x14ac:dyDescent="0.2">
      <c r="A41" s="3" t="s">
        <v>3778</v>
      </c>
    </row>
    <row r="42" spans="1:1" x14ac:dyDescent="0.2">
      <c r="A42" s="753" t="s">
        <v>1881</v>
      </c>
    </row>
    <row r="43" spans="1:1" x14ac:dyDescent="0.2">
      <c r="A43" s="753" t="s">
        <v>3779</v>
      </c>
    </row>
    <row r="44" spans="1:1" x14ac:dyDescent="0.2">
      <c r="A44" s="753" t="s">
        <v>2419</v>
      </c>
    </row>
    <row r="45" spans="1:1" x14ac:dyDescent="0.2">
      <c r="A45" s="753"/>
    </row>
    <row r="46" spans="1:1" x14ac:dyDescent="0.2">
      <c r="A46" s="3" t="s">
        <v>4019</v>
      </c>
    </row>
    <row r="47" spans="1:1" x14ac:dyDescent="0.2">
      <c r="A47" s="753" t="str">
        <f>VLOOKUP(tech_name,TDB_link_table_cl,2,FALSE)</f>
        <v>https://tdb.epa.gov/tdb/treatmentprocess?treatmentProcessId=10000</v>
      </c>
    </row>
    <row r="48" spans="1:1" x14ac:dyDescent="0.2">
      <c r="A48" s="3" t="s">
        <v>4161</v>
      </c>
    </row>
    <row r="49" spans="1:1" x14ac:dyDescent="0.2">
      <c r="A49" s="841" t="s">
        <v>1340</v>
      </c>
    </row>
    <row r="50" spans="1:1" x14ac:dyDescent="0.2">
      <c r="A50" s="841" t="s">
        <v>4162</v>
      </c>
    </row>
    <row r="51" spans="1:1" x14ac:dyDescent="0.2">
      <c r="A51" s="841"/>
    </row>
  </sheetData>
  <phoneticPr fontId="47" type="noConversion"/>
  <pageMargins left="0.75" right="0.75" top="1" bottom="1" header="0.5" footer="0.5"/>
  <pageSetup orientation="portrait" horizontalDpi="90" verticalDpi="9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24</vt:i4>
      </vt:variant>
      <vt:variant>
        <vt:lpstr>Named Ranges</vt:lpstr>
      </vt:variant>
      <vt:variant>
        <vt:i4>1915</vt:i4>
      </vt:variant>
    </vt:vector>
  </HeadingPairs>
  <TitlesOfParts>
    <vt:vector size="1939" baseType="lpstr">
      <vt:lpstr>Title Page</vt:lpstr>
      <vt:lpstr>Index</vt:lpstr>
      <vt:lpstr>INPUT</vt:lpstr>
      <vt:lpstr>OUTPUT</vt:lpstr>
      <vt:lpstr>Critical Design Assumptions</vt:lpstr>
      <vt:lpstr>O&amp;M Assumptions</vt:lpstr>
      <vt:lpstr>Indirect Assumptions</vt:lpstr>
      <vt:lpstr>Bioreactor Constraints</vt:lpstr>
      <vt:lpstr>Chemicals</vt:lpstr>
      <vt:lpstr>Biomass Control</vt:lpstr>
      <vt:lpstr>Post-Treatment</vt:lpstr>
      <vt:lpstr>Pumps Pipe Structure</vt:lpstr>
      <vt:lpstr>Instrumentation and Control</vt:lpstr>
      <vt:lpstr>Residuals Management</vt:lpstr>
      <vt:lpstr>O&amp;M</vt:lpstr>
      <vt:lpstr>HVAC</vt:lpstr>
      <vt:lpstr>Indirect</vt:lpstr>
      <vt:lpstr>Standard Inputs</vt:lpstr>
      <vt:lpstr>AutoSize</vt:lpstr>
      <vt:lpstr>Cost Equations</vt:lpstr>
      <vt:lpstr>Cost Coefficients</vt:lpstr>
      <vt:lpstr>Cost Data</vt:lpstr>
      <vt:lpstr>Engineering Data</vt:lpstr>
      <vt:lpstr>Lookup Tables</vt:lpstr>
      <vt:lpstr>acetic_dose_sample</vt:lpstr>
      <vt:lpstr>acetic_purchase</vt:lpstr>
      <vt:lpstr>acetic_store</vt:lpstr>
      <vt:lpstr>acetic_use</vt:lpstr>
      <vt:lpstr>add</vt:lpstr>
      <vt:lpstr>add_2nd_building</vt:lpstr>
      <vt:lpstr>add_blow_head</vt:lpstr>
      <vt:lpstr>add_ports</vt:lpstr>
      <vt:lpstr>add_res_pipe_length</vt:lpstr>
      <vt:lpstr>add_turb</vt:lpstr>
      <vt:lpstr>addon_cost</vt:lpstr>
      <vt:lpstr>aer_tank_diam</vt:lpstr>
      <vt:lpstr>aer_tank_fp</vt:lpstr>
      <vt:lpstr>aer_tank_pipe_diam</vt:lpstr>
      <vt:lpstr>aer_tank_pipe_flow</vt:lpstr>
      <vt:lpstr>aer_tank_valve_size</vt:lpstr>
      <vt:lpstr>aeration_blower_mtl</vt:lpstr>
      <vt:lpstr>aeration_tank_vol</vt:lpstr>
      <vt:lpstr>aeration_tank_vol_required</vt:lpstr>
      <vt:lpstr>aeration_tanks</vt:lpstr>
      <vt:lpstr>aeration_valve_size</vt:lpstr>
      <vt:lpstr>aeration_water_height</vt:lpstr>
      <vt:lpstr>af_units</vt:lpstr>
      <vt:lpstr>air_changes_build1</vt:lpstr>
      <vt:lpstr>air_changes_build2</vt:lpstr>
      <vt:lpstr>Air_changes_chem_storage</vt:lpstr>
      <vt:lpstr>Air_changes_contactor</vt:lpstr>
      <vt:lpstr>Air_changes_office</vt:lpstr>
      <vt:lpstr>Air_changes_pump</vt:lpstr>
      <vt:lpstr>air_flow_tot</vt:lpstr>
      <vt:lpstr>air_scour_I</vt:lpstr>
      <vt:lpstr>air_scour_time</vt:lpstr>
      <vt:lpstr>air_scour_vol</vt:lpstr>
      <vt:lpstr>air_valve_size</vt:lpstr>
      <vt:lpstr>alarm_back</vt:lpstr>
      <vt:lpstr>alarm_chem</vt:lpstr>
      <vt:lpstr>alarm_cost_cl</vt:lpstr>
      <vt:lpstr>alarm_res</vt:lpstr>
      <vt:lpstr>analog_inputs</vt:lpstr>
      <vt:lpstr>analog_outputs</vt:lpstr>
      <vt:lpstr>Annualized_Capital_Cost</vt:lpstr>
      <vt:lpstr>Annualized_Cost</vt:lpstr>
      <vt:lpstr>anthracite</vt:lpstr>
      <vt:lpstr>anthracite_density</vt:lpstr>
      <vt:lpstr>anthracite_each</vt:lpstr>
      <vt:lpstr>anthracite_fraction</vt:lpstr>
      <vt:lpstr>architectural_table_cl</vt:lpstr>
      <vt:lpstr>average_flow</vt:lpstr>
      <vt:lpstr>average_flow_I</vt:lpstr>
      <vt:lpstr>average_flow_rate</vt:lpstr>
      <vt:lpstr>AXOutput</vt:lpstr>
      <vt:lpstr>back_chv_no_back</vt:lpstr>
      <vt:lpstr>back_chv_pump</vt:lpstr>
      <vt:lpstr>back_interval</vt:lpstr>
      <vt:lpstr>back_interval_I</vt:lpstr>
      <vt:lpstr>back_meter_size</vt:lpstr>
      <vt:lpstr>back_MOV_add</vt:lpstr>
      <vt:lpstr>back_MOV_brine</vt:lpstr>
      <vt:lpstr>back_MOV_eductor</vt:lpstr>
      <vt:lpstr>back_MOV_pump</vt:lpstr>
      <vt:lpstr>back_MOV_tank</vt:lpstr>
      <vt:lpstr>back_MOV_vessel</vt:lpstr>
      <vt:lpstr>back_pipe_diam</vt:lpstr>
      <vt:lpstr>back_pipe_flow</vt:lpstr>
      <vt:lpstr>back_pipe_length</vt:lpstr>
      <vt:lpstr>back_pipe_mult</vt:lpstr>
      <vt:lpstr>back_pump_cost_cl</vt:lpstr>
      <vt:lpstr>back_pump_energy</vt:lpstr>
      <vt:lpstr>back_pump_head</vt:lpstr>
      <vt:lpstr>back_pump_hp</vt:lpstr>
      <vt:lpstr>back_pump_mtl</vt:lpstr>
      <vt:lpstr>back_pump_op_hours</vt:lpstr>
      <vt:lpstr>back_pump_rating</vt:lpstr>
      <vt:lpstr>back_tank_fp</vt:lpstr>
      <vt:lpstr>back_tank_vol</vt:lpstr>
      <vt:lpstr>back_tanks</vt:lpstr>
      <vt:lpstr>back_valve_size</vt:lpstr>
      <vt:lpstr>backfill_cost_cl</vt:lpstr>
      <vt:lpstr>backfill_vol</vt:lpstr>
      <vt:lpstr>backwash_pump_valid</vt:lpstr>
      <vt:lpstr>backwash_pumps</vt:lpstr>
      <vt:lpstr>backwash_storage_valid</vt:lpstr>
      <vt:lpstr>backwash_time</vt:lpstr>
      <vt:lpstr>backwash_yr</vt:lpstr>
      <vt:lpstr>basin_area</vt:lpstr>
      <vt:lpstr>basin_conc_vol</vt:lpstr>
      <vt:lpstr>basin_depth</vt:lpstr>
      <vt:lpstr>basin_fp</vt:lpstr>
      <vt:lpstr>basin_freeboard</vt:lpstr>
      <vt:lpstr>basin_length</vt:lpstr>
      <vt:lpstr>basin_op_depth</vt:lpstr>
      <vt:lpstr>basin_vol</vt:lpstr>
      <vt:lpstr>basin_width</vt:lpstr>
      <vt:lpstr>bearing_area</vt:lpstr>
      <vt:lpstr>bed_depth</vt:lpstr>
      <vt:lpstr>bed_depth_filt</vt:lpstr>
      <vt:lpstr>bed_depth_filt_large</vt:lpstr>
      <vt:lpstr>bed_depth_filt_small</vt:lpstr>
      <vt:lpstr>bed_expansion</vt:lpstr>
      <vt:lpstr>bed_expansion_fluidized</vt:lpstr>
      <vt:lpstr>bedding_cost_cl</vt:lpstr>
      <vt:lpstr>bedding_depth</vt:lpstr>
      <vt:lpstr>bedding_pct</vt:lpstr>
      <vt:lpstr>bedding_vol</vt:lpstr>
      <vt:lpstr>belt_press_cost_cl</vt:lpstr>
      <vt:lpstr>belt_press_dimension</vt:lpstr>
      <vt:lpstr>belt_press_eq</vt:lpstr>
      <vt:lpstr>belt_press_fp</vt:lpstr>
      <vt:lpstr>belt_press_removal</vt:lpstr>
      <vt:lpstr>belt_press_size</vt:lpstr>
      <vt:lpstr>bio_air_valve_size</vt:lpstr>
      <vt:lpstr>bio_blower_energy</vt:lpstr>
      <vt:lpstr>bio_blower_head</vt:lpstr>
      <vt:lpstr>bio_blower_hp</vt:lpstr>
      <vt:lpstr>biomass_air_scour</vt:lpstr>
      <vt:lpstr>biomass_I</vt:lpstr>
      <vt:lpstr>biomass_sample</vt:lpstr>
      <vt:lpstr>bldg_hi_cost_cl</vt:lpstr>
      <vt:lpstr>bldg_hi_eq_1</vt:lpstr>
      <vt:lpstr>bldg_hi_eq_2</vt:lpstr>
      <vt:lpstr>bldg_lo_cost_cl</vt:lpstr>
      <vt:lpstr>bldg_lo_eq_1</vt:lpstr>
      <vt:lpstr>bldg_lo_eq_2</vt:lpstr>
      <vt:lpstr>bldg_maint_cost</vt:lpstr>
      <vt:lpstr>bldg_mid_cost_cl</vt:lpstr>
      <vt:lpstr>bldg_mid_eq_1</vt:lpstr>
      <vt:lpstr>bldg_mid_eq_2</vt:lpstr>
      <vt:lpstr>bldg_shed_cost_cl</vt:lpstr>
      <vt:lpstr>block_vol</vt:lpstr>
      <vt:lpstr>blow_dim_table_cl</vt:lpstr>
      <vt:lpstr>blower_effcy</vt:lpstr>
      <vt:lpstr>blower_energy</vt:lpstr>
      <vt:lpstr>blower_fp</vt:lpstr>
      <vt:lpstr>blower_head</vt:lpstr>
      <vt:lpstr>blower_hp</vt:lpstr>
      <vt:lpstr>blower_mtl</vt:lpstr>
      <vt:lpstr>booster_pump_efficiency</vt:lpstr>
      <vt:lpstr>booster_pump_head</vt:lpstr>
      <vt:lpstr>booster_pump_maintenance</vt:lpstr>
      <vt:lpstr>booster_pumps</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bp_pct</vt:lpstr>
      <vt:lpstr>bp_pipe_diam</vt:lpstr>
      <vt:lpstr>bp_pipe_flow</vt:lpstr>
      <vt:lpstr>bp_pipe_length</vt:lpstr>
      <vt:lpstr>bp_pipe_mult</vt:lpstr>
      <vt:lpstr>br_ins_pct</vt:lpstr>
      <vt:lpstr>bt_diam</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building_cost</vt:lpstr>
      <vt:lpstr>Building_height</vt:lpstr>
      <vt:lpstr>building_matl_rate_cl</vt:lpstr>
      <vt:lpstr>buried_res_pipe_length</vt:lpstr>
      <vt:lpstr>bypass_valve_size</vt:lpstr>
      <vt:lpstr>ceiling_clearance</vt:lpstr>
      <vt:lpstr>CH3NOOH_dens</vt:lpstr>
      <vt:lpstr>CH3NOOH_strength</vt:lpstr>
      <vt:lpstr>chem_break_table_cl</vt:lpstr>
      <vt:lpstr>chem_chv_pump</vt:lpstr>
      <vt:lpstr>chem_cost_cl</vt:lpstr>
      <vt:lpstr>chem_pipe_mult</vt:lpstr>
      <vt:lpstr>chem_storage</vt:lpstr>
      <vt:lpstr>ci_bfv_cost_cl</vt:lpstr>
      <vt:lpstr>ci_bfv_eq</vt:lpstr>
      <vt:lpstr>ci_bfv_eq_proc</vt:lpstr>
      <vt:lpstr>ci_chv_cost_cl</vt:lpstr>
      <vt:lpstr>ci_chv_eq</vt:lpstr>
      <vt:lpstr>ci_chv_eq_bp</vt:lpstr>
      <vt:lpstr>ci_chv_eq_in</vt:lpstr>
      <vt:lpstr>ci_chv_eq_polymer</vt:lpstr>
      <vt:lpstr>ci_chv_eq_res</vt:lpstr>
      <vt:lpstr>ci_man_eq_aeration</vt:lpstr>
      <vt:lpstr>ci_man_eq_air</vt:lpstr>
      <vt:lpstr>ci_man_eq_back</vt:lpstr>
      <vt:lpstr>ci_man_eq_bio_air</vt:lpstr>
      <vt:lpstr>ci_man_eq_bp</vt:lpstr>
      <vt:lpstr>ci_man_eq_polymer</vt:lpstr>
      <vt:lpstr>ci_man_eq_res</vt:lpstr>
      <vt:lpstr>ci_mov_cost_cl</vt:lpstr>
      <vt:lpstr>ci_mov_eq_aeration</vt:lpstr>
      <vt:lpstr>ci_mov_eq_air</vt:lpstr>
      <vt:lpstr>ci_mov_eq_back</vt:lpstr>
      <vt:lpstr>ci_mov_eq_bio_air</vt:lpstr>
      <vt:lpstr>ci_mov_eq_bp</vt:lpstr>
      <vt:lpstr>ci_mov_eq_polymer</vt:lpstr>
      <vt:lpstr>ci_mov_eq_res</vt:lpstr>
      <vt:lpstr>ci_mov_eq_tank</vt:lpstr>
      <vt:lpstr>cimp_mix_eq_coag</vt:lpstr>
      <vt:lpstr>cimp_mix_eq_e_donor</vt:lpstr>
      <vt:lpstr>cimp_mix_eq_H2O2</vt:lpstr>
      <vt:lpstr>cimp_mix_eq_H3PO4</vt:lpstr>
      <vt:lpstr>cimp_mix_eq_NH4Cl</vt:lpstr>
      <vt:lpstr>cimp_mix_eq_polymer</vt:lpstr>
      <vt:lpstr>city_index</vt:lpstr>
      <vt:lpstr>Clerical_LOE</vt:lpstr>
      <vt:lpstr>Clerical_percent</vt:lpstr>
      <vt:lpstr>clo4_analysis_cost_cl</vt:lpstr>
      <vt:lpstr>ClO4_analyzer</vt:lpstr>
      <vt:lpstr>ClO4_in</vt:lpstr>
      <vt:lpstr>clo4analyzer_cost_cl</vt:lpstr>
      <vt:lpstr>cm_cost</vt:lpstr>
      <vt:lpstr>cm_pump_rating_coag</vt:lpstr>
      <vt:lpstr>cm_pump_rating_coag_filt</vt:lpstr>
      <vt:lpstr>cm_pump_rating_e_donor</vt:lpstr>
      <vt:lpstr>cm_pump_rating_H2O2</vt:lpstr>
      <vt:lpstr>cm_pump_rating_H3PO4</vt:lpstr>
      <vt:lpstr>cm_pump_rating_NH4Cl</vt:lpstr>
      <vt:lpstr>cm_pump_rating_polymer</vt:lpstr>
      <vt:lpstr>cm_pumps_coag</vt:lpstr>
      <vt:lpstr>cm_pumps_coag_filt</vt:lpstr>
      <vt:lpstr>cm_pumps_e_donor</vt:lpstr>
      <vt:lpstr>cm_pumps_H2O2</vt:lpstr>
      <vt:lpstr>cm_pumps_H3PO4</vt:lpstr>
      <vt:lpstr>cm_pumps_NH4Cl</vt:lpstr>
      <vt:lpstr>cm_pumps_polymer</vt:lpstr>
      <vt:lpstr>cmix_hp_max</vt:lpstr>
      <vt:lpstr>cmix_hp_per</vt:lpstr>
      <vt:lpstr>cmount_mix_eq_coag</vt:lpstr>
      <vt:lpstr>cmount_mix_eq_e_donor</vt:lpstr>
      <vt:lpstr>cmount_mix_eq_H2O2</vt:lpstr>
      <vt:lpstr>cmount_mix_eq_H3PO4</vt:lpstr>
      <vt:lpstr>cmount_mix_eq_NH4Cl</vt:lpstr>
      <vt:lpstr>cmount_mix_eq_polymer</vt:lpstr>
      <vt:lpstr>coag_chv_pump</vt:lpstr>
      <vt:lpstr>coag_cmix_per_tank</vt:lpstr>
      <vt:lpstr>coag_cmix_size</vt:lpstr>
      <vt:lpstr>coag_cmixers</vt:lpstr>
      <vt:lpstr>coag_coating_gal</vt:lpstr>
      <vt:lpstr>coag_cont_fp</vt:lpstr>
      <vt:lpstr>coag_cont_volume</vt:lpstr>
      <vt:lpstr>coag_curb_concrete</vt:lpstr>
      <vt:lpstr>coag_curb_height</vt:lpstr>
      <vt:lpstr>coag_curb_len_long</vt:lpstr>
      <vt:lpstr>coag_curb_len_short</vt:lpstr>
      <vt:lpstr>coag_curb_thick</vt:lpstr>
      <vt:lpstr>coag_day</vt:lpstr>
      <vt:lpstr>coag_day_design_flow</vt:lpstr>
      <vt:lpstr>coag_day_fp</vt:lpstr>
      <vt:lpstr>coag_day_gal</vt:lpstr>
      <vt:lpstr>coag_day_gal_filt</vt:lpstr>
      <vt:lpstr>coag_day_gal_filt_design_flow</vt:lpstr>
      <vt:lpstr>coag_day_lbs</vt:lpstr>
      <vt:lpstr>coag_day_tank_vol</vt:lpstr>
      <vt:lpstr>coag_day_tank_vol_needed</vt:lpstr>
      <vt:lpstr>coag_day_tanks</vt:lpstr>
      <vt:lpstr>coag_density</vt:lpstr>
      <vt:lpstr>coag_density_filt</vt:lpstr>
      <vt:lpstr>coag_dmix_per_tank</vt:lpstr>
      <vt:lpstr>coag_dmix_size</vt:lpstr>
      <vt:lpstr>coag_dmixers</vt:lpstr>
      <vt:lpstr>coag_dose</vt:lpstr>
      <vt:lpstr>coag_dose_filt</vt:lpstr>
      <vt:lpstr>coag_dt_coating_gal</vt:lpstr>
      <vt:lpstr>coag_dt_cont_fp</vt:lpstr>
      <vt:lpstr>coag_dt_cont_volume</vt:lpstr>
      <vt:lpstr>coag_dt_curb_concrete</vt:lpstr>
      <vt:lpstr>coag_dt_curb_height</vt:lpstr>
      <vt:lpstr>coag_dt_curb_len_long</vt:lpstr>
      <vt:lpstr>coag_dt_curb_len_short</vt:lpstr>
      <vt:lpstr>coag_dt_curb_thick</vt:lpstr>
      <vt:lpstr>coag_dt_diam</vt:lpstr>
      <vt:lpstr>coag_fp</vt:lpstr>
      <vt:lpstr>coag_imp_mix_eq</vt:lpstr>
      <vt:lpstr>coag_mix_diam</vt:lpstr>
      <vt:lpstr>coag_mix_fp</vt:lpstr>
      <vt:lpstr>coag_mix_tank</vt:lpstr>
      <vt:lpstr>coag_mix_tank_size</vt:lpstr>
      <vt:lpstr>coag_mix_time</vt:lpstr>
      <vt:lpstr>coag_mount_mix_eq</vt:lpstr>
      <vt:lpstr>coag_pct</vt:lpstr>
      <vt:lpstr>coag_pct_filt</vt:lpstr>
      <vt:lpstr>coag_pipe_diam</vt:lpstr>
      <vt:lpstr>coag_pipe_flow</vt:lpstr>
      <vt:lpstr>coag_pipe_length</vt:lpstr>
      <vt:lpstr>coag_purchase</vt:lpstr>
      <vt:lpstr>coag_rate</vt:lpstr>
      <vt:lpstr>coag_rate_filt</vt:lpstr>
      <vt:lpstr>coag_res</vt:lpstr>
      <vt:lpstr>coag_spf</vt:lpstr>
      <vt:lpstr>coag_st_diam</vt:lpstr>
      <vt:lpstr>coag_storage_gal</vt:lpstr>
      <vt:lpstr>coag_storage_gal_filt</vt:lpstr>
      <vt:lpstr>coag_storage_lbs</vt:lpstr>
      <vt:lpstr>coag_storage_lbs_bulk</vt:lpstr>
      <vt:lpstr>coag_tank_vol</vt:lpstr>
      <vt:lpstr>coag_tanks</vt:lpstr>
      <vt:lpstr>coag_TSSrem</vt:lpstr>
      <vt:lpstr>coag_valve_size</vt:lpstr>
      <vt:lpstr>coag_yr</vt:lpstr>
      <vt:lpstr>coag_yr_filt</vt:lpstr>
      <vt:lpstr>Coeff_Kp</vt:lpstr>
      <vt:lpstr>comm_diam</vt:lpstr>
      <vt:lpstr>comm_height_length</vt:lpstr>
      <vt:lpstr>comm_load_rate</vt:lpstr>
      <vt:lpstr>comm_load_rate_filt</vt:lpstr>
      <vt:lpstr>comm_SA</vt:lpstr>
      <vt:lpstr>comm_SA_filt</vt:lpstr>
      <vt:lpstr>comm_vol</vt:lpstr>
      <vt:lpstr>comm_vol_filt</vt:lpstr>
      <vt:lpstr>comm_vol_gal</vt:lpstr>
      <vt:lpstr>comm_vol_gal_filt</vt:lpstr>
      <vt:lpstr>comp_bed_depth</vt:lpstr>
      <vt:lpstr>comp_bed_depth_a</vt:lpstr>
      <vt:lpstr>comp_bed_depth_a_filt</vt:lpstr>
      <vt:lpstr>comp_bed_depth_filt</vt:lpstr>
      <vt:lpstr>comp_horiz_bed_depth</vt:lpstr>
      <vt:lpstr>comp_horiz_bed_depth_filt</vt:lpstr>
      <vt:lpstr>comp_horiz_diam</vt:lpstr>
      <vt:lpstr>comp_horiz_diam_filt</vt:lpstr>
      <vt:lpstr>comp_horiz_expanded_bd</vt:lpstr>
      <vt:lpstr>comp_horiz_expanded_bd_filt</vt:lpstr>
      <vt:lpstr>comp_horiz_length</vt:lpstr>
      <vt:lpstr>comp_horiz_length_filt</vt:lpstr>
      <vt:lpstr>comp_horiz_max_media</vt:lpstr>
      <vt:lpstr>comp_horiz_max_media_filt</vt:lpstr>
      <vt:lpstr>comp_horiz_min_number</vt:lpstr>
      <vt:lpstr>comp_horiz_min_number_filt</vt:lpstr>
      <vt:lpstr>comp_horiz_void_area</vt:lpstr>
      <vt:lpstr>comp_horiz_void_area_filt</vt:lpstr>
      <vt:lpstr>comp_horiz_void_required</vt:lpstr>
      <vt:lpstr>comp_horiz_void_required_filt</vt:lpstr>
      <vt:lpstr>comp_in_nlines</vt:lpstr>
      <vt:lpstr>comp_in_nlines_a</vt:lpstr>
      <vt:lpstr>comp_in_nlines_a_filt</vt:lpstr>
      <vt:lpstr>comp_in_nlines_filt</vt:lpstr>
      <vt:lpstr>comp_length_width_a</vt:lpstr>
      <vt:lpstr>comp_length_width_a_filt</vt:lpstr>
      <vt:lpstr>comp_level_valid</vt:lpstr>
      <vt:lpstr>comp_max_bed_depth_a</vt:lpstr>
      <vt:lpstr>comp_max_bed_depth_a_filt</vt:lpstr>
      <vt:lpstr>comp_max_horiz_bed_depth</vt:lpstr>
      <vt:lpstr>comp_max_horiz_bed_depth_filt</vt:lpstr>
      <vt:lpstr>comp_max_horiz_diam</vt:lpstr>
      <vt:lpstr>comp_max_horiz_diam_filt</vt:lpstr>
      <vt:lpstr>comp_max_horiz_length</vt:lpstr>
      <vt:lpstr>comp_max_horiz_length_filt</vt:lpstr>
      <vt:lpstr>comp_max_horiz_sa</vt:lpstr>
      <vt:lpstr>comp_max_horiz_sa_filt</vt:lpstr>
      <vt:lpstr>comp_max_length_a</vt:lpstr>
      <vt:lpstr>comp_max_length_a_filt</vt:lpstr>
      <vt:lpstr>comp_max_sa_a</vt:lpstr>
      <vt:lpstr>comp_max_sa_a_filt</vt:lpstr>
      <vt:lpstr>comp_max_sa_vessel</vt:lpstr>
      <vt:lpstr>comp_max_sa_vessel_filt</vt:lpstr>
      <vt:lpstr>comp_max_vert_bed_depth</vt:lpstr>
      <vt:lpstr>comp_max_vert_bed_depth_filt</vt:lpstr>
      <vt:lpstr>comp_max_vert_diam</vt:lpstr>
      <vt:lpstr>comp_max_vert_diam_filt</vt:lpstr>
      <vt:lpstr>comp_max_vert_height</vt:lpstr>
      <vt:lpstr>comp_max_vert_height_filt</vt:lpstr>
      <vt:lpstr>comp_max_vol</vt:lpstr>
      <vt:lpstr>comp_max_vol_filt</vt:lpstr>
      <vt:lpstr>comp_max_vol_length</vt:lpstr>
      <vt:lpstr>comp_max_vol_length_filt</vt:lpstr>
      <vt:lpstr>comp_max_width_a</vt:lpstr>
      <vt:lpstr>comp_max_width_a_filt</vt:lpstr>
      <vt:lpstr>comp_min_bed_depth_a</vt:lpstr>
      <vt:lpstr>comp_min_bed_depth_a_filt</vt:lpstr>
      <vt:lpstr>comp_min_horiz_bed_depth</vt:lpstr>
      <vt:lpstr>comp_min_horiz_bed_depth_filt</vt:lpstr>
      <vt:lpstr>comp_min_horiz_diam</vt:lpstr>
      <vt:lpstr>comp_min_horiz_diam_filt</vt:lpstr>
      <vt:lpstr>comp_min_horiz_length</vt:lpstr>
      <vt:lpstr>comp_min_horiz_length_filt</vt:lpstr>
      <vt:lpstr>comp_min_length_a</vt:lpstr>
      <vt:lpstr>comp_min_length_a_filt</vt:lpstr>
      <vt:lpstr>comp_min_sa_a</vt:lpstr>
      <vt:lpstr>comp_min_sa_a_filt</vt:lpstr>
      <vt:lpstr>comp_min_sa_vessel</vt:lpstr>
      <vt:lpstr>comp_min_sa_vessel_filt</vt:lpstr>
      <vt:lpstr>comp_min_vert_bed_depth</vt:lpstr>
      <vt:lpstr>comp_min_vert_bed_depth_filt</vt:lpstr>
      <vt:lpstr>comp_min_vert_diam</vt:lpstr>
      <vt:lpstr>comp_min_vert_diam_filt</vt:lpstr>
      <vt:lpstr>comp_min_vert_height</vt:lpstr>
      <vt:lpstr>comp_min_vert_height_filt</vt:lpstr>
      <vt:lpstr>comp_min_width_a</vt:lpstr>
      <vt:lpstr>comp_min_width_a_filt</vt:lpstr>
      <vt:lpstr>comp_nlines_extra_search</vt:lpstr>
      <vt:lpstr>comp_nlines_extra_search_a</vt:lpstr>
      <vt:lpstr>comp_nlines_extra_search_a_filt</vt:lpstr>
      <vt:lpstr>comp_nlines_extra_search_filt</vt:lpstr>
      <vt:lpstr>comp_out_success</vt:lpstr>
      <vt:lpstr>comp_out_success_a</vt:lpstr>
      <vt:lpstr>comp_out_success_a_filt</vt:lpstr>
      <vt:lpstr>comp_out_success_filt</vt:lpstr>
      <vt:lpstr>comp_pv_max_sizes</vt:lpstr>
      <vt:lpstr>comp_round_sa</vt:lpstr>
      <vt:lpstr>comp_round_sa_a</vt:lpstr>
      <vt:lpstr>comp_round_sa_a_filt</vt:lpstr>
      <vt:lpstr>comp_round_sa_filt</vt:lpstr>
      <vt:lpstr>comp_sa_max</vt:lpstr>
      <vt:lpstr>comp_sa_max_a</vt:lpstr>
      <vt:lpstr>comp_sa_max_a_filt</vt:lpstr>
      <vt:lpstr>comp_sa_max_filt</vt:lpstr>
      <vt:lpstr>comp_sa_min</vt:lpstr>
      <vt:lpstr>comp_sa_min_a</vt:lpstr>
      <vt:lpstr>comp_sa_min_a_filt</vt:lpstr>
      <vt:lpstr>comp_sa_min_filt</vt:lpstr>
      <vt:lpstr>comp_sa_required_horiz</vt:lpstr>
      <vt:lpstr>comp_sa_required_horiz_filt</vt:lpstr>
      <vt:lpstr>comp_sa_required_vert</vt:lpstr>
      <vt:lpstr>comp_sa_required_vert_a</vt:lpstr>
      <vt:lpstr>comp_sa_required_vert_a_filt</vt:lpstr>
      <vt:lpstr>comp_sa_required_vert_filt</vt:lpstr>
      <vt:lpstr>comp_tank_geom</vt:lpstr>
      <vt:lpstr>comp_tank_geom_filt</vt:lpstr>
      <vt:lpstr>comp_target_bed_depth_horiz</vt:lpstr>
      <vt:lpstr>comp_target_bed_depth_horiz_filt</vt:lpstr>
      <vt:lpstr>comp_target_bed_depth_vert</vt:lpstr>
      <vt:lpstr>comp_target_bed_depth_vert_a</vt:lpstr>
      <vt:lpstr>comp_target_bed_depth_vert_a_filt</vt:lpstr>
      <vt:lpstr>comp_target_bed_depth_vert_filt</vt:lpstr>
      <vt:lpstr>comp_vert_bed_depth</vt:lpstr>
      <vt:lpstr>comp_vert_bed_depth_filt</vt:lpstr>
      <vt:lpstr>comp_vert_diam</vt:lpstr>
      <vt:lpstr>comp_vert_diam_filt</vt:lpstr>
      <vt:lpstr>comp_vert_height</vt:lpstr>
      <vt:lpstr>comp_vert_height_filt</vt:lpstr>
      <vt:lpstr>comp_vert_max_media</vt:lpstr>
      <vt:lpstr>comp_vert_max_media_a</vt:lpstr>
      <vt:lpstr>comp_vert_max_media_a_filt</vt:lpstr>
      <vt:lpstr>comp_vert_max_media_filt</vt:lpstr>
      <vt:lpstr>comp_vert_max_sa</vt:lpstr>
      <vt:lpstr>comp_vert_max_sa_filt</vt:lpstr>
      <vt:lpstr>comp_vert_min_number</vt:lpstr>
      <vt:lpstr>comp_vert_min_number_a</vt:lpstr>
      <vt:lpstr>comp_vert_min_number_a_filt</vt:lpstr>
      <vt:lpstr>comp_vert_min_number_filt</vt:lpstr>
      <vt:lpstr>comp_vol_required</vt:lpstr>
      <vt:lpstr>comp_vol_required_a</vt:lpstr>
      <vt:lpstr>comp_vol_required_a_filt</vt:lpstr>
      <vt:lpstr>comp_vol_required_filt</vt:lpstr>
      <vt:lpstr>comp_vol_required_stg1</vt:lpstr>
      <vt:lpstr>comp_vol_required_stg1_filt</vt:lpstr>
      <vt:lpstr>complexity</vt:lpstr>
      <vt:lpstr>component_level</vt:lpstr>
      <vt:lpstr>component_level_I</vt:lpstr>
      <vt:lpstr>conc_basin_cost_cl</vt:lpstr>
      <vt:lpstr>conc_coating_cost_cl</vt:lpstr>
      <vt:lpstr>conc_pad_cost_cl</vt:lpstr>
      <vt:lpstr>conc_thick</vt:lpstr>
      <vt:lpstr>concrete</vt:lpstr>
      <vt:lpstr>construction_mgt_table_cl</vt:lpstr>
      <vt:lpstr>cont_int_eq</vt:lpstr>
      <vt:lpstr>cont_top_cost_cl</vt:lpstr>
      <vt:lpstr>contact_mat_per_vessel</vt:lpstr>
      <vt:lpstr>contact_mat_per_vessel_filt</vt:lpstr>
      <vt:lpstr>contact_material</vt:lpstr>
      <vt:lpstr>contact_material_filt</vt:lpstr>
      <vt:lpstr>contam</vt:lpstr>
      <vt:lpstr>contingency_table_cl</vt:lpstr>
      <vt:lpstr>convert_concrete_cy_to_lbs_cl</vt:lpstr>
      <vt:lpstr>convert_concrete_to_cement_cl</vt:lpstr>
      <vt:lpstr>cool_DD</vt:lpstr>
      <vt:lpstr>cool_viload</vt:lpstr>
      <vt:lpstr>cooling</vt:lpstr>
      <vt:lpstr>cooling_hp</vt:lpstr>
      <vt:lpstr>cooling_matl_rate_cl</vt:lpstr>
      <vt:lpstr>cooling_table</vt:lpstr>
      <vt:lpstr>cooling_table_shed</vt:lpstr>
      <vt:lpstr>COP</vt:lpstr>
      <vt:lpstr>cost_buildup_error</vt:lpstr>
      <vt:lpstr>cpvc_pipe_cost_cl</vt:lpstr>
      <vt:lpstr>cpvc_pipe_eq_back</vt:lpstr>
      <vt:lpstr>cpvc_pipe_eq_bp</vt:lpstr>
      <vt:lpstr>cpvc_pipe_eq_coag</vt:lpstr>
      <vt:lpstr>cpvc_pipe_eq_e_donor</vt:lpstr>
      <vt:lpstr>cpvc_pipe_eq_H2O2</vt:lpstr>
      <vt:lpstr>cpvc_pipe_eq_H3PO4</vt:lpstr>
      <vt:lpstr>cpvc_pipe_eq_in_out</vt:lpstr>
      <vt:lpstr>cpvc_pipe_eq_NH4Cl</vt:lpstr>
      <vt:lpstr>cpvc_pipe_eq_polymer</vt:lpstr>
      <vt:lpstr>cpvc_pipe_eq_proc</vt:lpstr>
      <vt:lpstr>cpvc_pipe_eq_rec</vt:lpstr>
      <vt:lpstr>cpvc_pipe_eq_res</vt:lpstr>
      <vt:lpstr>cs_pv_cost_cl</vt:lpstr>
      <vt:lpstr>cs_pv_eq</vt:lpstr>
      <vt:lpstr>cs_pv_eq_filt</vt:lpstr>
      <vt:lpstr>csp_pv_cost_cl</vt:lpstr>
      <vt:lpstr>csp_pv_eq</vt:lpstr>
      <vt:lpstr>csp_pv_eq_filt</vt:lpstr>
      <vt:lpstr>cstore_days</vt:lpstr>
      <vt:lpstr>cul_indir</vt:lpstr>
      <vt:lpstr>cul_indir_add_table</vt:lpstr>
      <vt:lpstr>cul_indir_mult_table</vt:lpstr>
      <vt:lpstr>cul_om_table</vt:lpstr>
      <vt:lpstr>current_year_cl</vt:lpstr>
      <vt:lpstr>curve</vt:lpstr>
      <vt:lpstr>CXOutput</vt:lpstr>
      <vt:lpstr>day_tank_needed</vt:lpstr>
      <vt:lpstr>deep_bore_need</vt:lpstr>
      <vt:lpstr>design_air_flow</vt:lpstr>
      <vt:lpstr>design_air_flow_aeration</vt:lpstr>
      <vt:lpstr>design_air_flow_bio</vt:lpstr>
      <vt:lpstr>design_flow</vt:lpstr>
      <vt:lpstr>design_flow_I</vt:lpstr>
      <vt:lpstr>design_flow_rate</vt:lpstr>
      <vt:lpstr>design_type</vt:lpstr>
      <vt:lpstr>df_units</vt:lpstr>
      <vt:lpstr>di_pipe_cost_cl</vt:lpstr>
      <vt:lpstr>di_pipe_eq_in_out</vt:lpstr>
      <vt:lpstr>di_pipe_eq_proc</vt:lpstr>
      <vt:lpstr>diameter</vt:lpstr>
      <vt:lpstr>diameter_filt</vt:lpstr>
      <vt:lpstr>diesel_cost_cl</vt:lpstr>
      <vt:lpstr>diesel_eff</vt:lpstr>
      <vt:lpstr>diesel_heat_content</vt:lpstr>
      <vt:lpstr>diesel_non_eff</vt:lpstr>
      <vt:lpstr>diffuser_cost_cl</vt:lpstr>
      <vt:lpstr>diffuser_eq</vt:lpstr>
      <vt:lpstr>diffuser_size</vt:lpstr>
      <vt:lpstr>dike_volume</vt:lpstr>
      <vt:lpstr>dike_xsection</vt:lpstr>
      <vt:lpstr>diluted_rate</vt:lpstr>
      <vt:lpstr>dimp_mix_eq_coag</vt:lpstr>
      <vt:lpstr>dimp_mix_eq_e_donor</vt:lpstr>
      <vt:lpstr>dimp_mix_eq_H2O2</vt:lpstr>
      <vt:lpstr>dimp_mix_eq_H3PO4</vt:lpstr>
      <vt:lpstr>dimp_mix_eq_NH4Cl</vt:lpstr>
      <vt:lpstr>direct_cost</vt:lpstr>
      <vt:lpstr>direct_for_UL</vt:lpstr>
      <vt:lpstr>Discount_rate</vt:lpstr>
      <vt:lpstr>discrete_inputs</vt:lpstr>
      <vt:lpstr>discrete_outputs</vt:lpstr>
      <vt:lpstr>distance_above</vt:lpstr>
      <vt:lpstr>distance_above_filt</vt:lpstr>
      <vt:lpstr>dmount_mix_eq_coag</vt:lpstr>
      <vt:lpstr>dmount_mix_eq_e_donor</vt:lpstr>
      <vt:lpstr>dmount_mix_eq_H2O2</vt:lpstr>
      <vt:lpstr>dmount_mix_eq_H3PO4</vt:lpstr>
      <vt:lpstr>dmount_mix_eq_NH4Cl</vt:lpstr>
      <vt:lpstr>DO_analyzer</vt:lpstr>
      <vt:lpstr>doanalyzer_cost_cl</vt:lpstr>
      <vt:lpstr>dose_calc</vt:lpstr>
      <vt:lpstr>dredging_freq</vt:lpstr>
      <vt:lpstr>e_donor_cmix_per_tank</vt:lpstr>
      <vt:lpstr>e_donor_cmix_size</vt:lpstr>
      <vt:lpstr>e_donor_cmixers</vt:lpstr>
      <vt:lpstr>e_donor_day</vt:lpstr>
      <vt:lpstr>e_donor_day_100pct</vt:lpstr>
      <vt:lpstr>e_donor_day_fp</vt:lpstr>
      <vt:lpstr>e_donor_day_tank_vol</vt:lpstr>
      <vt:lpstr>e_donor_day_tank_vol_needed</vt:lpstr>
      <vt:lpstr>e_donor_day_tanks</vt:lpstr>
      <vt:lpstr>e_donor_day_vol</vt:lpstr>
      <vt:lpstr>e_donor_dmix_per_tank</vt:lpstr>
      <vt:lpstr>e_donor_dmix_size</vt:lpstr>
      <vt:lpstr>e_donor_dmixers</vt:lpstr>
      <vt:lpstr>e_donor_dose</vt:lpstr>
      <vt:lpstr>e_donor_dose_I</vt:lpstr>
      <vt:lpstr>e_donor_dt_coating_gal</vt:lpstr>
      <vt:lpstr>e_donor_dt_cont_fp</vt:lpstr>
      <vt:lpstr>e_donor_dt_cont_volume</vt:lpstr>
      <vt:lpstr>e_donor_dt_curb_concrete</vt:lpstr>
      <vt:lpstr>e_donor_dt_curb_height</vt:lpstr>
      <vt:lpstr>e_donor_dt_curb_len_long</vt:lpstr>
      <vt:lpstr>e_donor_dt_curb_len_short</vt:lpstr>
      <vt:lpstr>e_donor_dt_curb_thick</vt:lpstr>
      <vt:lpstr>e_donor_dt_diam</vt:lpstr>
      <vt:lpstr>e_donor_fp</vt:lpstr>
      <vt:lpstr>e_donor_pipe_diam</vt:lpstr>
      <vt:lpstr>e_donor_pipe_flow</vt:lpstr>
      <vt:lpstr>e_donor_pipe_length</vt:lpstr>
      <vt:lpstr>e_donor_st_coating_gal</vt:lpstr>
      <vt:lpstr>e_donor_st_cont_fp</vt:lpstr>
      <vt:lpstr>e_donor_st_cont_volume</vt:lpstr>
      <vt:lpstr>e_donor_st_curb_concrete</vt:lpstr>
      <vt:lpstr>e_donor_st_curb_height</vt:lpstr>
      <vt:lpstr>e_donor_st_curb_len_long</vt:lpstr>
      <vt:lpstr>e_donor_st_curb_len_short</vt:lpstr>
      <vt:lpstr>e_donor_st_curb_thick</vt:lpstr>
      <vt:lpstr>e_donor_st_diam</vt:lpstr>
      <vt:lpstr>e_donor_store</vt:lpstr>
      <vt:lpstr>e_donor_tank_vol</vt:lpstr>
      <vt:lpstr>e_donor_tanks</vt:lpstr>
      <vt:lpstr>e_donor_type</vt:lpstr>
      <vt:lpstr>e_donor_type_I</vt:lpstr>
      <vt:lpstr>e_donor_valve_size</vt:lpstr>
      <vt:lpstr>EBCT</vt:lpstr>
      <vt:lpstr>ebct_filt</vt:lpstr>
      <vt:lpstr>ebct_I</vt:lpstr>
      <vt:lpstr>EBCT_tank</vt:lpstr>
      <vt:lpstr>EBCT_tank_filt</vt:lpstr>
      <vt:lpstr>eductor_size_table_cl</vt:lpstr>
      <vt:lpstr>EER</vt:lpstr>
      <vt:lpstr>effluent_TSS</vt:lpstr>
      <vt:lpstr>elec_encl</vt:lpstr>
      <vt:lpstr>elec_encl_cost_cl</vt:lpstr>
      <vt:lpstr>elect_pct</vt:lpstr>
      <vt:lpstr>eloss_blowers</vt:lpstr>
      <vt:lpstr>eloss_bw_pumps</vt:lpstr>
      <vt:lpstr>eloss_pumps</vt:lpstr>
      <vt:lpstr>eloss_recycle_pumps</vt:lpstr>
      <vt:lpstr>eloss_scour_blowers</vt:lpstr>
      <vt:lpstr>energy_cost_cl</vt:lpstr>
      <vt:lpstr>eng_pct_large</vt:lpstr>
      <vt:lpstr>eng_pct_medium</vt:lpstr>
      <vt:lpstr>eng_pct_small</vt:lpstr>
      <vt:lpstr>ep_backfill_vol</vt:lpstr>
      <vt:lpstr>ep_cell_side</vt:lpstr>
      <vt:lpstr>ep_cells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ethanol_dens</vt:lpstr>
      <vt:lpstr>ethanol_dose_sample</vt:lpstr>
      <vt:lpstr>ethanol_purchase</vt:lpstr>
      <vt:lpstr>ethanol_store</vt:lpstr>
      <vt:lpstr>ethanol_use</vt:lpstr>
      <vt:lpstr>evap_ratio</vt:lpstr>
      <vt:lpstr>ex_TSS_total</vt:lpstr>
      <vt:lpstr>excavate_cost_cl</vt:lpstr>
      <vt:lpstr>excavation_vol</vt:lpstr>
      <vt:lpstr>facil_length</vt:lpstr>
      <vt:lpstr>fan_days_build1_large</vt:lpstr>
      <vt:lpstr>fan_days_build1_medium</vt:lpstr>
      <vt:lpstr>fan_days_build1_small</vt:lpstr>
      <vt:lpstr>fan_days_build2_large</vt:lpstr>
      <vt:lpstr>fan_days_build2_medium</vt:lpstr>
      <vt:lpstr>fan_days_build2_small</vt:lpstr>
      <vt:lpstr>Fan_pressure_drop</vt:lpstr>
      <vt:lpstr>fg_aeration_eq</vt:lpstr>
      <vt:lpstr>fg_bwt_cost_cl</vt:lpstr>
      <vt:lpstr>fg_bwt_eq</vt:lpstr>
      <vt:lpstr>fg_coag_day_eq</vt:lpstr>
      <vt:lpstr>fg_coag_eq</vt:lpstr>
      <vt:lpstr>fg_coag_st_eq</vt:lpstr>
      <vt:lpstr>fg_cst_cost_cl</vt:lpstr>
      <vt:lpstr>fg_e_donor_day_eq</vt:lpstr>
      <vt:lpstr>fg_e_donor_st_eq</vt:lpstr>
      <vt:lpstr>fg_H3PO4_day_eq</vt:lpstr>
      <vt:lpstr>fg_H3PO4_st_eq</vt:lpstr>
      <vt:lpstr>fg_ht_eq</vt:lpstr>
      <vt:lpstr>fg_NH4Cl_day_eq</vt:lpstr>
      <vt:lpstr>fg_NH4Cl_st_eq</vt:lpstr>
      <vt:lpstr>fg_polymer_st_eq</vt:lpstr>
      <vt:lpstr>fg_pv_cost_cl</vt:lpstr>
      <vt:lpstr>fg_pv_eq</vt:lpstr>
      <vt:lpstr>fg_pv_eq_filt</vt:lpstr>
      <vt:lpstr>filt_backfill_vol</vt:lpstr>
      <vt:lpstr>filt_basin_area</vt:lpstr>
      <vt:lpstr>filt_basin_conc_vol</vt:lpstr>
      <vt:lpstr>filt_basin_depth</vt:lpstr>
      <vt:lpstr>filt_basin_length</vt:lpstr>
      <vt:lpstr>filt_basin_op_depth</vt:lpstr>
      <vt:lpstr>filt_basin_width</vt:lpstr>
      <vt:lpstr>filt_bed_depth</vt:lpstr>
      <vt:lpstr>filt_bed_expansion</vt:lpstr>
      <vt:lpstr>filt_bed_volume</vt:lpstr>
      <vt:lpstr>filt_comm_diam</vt:lpstr>
      <vt:lpstr>filt_comm_height_length</vt:lpstr>
      <vt:lpstr>filt_excavation_vol</vt:lpstr>
      <vt:lpstr>filt_freeboard</vt:lpstr>
      <vt:lpstr>filt_GAC</vt:lpstr>
      <vt:lpstr>filt_GAC_each</vt:lpstr>
      <vt:lpstr>filt_gac_eq</vt:lpstr>
      <vt:lpstr>filt_int_eq</vt:lpstr>
      <vt:lpstr>filt_NRD_basins_large</vt:lpstr>
      <vt:lpstr>filt_NRD_basins_medium</vt:lpstr>
      <vt:lpstr>filt_NRD_small</vt:lpstr>
      <vt:lpstr>filt_NRD_small_1</vt:lpstr>
      <vt:lpstr>filt_railing</vt:lpstr>
      <vt:lpstr>filt_tank_geom_I</vt:lpstr>
      <vt:lpstr>filt_volume</vt:lpstr>
      <vt:lpstr>filter_anthracite_loss</vt:lpstr>
      <vt:lpstr>filter_back_interval</vt:lpstr>
      <vt:lpstr>filter_back_interval_I</vt:lpstr>
      <vt:lpstr>filter_backwash_time</vt:lpstr>
      <vt:lpstr>filter_backwash_yr</vt:lpstr>
      <vt:lpstr>filter_fp</vt:lpstr>
      <vt:lpstr>filter_garnet_loss</vt:lpstr>
      <vt:lpstr>filter_h2oflush_backwash_rate</vt:lpstr>
      <vt:lpstr>filter_labor</vt:lpstr>
      <vt:lpstr>filter_materials</vt:lpstr>
      <vt:lpstr>filter_media_loss</vt:lpstr>
      <vt:lpstr>filter_media_loss_rate</vt:lpstr>
      <vt:lpstr>filter_res_flow</vt:lpstr>
      <vt:lpstr>filter_res_flow_actual</vt:lpstr>
      <vt:lpstr>filter_res_flow_annual</vt:lpstr>
      <vt:lpstr>filter_res_stagger_time</vt:lpstr>
      <vt:lpstr>filter_res_vol</vt:lpstr>
      <vt:lpstr>filter_sand_loss</vt:lpstr>
      <vt:lpstr>filter_type</vt:lpstr>
      <vt:lpstr>filter_type_I</vt:lpstr>
      <vt:lpstr>filter_vessel_fp</vt:lpstr>
      <vt:lpstr>filter_water_flush</vt:lpstr>
      <vt:lpstr>filter_waterflush_vol</vt:lpstr>
      <vt:lpstr>final_num_tanks</vt:lpstr>
      <vt:lpstr>final_num_tanks_filt</vt:lpstr>
      <vt:lpstr>finance_pct</vt:lpstr>
      <vt:lpstr>finance_pct_small</vt:lpstr>
      <vt:lpstr>fire_buffer</vt:lpstr>
      <vt:lpstr>flow_per_vessel</vt:lpstr>
      <vt:lpstr>flow_per_vessel_filt</vt:lpstr>
      <vt:lpstr>fluid_media_loss_rate</vt:lpstr>
      <vt:lpstr>fm_lkp_back</vt:lpstr>
      <vt:lpstr>fm_lkp_io</vt:lpstr>
      <vt:lpstr>fm_lkp_proc</vt:lpstr>
      <vt:lpstr>fm_lkp_res</vt:lpstr>
      <vt:lpstr>fm_proc</vt:lpstr>
      <vt:lpstr>fp_required</vt:lpstr>
      <vt:lpstr>free_board</vt:lpstr>
      <vt:lpstr>freeboard_fluidized</vt:lpstr>
      <vt:lpstr>freeboard_fluidized_small</vt:lpstr>
      <vt:lpstr>freeboard_horiz_void</vt:lpstr>
      <vt:lpstr>freeboard_horiz_void_filt</vt:lpstr>
      <vt:lpstr>frost</vt:lpstr>
      <vt:lpstr>gac_cost_cl</vt:lpstr>
      <vt:lpstr>GAC_density</vt:lpstr>
      <vt:lpstr>gac_eq</vt:lpstr>
      <vt:lpstr>GAC_fraction</vt:lpstr>
      <vt:lpstr>gac_slurry_cost_cl</vt:lpstr>
      <vt:lpstr>garnet</vt:lpstr>
      <vt:lpstr>garnet_density</vt:lpstr>
      <vt:lpstr>garnet_each</vt:lpstr>
      <vt:lpstr>garnet_fraction</vt:lpstr>
      <vt:lpstr>gas_cost_cl</vt:lpstr>
      <vt:lpstr>gas_eff</vt:lpstr>
      <vt:lpstr>gas_non_eff</vt:lpstr>
      <vt:lpstr>General_Oper_Labor</vt:lpstr>
      <vt:lpstr>geotech_cost</vt:lpstr>
      <vt:lpstr>H202_pipe_diam</vt:lpstr>
      <vt:lpstr>H202_pipe_flow</vt:lpstr>
      <vt:lpstr>H202_pipe_length</vt:lpstr>
      <vt:lpstr>H2O2_cmix_per_tank</vt:lpstr>
      <vt:lpstr>H2O2_cmix_size</vt:lpstr>
      <vt:lpstr>H2O2_cmixers</vt:lpstr>
      <vt:lpstr>H2O2_day</vt:lpstr>
      <vt:lpstr>H2O2_day_tank_vol</vt:lpstr>
      <vt:lpstr>H2O2_day_tank_vol_needed</vt:lpstr>
      <vt:lpstr>H2O2_day_tanks</vt:lpstr>
      <vt:lpstr>H2O2_days</vt:lpstr>
      <vt:lpstr>H2O2_dilute_conc</vt:lpstr>
      <vt:lpstr>H2O2_dmix_per_tank</vt:lpstr>
      <vt:lpstr>H2O2_dmix_size</vt:lpstr>
      <vt:lpstr>H2O2_dmixers</vt:lpstr>
      <vt:lpstr>H2O2_donor_day_fp</vt:lpstr>
      <vt:lpstr>H2O2_donor_fp</vt:lpstr>
      <vt:lpstr>H2O2_dose</vt:lpstr>
      <vt:lpstr>H2O2_dt_coating_gal</vt:lpstr>
      <vt:lpstr>H2O2_dt_cont_fp</vt:lpstr>
      <vt:lpstr>H2O2_dt_cont_volume</vt:lpstr>
      <vt:lpstr>H2O2_dt_curb_concrete</vt:lpstr>
      <vt:lpstr>H2O2_dt_curb_height</vt:lpstr>
      <vt:lpstr>H2O2_dt_curb_len_long</vt:lpstr>
      <vt:lpstr>H2O2_dt_curb_len_short</vt:lpstr>
      <vt:lpstr>H2O2_dt_curb_thick</vt:lpstr>
      <vt:lpstr>H2O2_dt_diam</vt:lpstr>
      <vt:lpstr>H2O2_grade</vt:lpstr>
      <vt:lpstr>H2O2_mixers</vt:lpstr>
      <vt:lpstr>H2O2_purchase</vt:lpstr>
      <vt:lpstr>H2O2_sg</vt:lpstr>
      <vt:lpstr>H2O2_st_coating_gal</vt:lpstr>
      <vt:lpstr>H2O2_st_cont_fp</vt:lpstr>
      <vt:lpstr>H2O2_st_cont_volume</vt:lpstr>
      <vt:lpstr>H2O2_st_curb_concrete</vt:lpstr>
      <vt:lpstr>H2O2_st_curb_height</vt:lpstr>
      <vt:lpstr>H2O2_st_curb_len_long</vt:lpstr>
      <vt:lpstr>H2O2_st_curb_len_short</vt:lpstr>
      <vt:lpstr>H2O2_st_curb_thick</vt:lpstr>
      <vt:lpstr>H2O2_st_diam</vt:lpstr>
      <vt:lpstr>H2O2_store_gal</vt:lpstr>
      <vt:lpstr>H2O2_store_lbs</vt:lpstr>
      <vt:lpstr>H2O2_tank_vol</vt:lpstr>
      <vt:lpstr>H2O2_tanks</vt:lpstr>
      <vt:lpstr>H2O2_use</vt:lpstr>
      <vt:lpstr>H2O2_valve_size</vt:lpstr>
      <vt:lpstr>h2oflush_backwash_rate</vt:lpstr>
      <vt:lpstr>H3PO4_cmix_per_tank</vt:lpstr>
      <vt:lpstr>H3PO4_cmix_size</vt:lpstr>
      <vt:lpstr>H3PO4_cmixers</vt:lpstr>
      <vt:lpstr>H3PO4_day</vt:lpstr>
      <vt:lpstr>H3PO4_day_tank_vol</vt:lpstr>
      <vt:lpstr>H3PO4_day_tank_vol_needed</vt:lpstr>
      <vt:lpstr>H3PO4_day_tanks</vt:lpstr>
      <vt:lpstr>H3PO4_dens</vt:lpstr>
      <vt:lpstr>H3PO4_dmix_per_tank</vt:lpstr>
      <vt:lpstr>H3PO4_dmix_size</vt:lpstr>
      <vt:lpstr>H3PO4_dmixers</vt:lpstr>
      <vt:lpstr>H3PO4_donor_day_fp</vt:lpstr>
      <vt:lpstr>H3PO4_donor_fp</vt:lpstr>
      <vt:lpstr>H3PO4_dose_I</vt:lpstr>
      <vt:lpstr>H3PO4_dt_coating_gal</vt:lpstr>
      <vt:lpstr>H3PO4_dt_cont_fp</vt:lpstr>
      <vt:lpstr>H3PO4_dt_cont_volume</vt:lpstr>
      <vt:lpstr>H3PO4_dt_curb_concrete</vt:lpstr>
      <vt:lpstr>H3PO4_dt_curb_height</vt:lpstr>
      <vt:lpstr>H3PO4_dt_curb_len_long</vt:lpstr>
      <vt:lpstr>H3PO4_dt_curb_len_short</vt:lpstr>
      <vt:lpstr>H3PO4_dt_curb_thick</vt:lpstr>
      <vt:lpstr>H3PO4_dt_diam</vt:lpstr>
      <vt:lpstr>H3PO4_pct</vt:lpstr>
      <vt:lpstr>H3PO4_pipe_diam</vt:lpstr>
      <vt:lpstr>H3PO4_pipe_flow</vt:lpstr>
      <vt:lpstr>H3PO4_pipe_length</vt:lpstr>
      <vt:lpstr>H3PO4_purchase</vt:lpstr>
      <vt:lpstr>H3PO4_st_coating_gal</vt:lpstr>
      <vt:lpstr>H3PO4_st_cont_fp</vt:lpstr>
      <vt:lpstr>H3PO4_st_cont_volume</vt:lpstr>
      <vt:lpstr>H3PO4_st_curb_concrete</vt:lpstr>
      <vt:lpstr>H3PO4_st_curb_height</vt:lpstr>
      <vt:lpstr>H3PO4_st_curb_len_long</vt:lpstr>
      <vt:lpstr>H3PO4_st_curb_len_short</vt:lpstr>
      <vt:lpstr>H3PO4_st_curb_thick</vt:lpstr>
      <vt:lpstr>H3PO4_st_diam</vt:lpstr>
      <vt:lpstr>H3PO4_store</vt:lpstr>
      <vt:lpstr>H3PO4_store_lbs</vt:lpstr>
      <vt:lpstr>H3PO4_strength</vt:lpstr>
      <vt:lpstr>H3PO4_tank_vol</vt:lpstr>
      <vt:lpstr>H3PO4_tanks</vt:lpstr>
      <vt:lpstr>H3PO4_use</vt:lpstr>
      <vt:lpstr>H3PO4_valve_size</vt:lpstr>
      <vt:lpstr>H3PO4_vol</vt:lpstr>
      <vt:lpstr>haz_disposal_cost_cl</vt:lpstr>
      <vt:lpstr>haz_miles</vt:lpstr>
      <vt:lpstr>haz_trans_min_cost_cl</vt:lpstr>
      <vt:lpstr>haz_transportation_cost_cl</vt:lpstr>
      <vt:lpstr>hbackfill_vol</vt:lpstr>
      <vt:lpstr>hbasin_depth</vt:lpstr>
      <vt:lpstr>hbasin_fp</vt:lpstr>
      <vt:lpstr>hbasin_length</vt:lpstr>
      <vt:lpstr>hbasin_op_depth</vt:lpstr>
      <vt:lpstr>hbasin_redun</vt:lpstr>
      <vt:lpstr>hbasin_vol</vt:lpstr>
      <vt:lpstr>hbasin_width</vt:lpstr>
      <vt:lpstr>hbasins</vt:lpstr>
      <vt:lpstr>hbasins_default</vt:lpstr>
      <vt:lpstr>hconc_vol</vt:lpstr>
      <vt:lpstr>hdpe_aeration_eq</vt:lpstr>
      <vt:lpstr>hdpe_bwt_cost_cl</vt:lpstr>
      <vt:lpstr>hdpe_bwt_eq</vt:lpstr>
      <vt:lpstr>hdpe_coag_eq</vt:lpstr>
      <vt:lpstr>hdpe_ht_eq</vt:lpstr>
      <vt:lpstr>head_tank</vt:lpstr>
      <vt:lpstr>headloss_cost_cl</vt:lpstr>
      <vt:lpstr>heat_DD</vt:lpstr>
      <vt:lpstr>heat_viload</vt:lpstr>
      <vt:lpstr>heating</vt:lpstr>
      <vt:lpstr>heating_diesel</vt:lpstr>
      <vt:lpstr>heating_diesel_non</vt:lpstr>
      <vt:lpstr>heating_gas</vt:lpstr>
      <vt:lpstr>heating_gas_non</vt:lpstr>
      <vt:lpstr>heating_hp</vt:lpstr>
      <vt:lpstr>heating_matl_rate_cl</vt:lpstr>
      <vt:lpstr>heating_table</vt:lpstr>
      <vt:lpstr>heating_table_shed</vt:lpstr>
      <vt:lpstr>height</vt:lpstr>
      <vt:lpstr>height_filt</vt:lpstr>
      <vt:lpstr>hexcavation_vol</vt:lpstr>
      <vt:lpstr>hh_size</vt:lpstr>
      <vt:lpstr>himp_mix_eq</vt:lpstr>
      <vt:lpstr>hmix_hp_max</vt:lpstr>
      <vt:lpstr>hmix_hp_per</vt:lpstr>
      <vt:lpstr>hmix_per_tank</vt:lpstr>
      <vt:lpstr>hmix_size</vt:lpstr>
      <vt:lpstr>hmixers</vt:lpstr>
      <vt:lpstr>hmount_mix_eq</vt:lpstr>
      <vt:lpstr>holding_freeboard</vt:lpstr>
      <vt:lpstr>holding_ratio</vt:lpstr>
      <vt:lpstr>hole_per_day</vt:lpstr>
      <vt:lpstr>hole_per_job</vt:lpstr>
      <vt:lpstr>hole_per_sf</vt:lpstr>
      <vt:lpstr>horiz_underdrain</vt:lpstr>
      <vt:lpstr>horiz_void</vt:lpstr>
      <vt:lpstr>horiz_void_filt</vt:lpstr>
      <vt:lpstr>horiz_vol_available</vt:lpstr>
      <vt:lpstr>horiz_vol_available_filt</vt:lpstr>
      <vt:lpstr>households</vt:lpstr>
      <vt:lpstr>hp_EER</vt:lpstr>
      <vt:lpstr>hp_max_cool_cl</vt:lpstr>
      <vt:lpstr>hp_max_heat_cl</vt:lpstr>
      <vt:lpstr>hp_ok_1</vt:lpstr>
      <vt:lpstr>hp_ok_2</vt:lpstr>
      <vt:lpstr>hrailing</vt:lpstr>
      <vt:lpstr>hrt_aeration</vt:lpstr>
      <vt:lpstr>ht_diam</vt:lpstr>
      <vt:lpstr>ht_solids</vt:lpstr>
      <vt:lpstr>ht_solids_density</vt:lpstr>
      <vt:lpstr>htank_clean_pct</vt:lpstr>
      <vt:lpstr>htank_fp</vt:lpstr>
      <vt:lpstr>htank_TSSrem</vt:lpstr>
      <vt:lpstr>htank_vol</vt:lpstr>
      <vt:lpstr>htanks</vt:lpstr>
      <vt:lpstr>hvac_ac_cost_cl</vt:lpstr>
      <vt:lpstr>hvac_ac_eq_1</vt:lpstr>
      <vt:lpstr>hvac_ac_eq_2</vt:lpstr>
      <vt:lpstr>hvac_elec_cost_cl</vt:lpstr>
      <vt:lpstr>hvac_elec_eq_1</vt:lpstr>
      <vt:lpstr>hvac_elec_eq_2</vt:lpstr>
      <vt:lpstr>hvac_gas_cost_cl</vt:lpstr>
      <vt:lpstr>hvac_gas_eq_1</vt:lpstr>
      <vt:lpstr>hvac_gas_eq_2</vt:lpstr>
      <vt:lpstr>hvac_gas_non_cost_cl</vt:lpstr>
      <vt:lpstr>hvac_gas_non_eq_1</vt:lpstr>
      <vt:lpstr>hvac_gas_non_eq_2</vt:lpstr>
      <vt:lpstr>hvac_hp_cost_cl</vt:lpstr>
      <vt:lpstr>hvac_hp_eq_1</vt:lpstr>
      <vt:lpstr>hvac_hp_eq_1_l</vt:lpstr>
      <vt:lpstr>hvac_hp_eq_1_s</vt:lpstr>
      <vt:lpstr>hvac_hp_eq_2</vt:lpstr>
      <vt:lpstr>hvac_hp_eq_2_l</vt:lpstr>
      <vt:lpstr>hvac_hp_eq_2_s</vt:lpstr>
      <vt:lpstr>hvac_oil_mid_cost_cl</vt:lpstr>
      <vt:lpstr>hvac_oil_mid_eq_1</vt:lpstr>
      <vt:lpstr>hvac_oil_mid_eq_2</vt:lpstr>
      <vt:lpstr>hvac_oil_std_cost_cl</vt:lpstr>
      <vt:lpstr>hvac_oil_std_eq_1</vt:lpstr>
      <vt:lpstr>hvac_oil_std_eq_2</vt:lpstr>
      <vt:lpstr>hvol_ft</vt:lpstr>
      <vt:lpstr>i_c_pct</vt:lpstr>
      <vt:lpstr>imp_mix_cost_cl</vt:lpstr>
      <vt:lpstr>in_meter_size</vt:lpstr>
      <vt:lpstr>in_mix_cost_cl</vt:lpstr>
      <vt:lpstr>in_mix_eq</vt:lpstr>
      <vt:lpstr>in_out_pipe_diam</vt:lpstr>
      <vt:lpstr>in_out_pipe_flow</vt:lpstr>
      <vt:lpstr>in_out_pipe_length</vt:lpstr>
      <vt:lpstr>in_out_pipe_mult</vt:lpstr>
      <vt:lpstr>in_pipe_diam</vt:lpstr>
      <vt:lpstr>in_valve_size</vt:lpstr>
      <vt:lpstr>include_arch</vt:lpstr>
      <vt:lpstr>include_arch_small</vt:lpstr>
      <vt:lpstr>include_bond</vt:lpstr>
      <vt:lpstr>include_buildings</vt:lpstr>
      <vt:lpstr>include_buildings_I</vt:lpstr>
      <vt:lpstr>include_cm</vt:lpstr>
      <vt:lpstr>include_cm_pre</vt:lpstr>
      <vt:lpstr>include_cmix</vt:lpstr>
      <vt:lpstr>include_coag_filt</vt:lpstr>
      <vt:lpstr>include_coag_filt_I</vt:lpstr>
      <vt:lpstr>include_conting_high</vt:lpstr>
      <vt:lpstr>include_conting_low</vt:lpstr>
      <vt:lpstr>include_conting_medium</vt:lpstr>
      <vt:lpstr>include_geo_high</vt:lpstr>
      <vt:lpstr>include_geo_low</vt:lpstr>
      <vt:lpstr>include_geo_medium</vt:lpstr>
      <vt:lpstr>include_HVAC</vt:lpstr>
      <vt:lpstr>include_HVAC_I</vt:lpstr>
      <vt:lpstr>include_land</vt:lpstr>
      <vt:lpstr>include_land_I</vt:lpstr>
      <vt:lpstr>include_NEPA</vt:lpstr>
      <vt:lpstr>include_pad</vt:lpstr>
      <vt:lpstr>include_permits</vt:lpstr>
      <vt:lpstr>include_pilot</vt:lpstr>
      <vt:lpstr>include_post</vt:lpstr>
      <vt:lpstr>include_post_h2o2</vt:lpstr>
      <vt:lpstr>include_post_h2o2_I</vt:lpstr>
      <vt:lpstr>include_post_I</vt:lpstr>
      <vt:lpstr>include_sec_cont</vt:lpstr>
      <vt:lpstr>include_sitework</vt:lpstr>
      <vt:lpstr>include_standby</vt:lpstr>
      <vt:lpstr>include_standby_small</vt:lpstr>
      <vt:lpstr>include_yardpipe</vt:lpstr>
      <vt:lpstr>indirect_cost</vt:lpstr>
      <vt:lpstr>indirect_cost_add</vt:lpstr>
      <vt:lpstr>indirect_cost_mult</vt:lpstr>
      <vt:lpstr>influent_TSS</vt:lpstr>
      <vt:lpstr>inp_autosize_filt_gravity</vt:lpstr>
      <vt:lpstr>inp_autosize_filt_pressure</vt:lpstr>
      <vt:lpstr>inp_autosize_gravity</vt:lpstr>
      <vt:lpstr>inp_autosize_pressure</vt:lpstr>
      <vt:lpstr>inp_sel</vt:lpstr>
      <vt:lpstr>inp_used</vt:lpstr>
      <vt:lpstr>inp_used_filt_gravity</vt:lpstr>
      <vt:lpstr>inp_used_filt_pressure</vt:lpstr>
      <vt:lpstr>inp_used_gravity</vt:lpstr>
      <vt:lpstr>inp_used_minimal</vt:lpstr>
      <vt:lpstr>inp_used_nonvessel1</vt:lpstr>
      <vt:lpstr>inp_used_nonvessel2</vt:lpstr>
      <vt:lpstr>inp_used_nonvessel3</vt:lpstr>
      <vt:lpstr>inp_used_pressure</vt:lpstr>
      <vt:lpstr>inp_usersel</vt:lpstr>
      <vt:lpstr>input_checks</vt:lpstr>
      <vt:lpstr>input_complete</vt:lpstr>
      <vt:lpstr>input_status</vt:lpstr>
      <vt:lpstr>input_vol_vess</vt:lpstr>
      <vt:lpstr>inst_pct</vt:lpstr>
      <vt:lpstr>labor_table_cl</vt:lpstr>
      <vt:lpstr>land_cost</vt:lpstr>
      <vt:lpstr>land_cost_cl</vt:lpstr>
      <vt:lpstr>land_required</vt:lpstr>
      <vt:lpstr>laser_printer_cost_cl</vt:lpstr>
      <vt:lpstr>lb_P_day</vt:lpstr>
      <vt:lpstr>legal_pct</vt:lpstr>
      <vt:lpstr>length_diam_ratio</vt:lpstr>
      <vt:lpstr>level_switch</vt:lpstr>
      <vt:lpstr>level_switch_g</vt:lpstr>
      <vt:lpstr>level_switch_small</vt:lpstr>
      <vt:lpstr>level_switch_small_g</vt:lpstr>
      <vt:lpstr>lighting</vt:lpstr>
      <vt:lpstr>lighting_energy_1</vt:lpstr>
      <vt:lpstr>lighting_energy_2</vt:lpstr>
      <vt:lpstr>lighting_power_high</vt:lpstr>
      <vt:lpstr>lighting_power_low</vt:lpstr>
      <vt:lpstr>lighting_power_mid</vt:lpstr>
      <vt:lpstr>liner_area</vt:lpstr>
      <vt:lpstr>lines_pump_I</vt:lpstr>
      <vt:lpstr>link_annc</vt:lpstr>
      <vt:lpstr>link_aoc</vt:lpstr>
      <vt:lpstr>link_bed_constraints</vt:lpstr>
      <vt:lpstr>link_bed_depth</vt:lpstr>
      <vt:lpstr>link_dcc</vt:lpstr>
      <vt:lpstr>link_dim_constraints</vt:lpstr>
      <vt:lpstr>link_filter_bed_constraints</vt:lpstr>
      <vt:lpstr>link_icc</vt:lpstr>
      <vt:lpstr>link_length</vt:lpstr>
      <vt:lpstr>link_load</vt:lpstr>
      <vt:lpstr>link_omc</vt:lpstr>
      <vt:lpstr>link_output</vt:lpstr>
      <vt:lpstr>link_tcc</vt:lpstr>
      <vt:lpstr>link_width</vt:lpstr>
      <vt:lpstr>load_max</vt:lpstr>
      <vt:lpstr>load_max_filt</vt:lpstr>
      <vt:lpstr>load_min</vt:lpstr>
      <vt:lpstr>load_min_filt</vt:lpstr>
      <vt:lpstr>low_sa</vt:lpstr>
      <vt:lpstr>mag_fm_cost_cl</vt:lpstr>
      <vt:lpstr>mag_fm_eq_back</vt:lpstr>
      <vt:lpstr>mag_fm_eq_in</vt:lpstr>
      <vt:lpstr>mag_fm_eq_proc</vt:lpstr>
      <vt:lpstr>mag_fm_eq_res</vt:lpstr>
      <vt:lpstr>Manager_LOE</vt:lpstr>
      <vt:lpstr>Manager_percent</vt:lpstr>
      <vt:lpstr>manual</vt:lpstr>
      <vt:lpstr>manual_I</vt:lpstr>
      <vt:lpstr>Materials_pct</vt:lpstr>
      <vt:lpstr>max_aeration_tank_size</vt:lpstr>
      <vt:lpstr>max_back_tank_size</vt:lpstr>
      <vt:lpstr>max_bed_depth</vt:lpstr>
      <vt:lpstr>max_blower_size</vt:lpstr>
      <vt:lpstr>max_chem_tank_size</vt:lpstr>
      <vt:lpstr>max_chem_tank_size_H2O2</vt:lpstr>
      <vt:lpstr>max_chem_tank_size_noSS</vt:lpstr>
      <vt:lpstr>max_cm_pump_size</vt:lpstr>
      <vt:lpstr>max_cm_pump_size_noSS</vt:lpstr>
      <vt:lpstr>max_coag_mix_tank</vt:lpstr>
      <vt:lpstr>max_comm_height</vt:lpstr>
      <vt:lpstr>max_comm_height_filt</vt:lpstr>
      <vt:lpstr>max_cool_cl</vt:lpstr>
      <vt:lpstr>max_depth</vt:lpstr>
      <vt:lpstr>max_diam</vt:lpstr>
      <vt:lpstr>max_diam_override</vt:lpstr>
      <vt:lpstr>max_diam_std_size</vt:lpstr>
      <vt:lpstr>max_diffuser_size</vt:lpstr>
      <vt:lpstr>max_eductor_size</vt:lpstr>
      <vt:lpstr>max_ep_cell_area</vt:lpstr>
      <vt:lpstr>max_excav_depth</vt:lpstr>
      <vt:lpstr>max_haz_ship</vt:lpstr>
      <vt:lpstr>max_heat_cl</vt:lpstr>
      <vt:lpstr>max_height</vt:lpstr>
      <vt:lpstr>max_htank_size</vt:lpstr>
      <vt:lpstr>max_length</vt:lpstr>
      <vt:lpstr>max_length_g</vt:lpstr>
      <vt:lpstr>max_pump_size</vt:lpstr>
      <vt:lpstr>max_sa</vt:lpstr>
      <vt:lpstr>max_sa_filt</vt:lpstr>
      <vt:lpstr>max_space_vessels</vt:lpstr>
      <vt:lpstr>max_space_vessels_cust</vt:lpstr>
      <vt:lpstr>max_space_vessels_pre</vt:lpstr>
      <vt:lpstr>max_thick_depth</vt:lpstr>
      <vt:lpstr>max_thick_tank_size</vt:lpstr>
      <vt:lpstr>max_vessel_diam_cl</vt:lpstr>
      <vt:lpstr>max_width</vt:lpstr>
      <vt:lpstr>media_cost_cl</vt:lpstr>
      <vt:lpstr>media_loss</vt:lpstr>
      <vt:lpstr>media_loss_rate</vt:lpstr>
      <vt:lpstr>media_volume</vt:lpstr>
      <vt:lpstr>media_volume_expanded</vt:lpstr>
      <vt:lpstr>media_volume_filt</vt:lpstr>
      <vt:lpstr>metal_cost_cl</vt:lpstr>
      <vt:lpstr>min_avg_flow</vt:lpstr>
      <vt:lpstr>min_basin_vol</vt:lpstr>
      <vt:lpstr>min_bed_depth</vt:lpstr>
      <vt:lpstr>min_chem_flow</vt:lpstr>
      <vt:lpstr>min_cmix_hp</vt:lpstr>
      <vt:lpstr>min_comm_height</vt:lpstr>
      <vt:lpstr>min_comm_height_filt</vt:lpstr>
      <vt:lpstr>min_depth</vt:lpstr>
      <vt:lpstr>min_diam</vt:lpstr>
      <vt:lpstr>min_ep_cells</vt:lpstr>
      <vt:lpstr>min_filt_vol</vt:lpstr>
      <vt:lpstr>min_hmix_hp</vt:lpstr>
      <vt:lpstr>min_holes</vt:lpstr>
      <vt:lpstr>min_length_g</vt:lpstr>
      <vt:lpstr>min_mix_hp</vt:lpstr>
      <vt:lpstr>min_res_pipe_size</vt:lpstr>
      <vt:lpstr>min_standby</vt:lpstr>
      <vt:lpstr>min_trench_depth</vt:lpstr>
      <vt:lpstr>min_vessel_diam_cl</vt:lpstr>
      <vt:lpstr>min_width</vt:lpstr>
      <vt:lpstr>misc_pct</vt:lpstr>
      <vt:lpstr>Missing_Cost</vt:lpstr>
      <vt:lpstr>mix_hp_max</vt:lpstr>
      <vt:lpstr>mix_hp_per</vt:lpstr>
      <vt:lpstr>mix_per_tank</vt:lpstr>
      <vt:lpstr>mix_size</vt:lpstr>
      <vt:lpstr>mixer_size</vt:lpstr>
      <vt:lpstr>mixer_size_max</vt:lpstr>
      <vt:lpstr>mixers</vt:lpstr>
      <vt:lpstr>mob_pct_large</vt:lpstr>
      <vt:lpstr>mob_pct_medium</vt:lpstr>
      <vt:lpstr>mob_pct_pre</vt:lpstr>
      <vt:lpstr>mob_pct_small</vt:lpstr>
      <vt:lpstr>mount_mix_cost_cl</vt:lpstr>
      <vt:lpstr>N_analyzer</vt:lpstr>
      <vt:lpstr>n_mixers</vt:lpstr>
      <vt:lpstr>need_cool</vt:lpstr>
      <vt:lpstr>need_heat</vt:lpstr>
      <vt:lpstr>NEPA_cost_cl</vt:lpstr>
      <vt:lpstr>NEPA_SW_cost_cl</vt:lpstr>
      <vt:lpstr>next_loc_marker</vt:lpstr>
      <vt:lpstr>NH4Cl_cmix_per_tank</vt:lpstr>
      <vt:lpstr>NH4Cl_cmix_size</vt:lpstr>
      <vt:lpstr>NH4Cl_cmixers</vt:lpstr>
      <vt:lpstr>NH4Cl_day</vt:lpstr>
      <vt:lpstr>NH4Cl_day_tank_vol</vt:lpstr>
      <vt:lpstr>NH4Cl_day_tank_vol_needed</vt:lpstr>
      <vt:lpstr>NH4Cl_day_tanks</vt:lpstr>
      <vt:lpstr>NH4CL_dens</vt:lpstr>
      <vt:lpstr>NH4Cl_dmix_per_tank</vt:lpstr>
      <vt:lpstr>NH4Cl_dmix_size</vt:lpstr>
      <vt:lpstr>NH4Cl_dmixers</vt:lpstr>
      <vt:lpstr>NH4Cl_donor_day_fp</vt:lpstr>
      <vt:lpstr>NH4Cl_donor_fp</vt:lpstr>
      <vt:lpstr>NH4Cl_dose</vt:lpstr>
      <vt:lpstr>NH4Cl_dose_I</vt:lpstr>
      <vt:lpstr>NH4Cl_dt_coating_gal</vt:lpstr>
      <vt:lpstr>NH4Cl_dt_cont_fp</vt:lpstr>
      <vt:lpstr>NH4Cl_dt_cont_volume</vt:lpstr>
      <vt:lpstr>NH4Cl_dt_curb_concrete</vt:lpstr>
      <vt:lpstr>NH4Cl_dt_curb_height</vt:lpstr>
      <vt:lpstr>NH4Cl_dt_curb_len_long</vt:lpstr>
      <vt:lpstr>NH4Cl_dt_curb_len_short</vt:lpstr>
      <vt:lpstr>NH4Cl_dt_curb_thick</vt:lpstr>
      <vt:lpstr>NH4Cl_dt_diam</vt:lpstr>
      <vt:lpstr>NH4Cl_pipe_diam</vt:lpstr>
      <vt:lpstr>NH4Cl_pipe_flow</vt:lpstr>
      <vt:lpstr>NH4Cl_pipe_length</vt:lpstr>
      <vt:lpstr>NH4Cl_purchase</vt:lpstr>
      <vt:lpstr>NH4Cl_st_coating_gal</vt:lpstr>
      <vt:lpstr>NH4Cl_st_cont_fp</vt:lpstr>
      <vt:lpstr>NH4Cl_st_cont_volume</vt:lpstr>
      <vt:lpstr>NH4Cl_st_curb_concrete</vt:lpstr>
      <vt:lpstr>NH4Cl_st_curb_height</vt:lpstr>
      <vt:lpstr>NH4Cl_st_curb_len_long</vt:lpstr>
      <vt:lpstr>NH4Cl_st_curb_len_short</vt:lpstr>
      <vt:lpstr>NH4Cl_st_curb_thick</vt:lpstr>
      <vt:lpstr>NH4Cl_st_diam</vt:lpstr>
      <vt:lpstr>NH4Cl_store</vt:lpstr>
      <vt:lpstr>NH4Cl_store_lbs</vt:lpstr>
      <vt:lpstr>NH4Cl_tank_vol</vt:lpstr>
      <vt:lpstr>NH4Cl_tanks</vt:lpstr>
      <vt:lpstr>NH4Cl_use</vt:lpstr>
      <vt:lpstr>NH4Cl_valve_size</vt:lpstr>
      <vt:lpstr>NH4Cl_vol</vt:lpstr>
      <vt:lpstr>nitrateanalyzer_cost_cl</vt:lpstr>
      <vt:lpstr>no_back_tank</vt:lpstr>
      <vt:lpstr>no_back_tank_I</vt:lpstr>
      <vt:lpstr>no_backwash</vt:lpstr>
      <vt:lpstr>no_backwash_I</vt:lpstr>
      <vt:lpstr>NO3_in</vt:lpstr>
      <vt:lpstr>non_fire_buffer</vt:lpstr>
      <vt:lpstr>non_haz_miles</vt:lpstr>
      <vt:lpstr>nonhaz_disposal_cost_cl</vt:lpstr>
      <vt:lpstr>nonhaz_transportation_cost_cl</vt:lpstr>
      <vt:lpstr>NPDES_permit_cost_cl</vt:lpstr>
      <vt:lpstr>NRD</vt:lpstr>
      <vt:lpstr>NRD_back_pumps</vt:lpstr>
      <vt:lpstr>NRD_basins_large</vt:lpstr>
      <vt:lpstr>NRD_basins_medium</vt:lpstr>
      <vt:lpstr>NRD_blowers</vt:lpstr>
      <vt:lpstr>NRD_cm_pump</vt:lpstr>
      <vt:lpstr>NRD_filt</vt:lpstr>
      <vt:lpstr>NRD_filt_p</vt:lpstr>
      <vt:lpstr>NRD_g</vt:lpstr>
      <vt:lpstr>NRD_I</vt:lpstr>
      <vt:lpstr>NRD_pumps</vt:lpstr>
      <vt:lpstr>NRD_recycle_pumps</vt:lpstr>
      <vt:lpstr>NRD_res_pump</vt:lpstr>
      <vt:lpstr>NRD_small</vt:lpstr>
      <vt:lpstr>NRD_small_1</vt:lpstr>
      <vt:lpstr>num_aeration_blowers</vt:lpstr>
      <vt:lpstr>num_belt_press</vt:lpstr>
      <vt:lpstr>num_bio_blowers</vt:lpstr>
      <vt:lpstr>num_blowers</vt:lpstr>
      <vt:lpstr>num_holes</vt:lpstr>
      <vt:lpstr>num_pits</vt:lpstr>
      <vt:lpstr>num_thick_internals</vt:lpstr>
      <vt:lpstr>num_treat_lines</vt:lpstr>
      <vt:lpstr>num_treat_lines_filt</vt:lpstr>
      <vt:lpstr>nutrient_option</vt:lpstr>
      <vt:lpstr>nutrient_option_I</vt:lpstr>
      <vt:lpstr>nutrient_valid</vt:lpstr>
      <vt:lpstr>O2_in</vt:lpstr>
      <vt:lpstr>office_fp</vt:lpstr>
      <vt:lpstr>OM_City_Index</vt:lpstr>
      <vt:lpstr>om_cost</vt:lpstr>
      <vt:lpstr>op_fm_cost_cl</vt:lpstr>
      <vt:lpstr>op_fm_eq_back</vt:lpstr>
      <vt:lpstr>op_fm_eq_in</vt:lpstr>
      <vt:lpstr>op_fm_eq_proc</vt:lpstr>
      <vt:lpstr>op_fm_eq_res</vt:lpstr>
      <vt:lpstr>op_interface_software_cost_cl</vt:lpstr>
      <vt:lpstr>op_num_basins</vt:lpstr>
      <vt:lpstr>op_num_filters</vt:lpstr>
      <vt:lpstr>op_num_tanks</vt:lpstr>
      <vt:lpstr>op_num_tanks_filt</vt:lpstr>
      <vt:lpstr>Operator_LOE</vt:lpstr>
      <vt:lpstr>ORP_sensor</vt:lpstr>
      <vt:lpstr>output_db</vt:lpstr>
      <vt:lpstr>output_page</vt:lpstr>
      <vt:lpstr>overexcavate</vt:lpstr>
      <vt:lpstr>pad_thick</vt:lpstr>
      <vt:lpstr>pad_thick_small</vt:lpstr>
      <vt:lpstr>pan_evap</vt:lpstr>
      <vt:lpstr>pc_workstation_cost_cl</vt:lpstr>
      <vt:lpstr>pd_aeration_blow_eq</vt:lpstr>
      <vt:lpstr>pd_bio_blow_eq</vt:lpstr>
      <vt:lpstr>pd_blow_cost_cl</vt:lpstr>
      <vt:lpstr>pd_blow_eq</vt:lpstr>
      <vt:lpstr>performance_bond_table_cl</vt:lpstr>
      <vt:lpstr>permit_cost</vt:lpstr>
      <vt:lpstr>pH_controls</vt:lpstr>
      <vt:lpstr>pH_meter_cost_cl</vt:lpstr>
      <vt:lpstr>pilot_cost_large_cl</vt:lpstr>
      <vt:lpstr>pilot_cost_medium_cl</vt:lpstr>
      <vt:lpstr>pilot_cost_small_cl</vt:lpstr>
      <vt:lpstr>pipe_size_table_cl</vt:lpstr>
      <vt:lpstr>pit_cost_cl</vt:lpstr>
      <vt:lpstr>pit_depth</vt:lpstr>
      <vt:lpstr>pit_length</vt:lpstr>
      <vt:lpstr>pit_width</vt:lpstr>
      <vt:lpstr>pl_coag_day_eq</vt:lpstr>
      <vt:lpstr>pl_coag_st_eq</vt:lpstr>
      <vt:lpstr>pl_cst_cost_cl</vt:lpstr>
      <vt:lpstr>pl_e_donor_day_eq</vt:lpstr>
      <vt:lpstr>pl_e_donor_st_eq</vt:lpstr>
      <vt:lpstr>pl_H2O2_day_eq</vt:lpstr>
      <vt:lpstr>pl_H2O2_st_eq</vt:lpstr>
      <vt:lpstr>pl_H3PO4_day_eq</vt:lpstr>
      <vt:lpstr>pl_H3PO4_st_eq</vt:lpstr>
      <vt:lpstr>pl_in_mix_cost_cl</vt:lpstr>
      <vt:lpstr>pl_in_mix_eq</vt:lpstr>
      <vt:lpstr>pl_NH4Cl_day_eq</vt:lpstr>
      <vt:lpstr>pl_NH4Cl_st_eq</vt:lpstr>
      <vt:lpstr>pl_polymer_st_eq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polymer_chv_pump</vt:lpstr>
      <vt:lpstr>polymer_cmix_per_tank</vt:lpstr>
      <vt:lpstr>polymer_cmix_size</vt:lpstr>
      <vt:lpstr>polymer_cmixers</vt:lpstr>
      <vt:lpstr>polymer_day</vt:lpstr>
      <vt:lpstr>polymer_density</vt:lpstr>
      <vt:lpstr>polymer_dose</vt:lpstr>
      <vt:lpstr>polymer_fp</vt:lpstr>
      <vt:lpstr>polymer_pipe_diam</vt:lpstr>
      <vt:lpstr>polymer_pipe_flow</vt:lpstr>
      <vt:lpstr>polymer_pipe_length</vt:lpstr>
      <vt:lpstr>polymer_purchase</vt:lpstr>
      <vt:lpstr>polymer_rate</vt:lpstr>
      <vt:lpstr>polymer_res</vt:lpstr>
      <vt:lpstr>polymer_spf</vt:lpstr>
      <vt:lpstr>polymer_st_diam</vt:lpstr>
      <vt:lpstr>polymer_storage</vt:lpstr>
      <vt:lpstr>polymer_storage_lbs</vt:lpstr>
      <vt:lpstr>polymer_tank_vol</vt:lpstr>
      <vt:lpstr>polymer_tanks</vt:lpstr>
      <vt:lpstr>polymer_valve_size</vt:lpstr>
      <vt:lpstr>polymer_yr</vt:lpstr>
      <vt:lpstr>port_mix_cost_cl</vt:lpstr>
      <vt:lpstr>port_table</vt:lpstr>
      <vt:lpstr>ports</vt:lpstr>
      <vt:lpstr>ports_bp</vt:lpstr>
      <vt:lpstr>ports_tank</vt:lpstr>
      <vt:lpstr>post_filter_materials</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vt:lpstr>
      <vt:lpstr>pp_chv_eq_bp</vt:lpstr>
      <vt:lpstr>pp_chv_eq_coag</vt:lpstr>
      <vt:lpstr>pp_chv_eq_e_donor</vt:lpstr>
      <vt:lpstr>pp_chv_eq_H2O2</vt:lpstr>
      <vt:lpstr>pp_chv_eq_H3PO4</vt:lpstr>
      <vt:lpstr>pp_chv_eq_in</vt:lpstr>
      <vt:lpstr>pp_chv_eq_NH4Cl</vt:lpstr>
      <vt:lpstr>pp_chv_eq_polymer</vt:lpstr>
      <vt:lpstr>pp_chv_eq_res</vt:lpstr>
      <vt:lpstr>pp_man_cost_cl</vt:lpstr>
      <vt:lpstr>pp_man_eq</vt:lpstr>
      <vt:lpstr>pp_man_eq_aeration</vt:lpstr>
      <vt:lpstr>pp_man_eq_air</vt:lpstr>
      <vt:lpstr>pp_man_eq_back</vt:lpstr>
      <vt:lpstr>pp_man_eq_bio_air</vt:lpstr>
      <vt:lpstr>pp_man_eq_bp</vt:lpstr>
      <vt:lpstr>pp_man_eq_coag</vt:lpstr>
      <vt:lpstr>pp_man_eq_e_donor</vt:lpstr>
      <vt:lpstr>pp_man_eq_H2O2</vt:lpstr>
      <vt:lpstr>pp_man_eq_H3PO4</vt:lpstr>
      <vt:lpstr>pp_man_eq_NH4Cl</vt:lpstr>
      <vt:lpstr>pp_man_eq_polymer</vt:lpstr>
      <vt:lpstr>pp_man_eq_proc</vt:lpstr>
      <vt:lpstr>pp_man_eq_rec</vt:lpstr>
      <vt:lpstr>pp_man_eq_res</vt:lpstr>
      <vt:lpstr>pp_mov_cost_cl</vt:lpstr>
      <vt:lpstr>pp_mov_eq_aeration</vt:lpstr>
      <vt:lpstr>pp_mov_eq_air</vt:lpstr>
      <vt:lpstr>pp_mov_eq_back</vt:lpstr>
      <vt:lpstr>pp_mov_eq_bio_air</vt:lpstr>
      <vt:lpstr>pp_mov_eq_bp</vt:lpstr>
      <vt:lpstr>pp_mov_eq_coag</vt:lpstr>
      <vt:lpstr>pp_mov_eq_e_donor</vt:lpstr>
      <vt:lpstr>pp_mov_eq_H2O2</vt:lpstr>
      <vt:lpstr>pp_mov_eq_H3PO4</vt:lpstr>
      <vt:lpstr>pp_mov_eq_NH4Cl</vt:lpstr>
      <vt:lpstr>pp_mov_eq_polymer</vt:lpstr>
      <vt:lpstr>pp_mov_eq_rec</vt:lpstr>
      <vt:lpstr>pp_mov_eq_res</vt:lpstr>
      <vt:lpstr>pp_mov_eq_tank</vt:lpstr>
      <vt:lpstr>precip</vt:lpstr>
      <vt:lpstr>pretreat_permit_cost_cl</vt:lpstr>
      <vt:lpstr>INPUT!Print_Area</vt:lpstr>
      <vt:lpstr>OUTPUT!Print_Area</vt:lpstr>
      <vt:lpstr>printer_ratio</vt:lpstr>
      <vt:lpstr>printers</vt:lpstr>
      <vt:lpstr>proc_man_vessel</vt:lpstr>
      <vt:lpstr>proc_man_vessel_cont</vt:lpstr>
      <vt:lpstr>proc_meter_size</vt:lpstr>
      <vt:lpstr>proc_MOV_pump</vt:lpstr>
      <vt:lpstr>proc_MOV_vessel</vt:lpstr>
      <vt:lpstr>proc_pipe_diam</vt:lpstr>
      <vt:lpstr>proc_pipe_flow</vt:lpstr>
      <vt:lpstr>proc_pipe_length</vt:lpstr>
      <vt:lpstr>proc_pipe_mult</vt:lpstr>
      <vt:lpstr>process_cost</vt:lpstr>
      <vt:lpstr>prop_fm_cost_cl</vt:lpstr>
      <vt:lpstr>prop_fm_eq_back</vt:lpstr>
      <vt:lpstr>prop_fm_eq_in</vt:lpstr>
      <vt:lpstr>prop_fm_eq_proc</vt:lpstr>
      <vt:lpstr>prop_fm_eq_res</vt:lpstr>
      <vt:lpstr>pump_cost_cl</vt:lpstr>
      <vt:lpstr>pump_dim_table_cl</vt:lpstr>
      <vt:lpstr>pump_energy</vt:lpstr>
      <vt:lpstr>pump_eq</vt:lpstr>
      <vt:lpstr>pump_eq_back</vt:lpstr>
      <vt:lpstr>pump_fp</vt:lpstr>
      <vt:lpstr>pump_hp</vt:lpstr>
      <vt:lpstr>pump_mtl</vt:lpstr>
      <vt:lpstr>pump_rating</vt:lpstr>
      <vt:lpstr>pump_safety_factor</vt:lpstr>
      <vt:lpstr>pvc_coag_empump_eq</vt:lpstr>
      <vt:lpstr>pvc_coag_filt_empump_eq</vt:lpstr>
      <vt:lpstr>pvc_coag_filt_mmpump_eq</vt:lpstr>
      <vt:lpstr>pvc_coag_mmpump_eq</vt:lpstr>
      <vt:lpstr>pvc_e_donor_empump_eq</vt:lpstr>
      <vt:lpstr>pvc_e_donor_mmpump_eq</vt:lpstr>
      <vt:lpstr>pvc_empump_cost_cl</vt:lpstr>
      <vt:lpstr>pvc_H2O2_empump_eq</vt:lpstr>
      <vt:lpstr>pvc_H2O2_mmpump_eq</vt:lpstr>
      <vt:lpstr>pvc_H3PO4_empump_eq</vt:lpstr>
      <vt:lpstr>pvc_H3PO4_mmpump_eq</vt:lpstr>
      <vt:lpstr>pvc_mmpump_cost_cl</vt:lpstr>
      <vt:lpstr>pvc_NH4Cl_empump_eq</vt:lpstr>
      <vt:lpstr>pvc_NH4Cl_mmpump_eq</vt:lpstr>
      <vt:lpstr>pvc_pipe_cost_cl</vt:lpstr>
      <vt:lpstr>pvc_pipe_eq_back</vt:lpstr>
      <vt:lpstr>pvc_pipe_eq_bp</vt:lpstr>
      <vt:lpstr>pvc_pipe_eq_coag</vt:lpstr>
      <vt:lpstr>pvc_pipe_eq_e_donor</vt:lpstr>
      <vt:lpstr>pvc_pipe_eq_H2O2</vt:lpstr>
      <vt:lpstr>pvc_pipe_eq_H3PO4</vt:lpstr>
      <vt:lpstr>pvc_pipe_eq_in_out</vt:lpstr>
      <vt:lpstr>pvc_pipe_eq_NH4Cl</vt:lpstr>
      <vt:lpstr>pvc_pipe_eq_polymer</vt:lpstr>
      <vt:lpstr>pvc_pipe_eq_proc</vt:lpstr>
      <vt:lpstr>pvc_pipe_eq_rec</vt:lpstr>
      <vt:lpstr>pvc_pipe_eq_res</vt:lpstr>
      <vt:lpstr>pvc_polymer_empump_eq</vt:lpstr>
      <vt:lpstr>pvc_polymer_mmpump_eq</vt:lpstr>
      <vt:lpstr>R_ceiling</vt:lpstr>
      <vt:lpstr>R_wall</vt:lpstr>
      <vt:lpstr>railing</vt:lpstr>
      <vt:lpstr>rate_aeration</vt:lpstr>
      <vt:lpstr>rec_valve_size</vt:lpstr>
      <vt:lpstr>recycle_fluid</vt:lpstr>
      <vt:lpstr>recycle_pipe_diam</vt:lpstr>
      <vt:lpstr>recycle_pipe_flow</vt:lpstr>
      <vt:lpstr>recycle_pipe_length</vt:lpstr>
      <vt:lpstr>recycle_pipe_mult</vt:lpstr>
      <vt:lpstr>recycle_pump_efficiency</vt:lpstr>
      <vt:lpstr>recycle_pump_energy</vt:lpstr>
      <vt:lpstr>recycle_pump_eq</vt:lpstr>
      <vt:lpstr>recycle_pump_head</vt:lpstr>
      <vt:lpstr>recycle_pump_hp</vt:lpstr>
      <vt:lpstr>recycle_pump_mtl</vt:lpstr>
      <vt:lpstr>recycle_pump_rating</vt:lpstr>
      <vt:lpstr>recycle_pumps</vt:lpstr>
      <vt:lpstr>Reduction</vt:lpstr>
      <vt:lpstr>redund_freq</vt:lpstr>
      <vt:lpstr>redund_freq_fluid</vt:lpstr>
      <vt:lpstr>replace_filter_GAC_eq</vt:lpstr>
      <vt:lpstr>replace_GAC_eq</vt:lpstr>
      <vt:lpstr>res_bearing_area</vt:lpstr>
      <vt:lpstr>res_block_vol</vt:lpstr>
      <vt:lpstr>res_cake_solids</vt:lpstr>
      <vt:lpstr>res_cap_factor</vt:lpstr>
      <vt:lpstr>res_chv_no_pump</vt:lpstr>
      <vt:lpstr>res_chv_pump</vt:lpstr>
      <vt:lpstr>res_coag_settle_time</vt:lpstr>
      <vt:lpstr>res_eductor_size</vt:lpstr>
      <vt:lpstr>res_eductors</vt:lpstr>
      <vt:lpstr>res_eff_transfer_rate</vt:lpstr>
      <vt:lpstr>res_flow</vt:lpstr>
      <vt:lpstr>res_flow_actual</vt:lpstr>
      <vt:lpstr>res_flow_annual</vt:lpstr>
      <vt:lpstr>res_holding</vt:lpstr>
      <vt:lpstr>res_meter_size</vt:lpstr>
      <vt:lpstr>res_pipe_bedding_vol</vt:lpstr>
      <vt:lpstr>res_pipe_diam</vt:lpstr>
      <vt:lpstr>res_pipe_length</vt:lpstr>
      <vt:lpstr>res_pipe_mult</vt:lpstr>
      <vt:lpstr>res_pump_energy</vt:lpstr>
      <vt:lpstr>res_pump_eq</vt:lpstr>
      <vt:lpstr>res_pump_mtl</vt:lpstr>
      <vt:lpstr>res_pump_psi</vt:lpstr>
      <vt:lpstr>res_pump_rating</vt:lpstr>
      <vt:lpstr>res_pumps</vt:lpstr>
      <vt:lpstr>res_s1_opt</vt:lpstr>
      <vt:lpstr>res_s1_opt_I</vt:lpstr>
      <vt:lpstr>res_s2_opt</vt:lpstr>
      <vt:lpstr>res_s2_opt_I</vt:lpstr>
      <vt:lpstr>res_seductor_eq</vt:lpstr>
      <vt:lpstr>res_slurry_eq</vt:lpstr>
      <vt:lpstr>res_slurry_pumps</vt:lpstr>
      <vt:lpstr>res_solids</vt:lpstr>
      <vt:lpstr>res_solids_event</vt:lpstr>
      <vt:lpstr>res_solids_thick</vt:lpstr>
      <vt:lpstr>res_stagger_time</vt:lpstr>
      <vt:lpstr>res_thrust_force</vt:lpstr>
      <vt:lpstr>res_transfer_method</vt:lpstr>
      <vt:lpstr>res_transfer_rate</vt:lpstr>
      <vt:lpstr>res_transfer_rate_gal</vt:lpstr>
      <vt:lpstr>res_trench_area</vt:lpstr>
      <vt:lpstr>res_trench_vol</vt:lpstr>
      <vt:lpstr>res_trn_depth</vt:lpstr>
      <vt:lpstr>res_valve_size</vt:lpstr>
      <vt:lpstr>res_vol</vt:lpstr>
      <vt:lpstr>resin_per_vessel</vt:lpstr>
      <vt:lpstr>resin_volume</vt:lpstr>
      <vt:lpstr>resist_eff</vt:lpstr>
      <vt:lpstr>risers</vt:lpstr>
      <vt:lpstr>S_back_pump</vt:lpstr>
      <vt:lpstr>S_booster_pump</vt:lpstr>
      <vt:lpstr>S_cm_pump</vt:lpstr>
      <vt:lpstr>S_eductor</vt:lpstr>
      <vt:lpstr>S_mixer</vt:lpstr>
      <vt:lpstr>S_recycle_pump</vt:lpstr>
      <vt:lpstr>S_res_pump</vt:lpstr>
      <vt:lpstr>SA</vt:lpstr>
      <vt:lpstr>SA_filt</vt:lpstr>
      <vt:lpstr>sand_each</vt:lpstr>
      <vt:lpstr>sand_fraction</vt:lpstr>
      <vt:lpstr>sand_vol</vt:lpstr>
      <vt:lpstr>scour_blower_energy</vt:lpstr>
      <vt:lpstr>scour_blower_head</vt:lpstr>
      <vt:lpstr>scour_blower_hp</vt:lpstr>
      <vt:lpstr>scour_blower_op_hours</vt:lpstr>
      <vt:lpstr>sec_cont_coating_cvg</vt:lpstr>
      <vt:lpstr>sec_cont_freeboard</vt:lpstr>
      <vt:lpstr>sec_cont_max_thick</vt:lpstr>
      <vt:lpstr>sec_cont_pct_of_largest</vt:lpstr>
      <vt:lpstr>sec_cont_pct_of_total</vt:lpstr>
      <vt:lpstr>sed_sludge_method</vt:lpstr>
      <vt:lpstr>sed_sludge_method_I</vt:lpstr>
      <vt:lpstr>seductor_cost_cl</vt:lpstr>
      <vt:lpstr>shifts_day</vt:lpstr>
      <vt:lpstr>sitework_cost</vt:lpstr>
      <vt:lpstr>sitework_sf_cl</vt:lpstr>
      <vt:lpstr>SO4_in</vt:lpstr>
      <vt:lpstr>soil_dens</vt:lpstr>
      <vt:lpstr>sol_disp_freq</vt:lpstr>
      <vt:lpstr>sol_disposal_fee</vt:lpstr>
      <vt:lpstr>sol_disposal_miles</vt:lpstr>
      <vt:lpstr>sol_disposal_shipments</vt:lpstr>
      <vt:lpstr>solids_haz</vt:lpstr>
      <vt:lpstr>solids_haz_I</vt:lpstr>
      <vt:lpstr>solids_method</vt:lpstr>
      <vt:lpstr>solids_pad_area</vt:lpstr>
      <vt:lpstr>solids_pad_concrete</vt:lpstr>
      <vt:lpstr>solids_storage_height</vt:lpstr>
      <vt:lpstr>solution_day</vt:lpstr>
      <vt:lpstr>solution_rate</vt:lpstr>
      <vt:lpstr>source_select</vt:lpstr>
      <vt:lpstr>space_aer</vt:lpstr>
      <vt:lpstr>space_bt</vt:lpstr>
      <vt:lpstr>space_coag_dt</vt:lpstr>
      <vt:lpstr>space_coag_mix</vt:lpstr>
      <vt:lpstr>space_coag_st</vt:lpstr>
      <vt:lpstr>space_e_donor_dt</vt:lpstr>
      <vt:lpstr>space_e_donor_st</vt:lpstr>
      <vt:lpstr>space_H2O2_dt</vt:lpstr>
      <vt:lpstr>space_H2O2_st</vt:lpstr>
      <vt:lpstr>space_H3PO4_dt</vt:lpstr>
      <vt:lpstr>space_H3PO4_st</vt:lpstr>
      <vt:lpstr>space_ht</vt:lpstr>
      <vt:lpstr>space_NH4Cl_dt</vt:lpstr>
      <vt:lpstr>space_NH4Cl_st</vt:lpstr>
      <vt:lpstr>space_office</vt:lpstr>
      <vt:lpstr>space_office_small</vt:lpstr>
      <vt:lpstr>space_polymer_st</vt:lpstr>
      <vt:lpstr>space_pumps</vt:lpstr>
      <vt:lpstr>space_pumps_cust</vt:lpstr>
      <vt:lpstr>space_pumps_pre</vt:lpstr>
      <vt:lpstr>space_thick</vt:lpstr>
      <vt:lpstr>space_vessels</vt:lpstr>
      <vt:lpstr>ss_cat</vt:lpstr>
      <vt:lpstr>ss_cat2</vt:lpstr>
      <vt:lpstr>ss_chv_cost_cl</vt:lpstr>
      <vt:lpstr>ss_chv_eq</vt:lpstr>
      <vt:lpstr>ss_chv_eq_bp</vt:lpstr>
      <vt:lpstr>ss_chv_eq_e_donor</vt:lpstr>
      <vt:lpstr>ss_chv_eq_H2O2</vt:lpstr>
      <vt:lpstr>ss_chv_eq_H3PO4</vt:lpstr>
      <vt:lpstr>ss_chv_eq_in</vt:lpstr>
      <vt:lpstr>ss_chv_eq_NH4Cl</vt:lpstr>
      <vt:lpstr>ss_chv_eq_polymer</vt:lpstr>
      <vt:lpstr>ss_chv_eq_res</vt:lpstr>
      <vt:lpstr>ss_cst_cost_cl</vt:lpstr>
      <vt:lpstr>ss_e_donor_day_eq</vt:lpstr>
      <vt:lpstr>ss_e_donor_empump_eq</vt:lpstr>
      <vt:lpstr>ss_e_donor_mmpump_eq</vt:lpstr>
      <vt:lpstr>ss_e_donor_st_eq</vt:lpstr>
      <vt:lpstr>ss_empump_cost_cl</vt:lpstr>
      <vt:lpstr>ss_H2O2_day_eq</vt:lpstr>
      <vt:lpstr>ss_H2O2_empump_eq</vt:lpstr>
      <vt:lpstr>ss_H2O2_mmpump_eq</vt:lpstr>
      <vt:lpstr>ss_H2O2_st_eq</vt:lpstr>
      <vt:lpstr>ss_man_cost_cl</vt:lpstr>
      <vt:lpstr>ss_man_eq</vt:lpstr>
      <vt:lpstr>ss_man_eq_aeration</vt:lpstr>
      <vt:lpstr>ss_man_eq_air</vt:lpstr>
      <vt:lpstr>ss_man_eq_back</vt:lpstr>
      <vt:lpstr>ss_man_eq_bio_air</vt:lpstr>
      <vt:lpstr>ss_man_eq_bp</vt:lpstr>
      <vt:lpstr>ss_man_eq_e_donor</vt:lpstr>
      <vt:lpstr>ss_man_eq_H2O2</vt:lpstr>
      <vt:lpstr>ss_man_eq_H3PO4</vt:lpstr>
      <vt:lpstr>ss_man_eq_NH4Cl</vt:lpstr>
      <vt:lpstr>ss_man_eq_polymer</vt:lpstr>
      <vt:lpstr>ss_man_eq_proc</vt:lpstr>
      <vt:lpstr>ss_man_eq_rec</vt:lpstr>
      <vt:lpstr>ss_man_eq_res</vt:lpstr>
      <vt:lpstr>ss_mmpump_cost_cl</vt:lpstr>
      <vt:lpstr>ss_mov_cost_cl</vt:lpstr>
      <vt:lpstr>ss_mov_eq_aeration</vt:lpstr>
      <vt:lpstr>ss_mov_eq_air</vt:lpstr>
      <vt:lpstr>ss_mov_eq_back</vt:lpstr>
      <vt:lpstr>ss_mov_eq_bio_air</vt:lpstr>
      <vt:lpstr>ss_mov_eq_bp</vt:lpstr>
      <vt:lpstr>ss_mov_eq_e_donor</vt:lpstr>
      <vt:lpstr>ss_mov_eq_H2O2</vt:lpstr>
      <vt:lpstr>ss_mov_eq_H3PO4</vt:lpstr>
      <vt:lpstr>ss_mov_eq_NH4Cl</vt:lpstr>
      <vt:lpstr>ss_mov_eq_polymer</vt:lpstr>
      <vt:lpstr>ss_mov_eq_rec</vt:lpstr>
      <vt:lpstr>ss_mov_eq_res</vt:lpstr>
      <vt:lpstr>ss_mov_eq_tank</vt:lpstr>
      <vt:lpstr>ss_NH4Cl_day_eq</vt:lpstr>
      <vt:lpstr>ss_NH4Cl_empump_eq</vt:lpstr>
      <vt:lpstr>ss_NH4Cl_mmpump_eq</vt:lpstr>
      <vt:lpstr>ss_NH4Cl_st_eq</vt:lpstr>
      <vt:lpstr>ss_pipe_cost_cl</vt:lpstr>
      <vt:lpstr>ss_pipe_eq_back</vt:lpstr>
      <vt:lpstr>ss_pipe_eq_bp</vt:lpstr>
      <vt:lpstr>ss_pipe_eq_e_donor</vt:lpstr>
      <vt:lpstr>ss_pipe_eq_H2O2</vt:lpstr>
      <vt:lpstr>ss_pipe_eq_H3PO4</vt:lpstr>
      <vt:lpstr>ss_pipe_eq_in_out</vt:lpstr>
      <vt:lpstr>ss_pipe_eq_NH4Cl</vt:lpstr>
      <vt:lpstr>ss_pipe_eq_polymer</vt:lpstr>
      <vt:lpstr>ss_pipe_eq_proc</vt:lpstr>
      <vt:lpstr>ss_pipe_eq_rec</vt:lpstr>
      <vt:lpstr>ss_pipe_eq_res</vt:lpstr>
      <vt:lpstr>ss_polymer_empump_eq</vt:lpstr>
      <vt:lpstr>ss_polymer_mmpump_eq</vt:lpstr>
      <vt:lpstr>ss_polymer_st_eq</vt:lpstr>
      <vt:lpstr>ss_pv_cost_cl</vt:lpstr>
      <vt:lpstr>ss_pv_eq</vt:lpstr>
      <vt:lpstr>ss_pv_eq_filt</vt:lpstr>
      <vt:lpstr>st_aeration_eq</vt:lpstr>
      <vt:lpstr>st_bwt_cost_cl</vt:lpstr>
      <vt:lpstr>st_bwt_eq</vt:lpstr>
      <vt:lpstr>st_coag_eq</vt:lpstr>
      <vt:lpstr>st_ht_eq</vt:lpstr>
      <vt:lpstr>st_pipe_cost_cl</vt:lpstr>
      <vt:lpstr>st_pipe_eq_back</vt:lpstr>
      <vt:lpstr>st_pipe_eq_bp</vt:lpstr>
      <vt:lpstr>st_pipe_eq_e_donor</vt:lpstr>
      <vt:lpstr>st_pipe_eq_H2O2</vt:lpstr>
      <vt:lpstr>st_pipe_eq_H3PO4</vt:lpstr>
      <vt:lpstr>st_pipe_eq_in_out</vt:lpstr>
      <vt:lpstr>st_pipe_eq_NH4Cl</vt:lpstr>
      <vt:lpstr>st_pipe_eq_polymer</vt:lpstr>
      <vt:lpstr>st_pipe_eq_proc</vt:lpstr>
      <vt:lpstr>st_pipe_eq_rec</vt:lpstr>
      <vt:lpstr>st_pipe_eq_res</vt:lpstr>
      <vt:lpstr>st_tt_eq</vt:lpstr>
      <vt:lpstr>stake_out_cost_cl</vt:lpstr>
      <vt:lpstr>std_base</vt:lpstr>
      <vt:lpstr>std_cool</vt:lpstr>
      <vt:lpstr>std_design_params</vt:lpstr>
      <vt:lpstr>std_gen_cost_cl</vt:lpstr>
      <vt:lpstr>std_heat</vt:lpstr>
      <vt:lpstr>std_power</vt:lpstr>
      <vt:lpstr>std_power_cost</vt:lpstr>
      <vt:lpstr>std_safety_factor</vt:lpstr>
      <vt:lpstr>surface_loading_rate_g</vt:lpstr>
      <vt:lpstr>SW_permit_cost_cl</vt:lpstr>
      <vt:lpstr>switch_cost_cl</vt:lpstr>
      <vt:lpstr>system_automation_valid</vt:lpstr>
      <vt:lpstr>system_cost</vt:lpstr>
      <vt:lpstr>'Critical Design Assumptions'!TABLE</vt:lpstr>
      <vt:lpstr>TAC_pct_cap</vt:lpstr>
      <vt:lpstr>TAC_pct_OM</vt:lpstr>
      <vt:lpstr>tank_geom</vt:lpstr>
      <vt:lpstr>tank_geom_filt</vt:lpstr>
      <vt:lpstr>tank_geom_I</vt:lpstr>
      <vt:lpstr>tank_valve_size</vt:lpstr>
      <vt:lpstr>target_bed_depth_over</vt:lpstr>
      <vt:lpstr>target_bed_depth_over_fluid</vt:lpstr>
      <vt:lpstr>target_bed_depth_over_g</vt:lpstr>
      <vt:lpstr>target_bed_depth_under</vt:lpstr>
      <vt:lpstr>target_bed_depth_under_fluid</vt:lpstr>
      <vt:lpstr>target_bed_depth_under_g</vt:lpstr>
      <vt:lpstr>tax_pct</vt:lpstr>
      <vt:lpstr>TDB_link</vt:lpstr>
      <vt:lpstr>TDB_link_table_cl</vt:lpstr>
      <vt:lpstr>tech_fp</vt:lpstr>
      <vt:lpstr>tech_name</vt:lpstr>
      <vt:lpstr>temp_meter_cost_cl</vt:lpstr>
      <vt:lpstr>temp_meters</vt:lpstr>
      <vt:lpstr>temp_meters_small</vt:lpstr>
      <vt:lpstr>thick_backfill_vol</vt:lpstr>
      <vt:lpstr>thick_basin_depth</vt:lpstr>
      <vt:lpstr>thick_basin_diam</vt:lpstr>
      <vt:lpstr>thick_basin_height</vt:lpstr>
      <vt:lpstr>thick_basin_vol</vt:lpstr>
      <vt:lpstr>thick_basins</vt:lpstr>
      <vt:lpstr>thick_basins_default</vt:lpstr>
      <vt:lpstr>thick_circ</vt:lpstr>
      <vt:lpstr>thick_conc_vol</vt:lpstr>
      <vt:lpstr>thick_diam</vt:lpstr>
      <vt:lpstr>thick_excavation_vol</vt:lpstr>
      <vt:lpstr>thick_fp</vt:lpstr>
      <vt:lpstr>thick_internal_cost_cl</vt:lpstr>
      <vt:lpstr>thick_mech_diam</vt:lpstr>
      <vt:lpstr>thick_railing</vt:lpstr>
      <vt:lpstr>thick_removal</vt:lpstr>
      <vt:lpstr>thick_sa</vt:lpstr>
      <vt:lpstr>thick_solids</vt:lpstr>
      <vt:lpstr>thick_tank_volume</vt:lpstr>
      <vt:lpstr>thick_tanks</vt:lpstr>
      <vt:lpstr>thick_time</vt:lpstr>
      <vt:lpstr>thick_vol_ft</vt:lpstr>
      <vt:lpstr>thickening_freeboard</vt:lpstr>
      <vt:lpstr>thickening_ratio</vt:lpstr>
      <vt:lpstr>throughput_table</vt:lpstr>
      <vt:lpstr>thrust_block_table_cl</vt:lpstr>
      <vt:lpstr>thrust_force</vt:lpstr>
      <vt:lpstr>Top_bottom_Vessel_space</vt:lpstr>
      <vt:lpstr>tot_aeration_man</vt:lpstr>
      <vt:lpstr>tot_aeration_MOVs</vt:lpstr>
      <vt:lpstr>tot_air_biomass</vt:lpstr>
      <vt:lpstr>tot_air_man</vt:lpstr>
      <vt:lpstr>tot_air_MOVs</vt:lpstr>
      <vt:lpstr>tot_air_scour</vt:lpstr>
      <vt:lpstr>tot_back_alarm</vt:lpstr>
      <vt:lpstr>tot_back_chv</vt:lpstr>
      <vt:lpstr>tot_back_man</vt:lpstr>
      <vt:lpstr>tot_back_MOVs</vt:lpstr>
      <vt:lpstr>tot_bio_air_man</vt:lpstr>
      <vt:lpstr>tot_bio_air_MOVs</vt:lpstr>
      <vt:lpstr>tot_bp_chv</vt:lpstr>
      <vt:lpstr>tot_bp_man</vt:lpstr>
      <vt:lpstr>'Instrumentation and Control'!tot_bp_MOVs</vt:lpstr>
      <vt:lpstr>tot_bp_MOVs</vt:lpstr>
      <vt:lpstr>tot_chem</vt:lpstr>
      <vt:lpstr>tot_chem_alarm</vt:lpstr>
      <vt:lpstr>tot_ClO4_analyzer</vt:lpstr>
      <vt:lpstr>tot_coag_chv</vt:lpstr>
      <vt:lpstr>tot_coag_man</vt:lpstr>
      <vt:lpstr>tot_coag_MOVs</vt:lpstr>
      <vt:lpstr>tot_DO_analyzer</vt:lpstr>
      <vt:lpstr>tot_e_donor_chv</vt:lpstr>
      <vt:lpstr>tot_e_donor_man</vt:lpstr>
      <vt:lpstr>tot_e_donor_MOVs</vt:lpstr>
      <vt:lpstr>tot_fm_back</vt:lpstr>
      <vt:lpstr>tot_fm_in</vt:lpstr>
      <vt:lpstr>tot_fm_proc</vt:lpstr>
      <vt:lpstr>tot_fm_res</vt:lpstr>
      <vt:lpstr>tot_H2O2_chv</vt:lpstr>
      <vt:lpstr>tot_H2O2_man</vt:lpstr>
      <vt:lpstr>tot_H2O2_MOVs</vt:lpstr>
      <vt:lpstr>tot_H3PO4_chv</vt:lpstr>
      <vt:lpstr>tot_H3PO4_man</vt:lpstr>
      <vt:lpstr>tot_H3PO4_MOVs</vt:lpstr>
      <vt:lpstr>tot_head_sens</vt:lpstr>
      <vt:lpstr>tot_in_chv</vt:lpstr>
      <vt:lpstr>tot_inst</vt:lpstr>
      <vt:lpstr>tot_inst_maint</vt:lpstr>
      <vt:lpstr>tot_level_switch</vt:lpstr>
      <vt:lpstr>tot_man_valves</vt:lpstr>
      <vt:lpstr>tot_MOVs</vt:lpstr>
      <vt:lpstr>tot_N_analyzer</vt:lpstr>
      <vt:lpstr>tot_NH4Cl_chv</vt:lpstr>
      <vt:lpstr>tot_NH4Cl_man</vt:lpstr>
      <vt:lpstr>tot_NH4Cl_MOVs</vt:lpstr>
      <vt:lpstr>tot_nutrient_chv</vt:lpstr>
      <vt:lpstr>tot_polymer_chv</vt:lpstr>
      <vt:lpstr>tot_polymer_man</vt:lpstr>
      <vt:lpstr>tot_polymer_MOVs</vt:lpstr>
      <vt:lpstr>tot_proc_man</vt:lpstr>
      <vt:lpstr>tot_proc_MOVs</vt:lpstr>
      <vt:lpstr>tot_pumps</vt:lpstr>
      <vt:lpstr>tot_pumps_maint</vt:lpstr>
      <vt:lpstr>tot_rec_man</vt:lpstr>
      <vt:lpstr>tot_rec_MOVs</vt:lpstr>
      <vt:lpstr>tot_req_thick_vol</vt:lpstr>
      <vt:lpstr>tot_res_alarm</vt:lpstr>
      <vt:lpstr>tot_res_chv</vt:lpstr>
      <vt:lpstr>tot_switches</vt:lpstr>
      <vt:lpstr>tot_temp_meters</vt:lpstr>
      <vt:lpstr>tot_turb_meters</vt:lpstr>
      <vt:lpstr>tot_valves</vt:lpstr>
      <vt:lpstr>total_booster_pumps</vt:lpstr>
      <vt:lpstr>total_coag</vt:lpstr>
      <vt:lpstr>total_diffusers</vt:lpstr>
      <vt:lpstr>total_direct_depreciation</vt:lpstr>
      <vt:lpstr>total_fp</vt:lpstr>
      <vt:lpstr>total_hvol_ft</vt:lpstr>
      <vt:lpstr>total_num_basins</vt:lpstr>
      <vt:lpstr>total_num_filt_basins</vt:lpstr>
      <vt:lpstr>total_res_man</vt:lpstr>
      <vt:lpstr>total_res_MOVs</vt:lpstr>
      <vt:lpstr>total_resin</vt:lpstr>
      <vt:lpstr>transfer_time</vt:lpstr>
      <vt:lpstr>trench_angle</vt:lpstr>
      <vt:lpstr>trench_area</vt:lpstr>
      <vt:lpstr>trench_depth</vt:lpstr>
      <vt:lpstr>trench_vol</vt:lpstr>
      <vt:lpstr>TSS_residuals</vt:lpstr>
      <vt:lpstr>TSS_residuals_dis</vt:lpstr>
      <vt:lpstr>turb_tank</vt:lpstr>
      <vt:lpstr>turb_tank_filt</vt:lpstr>
      <vt:lpstr>turb_tank_g</vt:lpstr>
      <vt:lpstr>turbidimeter_cost_cl</vt:lpstr>
      <vt:lpstr>UBC_mult_table_cl</vt:lpstr>
      <vt:lpstr>uloe_autoback</vt:lpstr>
      <vt:lpstr>uloe_chem_maint</vt:lpstr>
      <vt:lpstr>uloe_fp</vt:lpstr>
      <vt:lpstr>uloe_inst</vt:lpstr>
      <vt:lpstr>uloe_inst_auto</vt:lpstr>
      <vt:lpstr>uloe_inst_maint</vt:lpstr>
      <vt:lpstr>uloe_pump</vt:lpstr>
      <vt:lpstr>uloe_pump_maint</vt:lpstr>
      <vt:lpstr>uloe_throwaway</vt:lpstr>
      <vt:lpstr>uloe_valve</vt:lpstr>
      <vt:lpstr>uloe_valve_maint</vt:lpstr>
      <vt:lpstr>underdrain_horiz_void</vt:lpstr>
      <vt:lpstr>underdrain_horiz_void_filt</vt:lpstr>
      <vt:lpstr>ups</vt:lpstr>
      <vt:lpstr>ups_cost_cl</vt:lpstr>
      <vt:lpstr>use_autosize</vt:lpstr>
      <vt:lpstr>use_autosize_filt</vt:lpstr>
      <vt:lpstr>use_autosizeA</vt:lpstr>
      <vt:lpstr>use_autosizeA_filt</vt:lpstr>
      <vt:lpstr>use_column</vt:lpstr>
      <vt:lpstr>useful_life</vt:lpstr>
      <vt:lpstr>v_diam</vt:lpstr>
      <vt:lpstr>valve_table</vt:lpstr>
      <vt:lpstr>ven_fm_cost_cl</vt:lpstr>
      <vt:lpstr>ven_fm_eq_back</vt:lpstr>
      <vt:lpstr>ven_fm_eq_in</vt:lpstr>
      <vt:lpstr>ven_fm_eq_proc</vt:lpstr>
      <vt:lpstr>ven_fm_eq_res</vt:lpstr>
      <vt:lpstr>ventilation</vt:lpstr>
      <vt:lpstr>vert_vol_available</vt:lpstr>
      <vt:lpstr>vert_vol_available_filt</vt:lpstr>
      <vt:lpstr>vessel_fp</vt:lpstr>
      <vt:lpstr>vessel_size_table_cl</vt:lpstr>
      <vt:lpstr>Vessel_thickness</vt:lpstr>
      <vt:lpstr>void_above</vt:lpstr>
      <vt:lpstr>void_above_filt</vt:lpstr>
      <vt:lpstr>vol_tol_horiz</vt:lpstr>
      <vt:lpstr>vol_tol_vert_med</vt:lpstr>
      <vt:lpstr>vol_tol_vert_small</vt:lpstr>
      <vt:lpstr>waste_heat_blowers</vt:lpstr>
      <vt:lpstr>waste_heat_bw_pumps</vt:lpstr>
      <vt:lpstr>waste_heat_pumps</vt:lpstr>
      <vt:lpstr>waste_heat_recycle_pumps</vt:lpstr>
      <vt:lpstr>waste_heat_scour_blowers</vt:lpstr>
      <vt:lpstr>water_flush</vt:lpstr>
      <vt:lpstr>waterflush_vol</vt:lpstr>
      <vt:lpstr>Weekly_labor</vt:lpstr>
      <vt:lpstr>winter_days</vt:lpstr>
      <vt:lpstr>workstation_ratio</vt:lpstr>
      <vt:lpstr>workstations</vt:lpstr>
      <vt:lpstr>yard_cost</vt:lpstr>
      <vt:lpstr>yard_in</vt:lpstr>
      <vt:lpstr>yard_out</vt:lpstr>
      <vt:lpstr>yard_pipe_diam</vt:lpstr>
      <vt:lpstr>yard_pipe_length</vt:lpstr>
      <vt:lpstr>yes_no_valid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Biological Treatment</dc:title>
  <dc:creator>U.S. EPA Office of Ground Water and Drinking Water</dc:creator>
  <cp:lastModifiedBy>roshn noronha</cp:lastModifiedBy>
  <dcterms:created xsi:type="dcterms:W3CDTF">2012-05-06T12:36:07Z</dcterms:created>
  <dcterms:modified xsi:type="dcterms:W3CDTF">2026-03-08T08:13:48Z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m_eq_back" linkTarget="prop_fm_eq_back">
    <vt:r8>3600.376351111</vt:r8>
  </property>
  <property fmtid="{D5CDD505-2E9C-101B-9397-08002B2CF9AE}" pid="3" name="fm_eq_in" linkTarget="prop_fm_eq_in">
    <vt:r8>3122.730677218</vt:r8>
  </property>
  <property fmtid="{D5CDD505-2E9C-101B-9397-08002B2CF9AE}" pid="4" name="fm_eq_proc" linkTarget="prop_fm_eq_proc">
    <vt:r8>2615.490390749</vt:r8>
  </property>
  <property fmtid="{D5CDD505-2E9C-101B-9397-08002B2CF9AE}" pid="5" name="fm_eq_res" linkTarget="prop_fm_eq_res">
    <vt:r8>2075.735445466</vt:r8>
  </property>
  <property fmtid="{D5CDD505-2E9C-101B-9397-08002B2CF9AE}" pid="6" name="fm_cost_cl" linkTarget="prop_fm_cost_cl">
    <vt:r8>0</vt:r8>
  </property>
</Properties>
</file>